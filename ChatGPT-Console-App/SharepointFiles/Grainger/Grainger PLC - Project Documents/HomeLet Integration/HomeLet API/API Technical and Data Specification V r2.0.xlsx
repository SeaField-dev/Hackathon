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Props3.xml" ContentType="application/vnd.openxmlformats-officedocument.customXml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pibinsurance-my.sharepoint.com/personal/stephen_williams_pib-insurance_com/Documents/"/>
    </mc:Choice>
  </mc:AlternateContent>
  <xr:revisionPtr revIDLastSave="21" documentId="8_{23BFF1D7-D6FC-460D-9AA7-BE392CD56394}" xr6:coauthVersionLast="47" xr6:coauthVersionMax="47" xr10:uidLastSave="{84C28C07-98D0-4783-B3FD-B68E7C10A257}"/>
  <bookViews>
    <workbookView xWindow="-110" yWindow="-110" windowWidth="19420" windowHeight="10560" tabRatio="719" firstSheet="25" activeTab="26" xr2:uid="{564335C1-CB61-4476-A1CE-02C3CBEABACB}"/>
  </bookViews>
  <sheets>
    <sheet name="Revision History" sheetId="8" r:id="rId1"/>
    <sheet name="API Services" sheetId="9" r:id="rId2"/>
    <sheet name="Entity Relationship Model" sheetId="2" state="hidden" r:id="rId3"/>
    <sheet name="API Data Dictionary" sheetId="1" r:id="rId4"/>
    <sheet name="Enum Short Lists" sheetId="3" r:id="rId5"/>
    <sheet name="Enum Countries" sheetId="5" r:id="rId6"/>
    <sheet name="Enum Nationalities" sheetId="7" r:id="rId7"/>
    <sheet name="CheckConnection" sheetId="27" r:id="rId8"/>
    <sheet name="GetAuthenticationToken" sheetId="26" r:id="rId9"/>
    <sheet name="CreateReferenceWithAllData" sheetId="10" r:id="rId10"/>
    <sheet name="CreateReferenceWithApplicantIfr" sheetId="29" r:id="rId11"/>
    <sheet name="CreateReferenceWithInputFromApp" sheetId="11" r:id="rId12"/>
    <sheet name="GetApplicantReferenceStatus" sheetId="13" r:id="rId13"/>
    <sheet name="GetAgentActiveProducts" sheetId="14" r:id="rId14"/>
    <sheet name="GetApplicantReferenceReports" sheetId="15" r:id="rId15"/>
    <sheet name="ResendApplicantReferenceLink" sheetId="16" r:id="rId16"/>
    <sheet name="PostApplicantReferenceDocument" sheetId="17" r:id="rId17"/>
    <sheet name="PostApplicantReferenceNote" sheetId="12" r:id="rId18"/>
    <sheet name="AddApplicantToTenancyWithiframe" sheetId="28" r:id="rId19"/>
    <sheet name="AddApplicantToTenancy" sheetId="18" r:id="rId20"/>
    <sheet name="CancelApplicantFromTenancy" sheetId="20" r:id="rId21"/>
    <sheet name="CancelTenancy" sheetId="21" r:id="rId22"/>
    <sheet name="AmendTenancyDetails" sheetId="22" r:id="rId23"/>
    <sheet name="AmendApplicantProductType" sheetId="23" r:id="rId24"/>
    <sheet name="CreateCompanyReferenceWithAllDa" sheetId="24" r:id="rId25"/>
    <sheet name="CreateCompanyReferenceWithInput" sheetId="25" r:id="rId26"/>
    <sheet name="GetApplicantNotes" sheetId="30" r:id="rId27"/>
    <sheet name="(Pending) GetLatestNotes" sheetId="32" r:id="rId28"/>
  </sheets>
  <definedNames>
    <definedName name="_xlnm._FilterDatabase" localSheetId="3" hidden="1">'API Data Dictionary'!$H$3:$AO$174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32" l="1"/>
  <c r="B17" i="32"/>
  <c r="B58" i="32"/>
  <c r="G58" i="32" s="1"/>
  <c r="B57" i="32"/>
  <c r="E57" i="32" s="1"/>
  <c r="B56" i="32"/>
  <c r="F56" i="32" s="1"/>
  <c r="B55" i="32"/>
  <c r="G55" i="32" s="1"/>
  <c r="B54" i="32"/>
  <c r="D54" i="32" s="1"/>
  <c r="B51" i="32"/>
  <c r="G51" i="32" s="1"/>
  <c r="B49" i="32"/>
  <c r="C49" i="32" s="1"/>
  <c r="B41" i="32"/>
  <c r="E41" i="32" s="1"/>
  <c r="B40" i="32"/>
  <c r="F40" i="32" s="1"/>
  <c r="B39" i="32"/>
  <c r="G39" i="32" s="1"/>
  <c r="B30" i="32"/>
  <c r="E30" i="32" s="1"/>
  <c r="B29" i="32"/>
  <c r="E29" i="32" s="1"/>
  <c r="B28" i="32"/>
  <c r="E28" i="32" s="1"/>
  <c r="B27" i="32"/>
  <c r="F27" i="32" s="1"/>
  <c r="G26" i="32"/>
  <c r="B26" i="32"/>
  <c r="D26" i="32" s="1"/>
  <c r="B25" i="32"/>
  <c r="D25" i="32" s="1"/>
  <c r="B23" i="32"/>
  <c r="B21" i="32"/>
  <c r="F21" i="32" s="1"/>
  <c r="B20" i="32"/>
  <c r="G20" i="32" s="1"/>
  <c r="B18" i="32"/>
  <c r="B16" i="32"/>
  <c r="F16" i="32" s="1"/>
  <c r="B15" i="32"/>
  <c r="D15" i="32" s="1"/>
  <c r="B14" i="32"/>
  <c r="F14" i="32" s="1"/>
  <c r="B13" i="32"/>
  <c r="G13" i="32" s="1"/>
  <c r="B12" i="32"/>
  <c r="E12" i="32" s="1"/>
  <c r="B11" i="32"/>
  <c r="G11" i="32" s="1"/>
  <c r="B8" i="32"/>
  <c r="F8" i="32" s="1"/>
  <c r="B7" i="32"/>
  <c r="F7" i="32" s="1"/>
  <c r="B4" i="32"/>
  <c r="D4" i="32" s="1"/>
  <c r="B3" i="32"/>
  <c r="G3" i="32" s="1"/>
  <c r="E51" i="32" l="1"/>
  <c r="E25" i="32"/>
  <c r="E54" i="32"/>
  <c r="G27" i="32"/>
  <c r="F41" i="32"/>
  <c r="G7" i="32"/>
  <c r="G15" i="32"/>
  <c r="C25" i="32"/>
  <c r="G41" i="32"/>
  <c r="F54" i="32"/>
  <c r="G16" i="32"/>
  <c r="F25" i="32"/>
  <c r="F29" i="32"/>
  <c r="G25" i="32"/>
  <c r="C51" i="32"/>
  <c r="G12" i="32"/>
  <c r="D51" i="32"/>
  <c r="C3" i="32"/>
  <c r="F12" i="32"/>
  <c r="G29" i="32"/>
  <c r="G54" i="32"/>
  <c r="D3" i="32"/>
  <c r="C29" i="32"/>
  <c r="F51" i="32"/>
  <c r="F57" i="32"/>
  <c r="E3" i="32"/>
  <c r="C11" i="32"/>
  <c r="F3" i="32"/>
  <c r="D11" i="32"/>
  <c r="F11" i="32"/>
  <c r="E15" i="32"/>
  <c r="E26" i="32"/>
  <c r="D29" i="32"/>
  <c r="G57" i="32"/>
  <c r="E11" i="32"/>
  <c r="F15" i="32"/>
  <c r="F26" i="32"/>
  <c r="F4" i="32"/>
  <c r="G4" i="32"/>
  <c r="E4" i="32"/>
  <c r="F30" i="32"/>
  <c r="D39" i="32"/>
  <c r="G40" i="32"/>
  <c r="D49" i="32"/>
  <c r="D55" i="32"/>
  <c r="G56" i="32"/>
  <c r="D58" i="32"/>
  <c r="C21" i="32"/>
  <c r="G30" i="32"/>
  <c r="D40" i="32"/>
  <c r="D56" i="32"/>
  <c r="D21" i="32"/>
  <c r="E56" i="32"/>
  <c r="C13" i="32"/>
  <c r="C58" i="32"/>
  <c r="C7" i="32"/>
  <c r="E8" i="32"/>
  <c r="C27" i="32"/>
  <c r="F28" i="32"/>
  <c r="D16" i="32"/>
  <c r="E20" i="32"/>
  <c r="G21" i="32"/>
  <c r="D27" i="32"/>
  <c r="G28" i="32"/>
  <c r="C30" i="32"/>
  <c r="E39" i="32"/>
  <c r="E49" i="32"/>
  <c r="E55" i="32"/>
  <c r="E58" i="32"/>
  <c r="D14" i="32"/>
  <c r="C8" i="32"/>
  <c r="D28" i="32"/>
  <c r="E40" i="32"/>
  <c r="D8" i="32"/>
  <c r="C20" i="32"/>
  <c r="E21" i="32"/>
  <c r="D13" i="32"/>
  <c r="G14" i="32"/>
  <c r="C16" i="32"/>
  <c r="D20" i="32"/>
  <c r="E13" i="32"/>
  <c r="E7" i="32"/>
  <c r="G8" i="32"/>
  <c r="D12" i="32"/>
  <c r="F13" i="32"/>
  <c r="C15" i="32"/>
  <c r="E16" i="32"/>
  <c r="F20" i="32"/>
  <c r="C26" i="32"/>
  <c r="E27" i="32"/>
  <c r="D30" i="32"/>
  <c r="F39" i="32"/>
  <c r="D41" i="32"/>
  <c r="F49" i="32"/>
  <c r="C54" i="32"/>
  <c r="F55" i="32"/>
  <c r="D57" i="32"/>
  <c r="F58" i="32"/>
  <c r="E14" i="32"/>
  <c r="C39" i="32"/>
  <c r="D7" i="32"/>
  <c r="B51" i="10"/>
  <c r="E51" i="10" s="1"/>
  <c r="B52" i="10"/>
  <c r="C52" i="10" s="1"/>
  <c r="B53" i="10"/>
  <c r="C53" i="10" s="1"/>
  <c r="B54" i="10"/>
  <c r="C54" i="10" s="1"/>
  <c r="B55" i="10"/>
  <c r="F55" i="10" s="1"/>
  <c r="B56" i="10"/>
  <c r="D56" i="10" s="1"/>
  <c r="B57" i="10"/>
  <c r="F57" i="10" s="1"/>
  <c r="B58" i="10"/>
  <c r="E58" i="10" s="1"/>
  <c r="B59" i="10"/>
  <c r="G59" i="10" s="1"/>
  <c r="B60" i="10"/>
  <c r="C60" i="10" s="1"/>
  <c r="B61" i="10"/>
  <c r="C61" i="10" s="1"/>
  <c r="B62" i="10"/>
  <c r="E62" i="10" s="1"/>
  <c r="B63" i="10"/>
  <c r="G63" i="10" s="1"/>
  <c r="B64" i="10"/>
  <c r="E64" i="10" s="1"/>
  <c r="B65" i="10"/>
  <c r="C65" i="10" s="1"/>
  <c r="B66" i="10"/>
  <c r="E66" i="10" s="1"/>
  <c r="B67" i="10"/>
  <c r="G67" i="10" s="1"/>
  <c r="B68" i="10"/>
  <c r="C68" i="10" s="1"/>
  <c r="B69" i="10"/>
  <c r="C69" i="10" s="1"/>
  <c r="B70" i="10"/>
  <c r="E70" i="10" s="1"/>
  <c r="B71" i="10"/>
  <c r="G71" i="10" s="1"/>
  <c r="B72" i="10"/>
  <c r="B73" i="10"/>
  <c r="C73" i="10" s="1"/>
  <c r="B74" i="10"/>
  <c r="E74" i="10" s="1"/>
  <c r="B75" i="10"/>
  <c r="B76" i="10"/>
  <c r="F76" i="10" s="1"/>
  <c r="B77" i="10"/>
  <c r="C77" i="10" s="1"/>
  <c r="B78" i="10"/>
  <c r="B79" i="10"/>
  <c r="G79" i="10" s="1"/>
  <c r="B80" i="10"/>
  <c r="E80" i="10" s="1"/>
  <c r="B81" i="10"/>
  <c r="D81" i="10" s="1"/>
  <c r="B82" i="10"/>
  <c r="F82" i="10" s="1"/>
  <c r="B83" i="10"/>
  <c r="C83" i="10" s="1"/>
  <c r="B84" i="10"/>
  <c r="E84" i="10" s="1"/>
  <c r="B85" i="10"/>
  <c r="D85" i="10" s="1"/>
  <c r="B86" i="10"/>
  <c r="G86" i="10" s="1"/>
  <c r="B87" i="10"/>
  <c r="D87" i="10" s="1"/>
  <c r="B88" i="10"/>
  <c r="C88" i="10" s="1"/>
  <c r="B89" i="10"/>
  <c r="E89" i="10" s="1"/>
  <c r="B90" i="10"/>
  <c r="D90" i="10" s="1"/>
  <c r="B91" i="10"/>
  <c r="C91" i="10" s="1"/>
  <c r="B92" i="10"/>
  <c r="C92" i="10" s="1"/>
  <c r="B93" i="10"/>
  <c r="D93" i="10" s="1"/>
  <c r="B94" i="10"/>
  <c r="G94" i="10" s="1"/>
  <c r="B95" i="10"/>
  <c r="E95" i="10"/>
  <c r="B96" i="10"/>
  <c r="E96" i="10" s="1"/>
  <c r="B97" i="10"/>
  <c r="F97" i="10" s="1"/>
  <c r="B98" i="10"/>
  <c r="E98" i="10" s="1"/>
  <c r="B99" i="10"/>
  <c r="D99" i="10" s="1"/>
  <c r="B100" i="10"/>
  <c r="B101" i="10"/>
  <c r="F101" i="10" s="1"/>
  <c r="B102" i="10"/>
  <c r="G102" i="10" s="1"/>
  <c r="B103" i="10"/>
  <c r="D103" i="10" s="1"/>
  <c r="B104" i="10"/>
  <c r="D104" i="10" s="1"/>
  <c r="B105" i="10"/>
  <c r="E105" i="10" s="1"/>
  <c r="B106" i="10"/>
  <c r="G106" i="10" s="1"/>
  <c r="B107" i="10"/>
  <c r="D107" i="10" s="1"/>
  <c r="B108" i="10"/>
  <c r="C108" i="10" s="1"/>
  <c r="B109" i="10"/>
  <c r="E109" i="10" s="1"/>
  <c r="B110" i="10"/>
  <c r="G110" i="10" s="1"/>
  <c r="B111" i="10"/>
  <c r="E111" i="10" s="1"/>
  <c r="C111" i="10"/>
  <c r="B112" i="10"/>
  <c r="C112" i="10" s="1"/>
  <c r="D112" i="10"/>
  <c r="B113" i="10"/>
  <c r="E113" i="10" s="1"/>
  <c r="B114" i="10"/>
  <c r="G114" i="10" s="1"/>
  <c r="B115" i="10"/>
  <c r="B116" i="10"/>
  <c r="C116" i="10" s="1"/>
  <c r="B117" i="10"/>
  <c r="E117" i="10" s="1"/>
  <c r="B118" i="10"/>
  <c r="D118" i="10" s="1"/>
  <c r="B119" i="10"/>
  <c r="G119" i="10" s="1"/>
  <c r="B120" i="10"/>
  <c r="C120" i="10" s="1"/>
  <c r="B121" i="10"/>
  <c r="D121" i="10" s="1"/>
  <c r="B122" i="10"/>
  <c r="B123" i="10"/>
  <c r="G123" i="10" s="1"/>
  <c r="B124" i="10"/>
  <c r="E124" i="10" s="1"/>
  <c r="B125" i="10"/>
  <c r="B126" i="10"/>
  <c r="E126" i="10" s="1"/>
  <c r="B127" i="10"/>
  <c r="D127" i="10" s="1"/>
  <c r="B128" i="10"/>
  <c r="D128" i="10" s="1"/>
  <c r="B129" i="10"/>
  <c r="F129" i="10" s="1"/>
  <c r="B130" i="10"/>
  <c r="D130" i="10" s="1"/>
  <c r="B131" i="10"/>
  <c r="D131" i="10" s="1"/>
  <c r="C131" i="10"/>
  <c r="B132" i="10"/>
  <c r="F132" i="10" s="1"/>
  <c r="B133" i="10"/>
  <c r="G133" i="10" s="1"/>
  <c r="B134" i="10"/>
  <c r="E134" i="10" s="1"/>
  <c r="B135" i="10"/>
  <c r="G135" i="10" s="1"/>
  <c r="D135" i="10"/>
  <c r="B136" i="10"/>
  <c r="E136" i="10" s="1"/>
  <c r="B137" i="10"/>
  <c r="G137" i="10" s="1"/>
  <c r="B138" i="10"/>
  <c r="C138" i="10" s="1"/>
  <c r="B139" i="10"/>
  <c r="C139" i="10" s="1"/>
  <c r="B140" i="10"/>
  <c r="E140" i="10" s="1"/>
  <c r="C140" i="10"/>
  <c r="G140" i="10"/>
  <c r="B141" i="10"/>
  <c r="C141" i="10" s="1"/>
  <c r="B142" i="10"/>
  <c r="C142" i="10" s="1"/>
  <c r="B143" i="10"/>
  <c r="C143" i="10" s="1"/>
  <c r="B144" i="10"/>
  <c r="C144" i="10" s="1"/>
  <c r="B145" i="10"/>
  <c r="E145" i="10" s="1"/>
  <c r="B146" i="10"/>
  <c r="E146" i="10" s="1"/>
  <c r="B147" i="10"/>
  <c r="D147" i="10" s="1"/>
  <c r="B148" i="10"/>
  <c r="F148" i="10" s="1"/>
  <c r="B149" i="10"/>
  <c r="D149" i="10" s="1"/>
  <c r="B150" i="10"/>
  <c r="F150" i="10" s="1"/>
  <c r="B151" i="10"/>
  <c r="E151" i="10" s="1"/>
  <c r="B152" i="10"/>
  <c r="F152" i="10" s="1"/>
  <c r="B153" i="10"/>
  <c r="D153" i="10" s="1"/>
  <c r="B154" i="10"/>
  <c r="D154" i="10" s="1"/>
  <c r="B155" i="10"/>
  <c r="E155" i="10" s="1"/>
  <c r="B156" i="10"/>
  <c r="D156" i="10" s="1"/>
  <c r="B157" i="10"/>
  <c r="E157" i="10" s="1"/>
  <c r="B158" i="10"/>
  <c r="E158" i="10" s="1"/>
  <c r="B159" i="10"/>
  <c r="E159" i="10" s="1"/>
  <c r="B160" i="10"/>
  <c r="F160" i="10" s="1"/>
  <c r="B161" i="10"/>
  <c r="E161" i="10" s="1"/>
  <c r="B162" i="10"/>
  <c r="D162" i="10" s="1"/>
  <c r="B163" i="10"/>
  <c r="D163" i="10" s="1"/>
  <c r="G163" i="10"/>
  <c r="B164" i="10"/>
  <c r="B165" i="10"/>
  <c r="G165" i="10" s="1"/>
  <c r="B166" i="10"/>
  <c r="E166" i="10" s="1"/>
  <c r="B167" i="10"/>
  <c r="F167" i="10" s="1"/>
  <c r="B168" i="10"/>
  <c r="G168" i="10" s="1"/>
  <c r="B169" i="10"/>
  <c r="D169" i="10" s="1"/>
  <c r="B170" i="10"/>
  <c r="G170" i="10" s="1"/>
  <c r="D170" i="10"/>
  <c r="B171" i="10"/>
  <c r="E171" i="10" s="1"/>
  <c r="B172" i="10"/>
  <c r="G172" i="10" s="1"/>
  <c r="B173" i="10"/>
  <c r="D173" i="10" s="1"/>
  <c r="B174" i="10"/>
  <c r="F174" i="10" s="1"/>
  <c r="B175" i="10"/>
  <c r="F175" i="10" s="1"/>
  <c r="B176" i="10"/>
  <c r="C176" i="10" s="1"/>
  <c r="B177" i="10"/>
  <c r="F177" i="10" s="1"/>
  <c r="B178" i="10"/>
  <c r="D178" i="10" s="1"/>
  <c r="B179" i="10"/>
  <c r="F179" i="10" s="1"/>
  <c r="B180" i="10"/>
  <c r="D180" i="10" s="1"/>
  <c r="B181" i="10"/>
  <c r="C181" i="10" s="1"/>
  <c r="B182" i="10"/>
  <c r="E182" i="10" s="1"/>
  <c r="B183" i="10"/>
  <c r="G183" i="10" s="1"/>
  <c r="B184" i="10"/>
  <c r="C184" i="10" s="1"/>
  <c r="B185" i="10"/>
  <c r="C185" i="10" s="1"/>
  <c r="B186" i="10"/>
  <c r="E186" i="10" s="1"/>
  <c r="B187" i="10"/>
  <c r="G187" i="10" s="1"/>
  <c r="B188" i="10"/>
  <c r="F188" i="10" s="1"/>
  <c r="B189" i="10"/>
  <c r="C189" i="10" s="1"/>
  <c r="B190" i="10"/>
  <c r="E190" i="10" s="1"/>
  <c r="B191" i="10"/>
  <c r="G191" i="10" s="1"/>
  <c r="B192" i="10"/>
  <c r="D192" i="10" s="1"/>
  <c r="B193" i="10"/>
  <c r="C193" i="10" s="1"/>
  <c r="B194" i="10"/>
  <c r="E194" i="10" s="1"/>
  <c r="B195" i="10"/>
  <c r="G195" i="10" s="1"/>
  <c r="B196" i="10"/>
  <c r="D196" i="10" s="1"/>
  <c r="B197" i="10"/>
  <c r="C197" i="10" s="1"/>
  <c r="D197" i="10"/>
  <c r="B198" i="10"/>
  <c r="E198" i="10" s="1"/>
  <c r="C198" i="10"/>
  <c r="B199" i="10"/>
  <c r="G199" i="10" s="1"/>
  <c r="B200" i="10"/>
  <c r="G200" i="10" s="1"/>
  <c r="D200" i="10"/>
  <c r="B201" i="10"/>
  <c r="C201" i="10" s="1"/>
  <c r="B202" i="10"/>
  <c r="E202" i="10" s="1"/>
  <c r="C202" i="10"/>
  <c r="F111" i="10" l="1"/>
  <c r="E91" i="10"/>
  <c r="F70" i="10"/>
  <c r="D70" i="10"/>
  <c r="G147" i="10"/>
  <c r="C114" i="10"/>
  <c r="F103" i="10"/>
  <c r="C82" i="10"/>
  <c r="E200" i="10"/>
  <c r="C188" i="10"/>
  <c r="D181" i="10"/>
  <c r="E119" i="10"/>
  <c r="E81" i="10"/>
  <c r="D159" i="10"/>
  <c r="G112" i="10"/>
  <c r="F168" i="10"/>
  <c r="E177" i="10"/>
  <c r="F108" i="10"/>
  <c r="D168" i="10"/>
  <c r="C199" i="10"/>
  <c r="D188" i="10"/>
  <c r="D182" i="10"/>
  <c r="C177" i="10"/>
  <c r="C168" i="10"/>
  <c r="G131" i="10"/>
  <c r="D114" i="10"/>
  <c r="D108" i="10"/>
  <c r="G91" i="10"/>
  <c r="E73" i="10"/>
  <c r="E175" i="10"/>
  <c r="F113" i="10"/>
  <c r="G52" i="10"/>
  <c r="F197" i="10"/>
  <c r="D191" i="10"/>
  <c r="C175" i="10"/>
  <c r="C169" i="10"/>
  <c r="G151" i="10"/>
  <c r="C134" i="10"/>
  <c r="G129" i="10"/>
  <c r="C113" i="10"/>
  <c r="F99" i="10"/>
  <c r="E94" i="10"/>
  <c r="E82" i="10"/>
  <c r="D58" i="10"/>
  <c r="F52" i="10"/>
  <c r="G139" i="10"/>
  <c r="E123" i="10"/>
  <c r="F104" i="10"/>
  <c r="C99" i="10"/>
  <c r="D88" i="10"/>
  <c r="E76" i="10"/>
  <c r="F128" i="10"/>
  <c r="G108" i="10"/>
  <c r="C76" i="10"/>
  <c r="F145" i="10"/>
  <c r="E130" i="10"/>
  <c r="F116" i="10"/>
  <c r="E102" i="10"/>
  <c r="E188" i="10"/>
  <c r="E183" i="10"/>
  <c r="C179" i="10"/>
  <c r="D177" i="10"/>
  <c r="C166" i="10"/>
  <c r="C162" i="10"/>
  <c r="D145" i="10"/>
  <c r="D138" i="10"/>
  <c r="C130" i="10"/>
  <c r="E120" i="10"/>
  <c r="D116" i="10"/>
  <c r="D113" i="10"/>
  <c r="D111" i="10"/>
  <c r="C102" i="10"/>
  <c r="D79" i="10"/>
  <c r="D76" i="10"/>
  <c r="E67" i="10"/>
  <c r="E61" i="10"/>
  <c r="G58" i="10"/>
  <c r="G198" i="10"/>
  <c r="F196" i="10"/>
  <c r="F172" i="10"/>
  <c r="F200" i="10"/>
  <c r="F198" i="10"/>
  <c r="C196" i="10"/>
  <c r="E191" i="10"/>
  <c r="G178" i="10"/>
  <c r="E172" i="10"/>
  <c r="D144" i="10"/>
  <c r="D137" i="10"/>
  <c r="C178" i="10"/>
  <c r="C172" i="10"/>
  <c r="E154" i="10"/>
  <c r="C137" i="10"/>
  <c r="F134" i="10"/>
  <c r="E131" i="10"/>
  <c r="F110" i="10"/>
  <c r="F77" i="10"/>
  <c r="F59" i="10"/>
  <c r="E57" i="10"/>
  <c r="G107" i="10"/>
  <c r="F84" i="10"/>
  <c r="E59" i="10"/>
  <c r="D51" i="10"/>
  <c r="F163" i="10"/>
  <c r="E139" i="10"/>
  <c r="F136" i="10"/>
  <c r="G109" i="10"/>
  <c r="E107" i="10"/>
  <c r="D84" i="10"/>
  <c r="G76" i="10"/>
  <c r="G68" i="10"/>
  <c r="D59" i="10"/>
  <c r="C51" i="10"/>
  <c r="D194" i="10"/>
  <c r="G177" i="10"/>
  <c r="G202" i="10"/>
  <c r="F199" i="10"/>
  <c r="E197" i="10"/>
  <c r="C194" i="10"/>
  <c r="F189" i="10"/>
  <c r="G180" i="10"/>
  <c r="E170" i="10"/>
  <c r="D139" i="10"/>
  <c r="C136" i="10"/>
  <c r="F133" i="10"/>
  <c r="G130" i="10"/>
  <c r="G116" i="10"/>
  <c r="G113" i="10"/>
  <c r="G111" i="10"/>
  <c r="C109" i="10"/>
  <c r="C107" i="10"/>
  <c r="G88" i="10"/>
  <c r="C84" i="10"/>
  <c r="D80" i="10"/>
  <c r="E68" i="10"/>
  <c r="G62" i="10"/>
  <c r="C59" i="10"/>
  <c r="C129" i="10"/>
  <c r="D119" i="10"/>
  <c r="E110" i="10"/>
  <c r="G85" i="10"/>
  <c r="F74" i="10"/>
  <c r="D67" i="10"/>
  <c r="D61" i="10"/>
  <c r="D57" i="10"/>
  <c r="F54" i="10"/>
  <c r="E52" i="10"/>
  <c r="D110" i="10"/>
  <c r="F106" i="10"/>
  <c r="F85" i="10"/>
  <c r="G81" i="10"/>
  <c r="F79" i="10"/>
  <c r="D52" i="10"/>
  <c r="F161" i="10"/>
  <c r="G201" i="10"/>
  <c r="C200" i="10"/>
  <c r="F195" i="10"/>
  <c r="C191" i="10"/>
  <c r="F180" i="10"/>
  <c r="F178" i="10"/>
  <c r="E174" i="10"/>
  <c r="D172" i="10"/>
  <c r="G169" i="10"/>
  <c r="E165" i="10"/>
  <c r="C161" i="10"/>
  <c r="D150" i="10"/>
  <c r="G143" i="10"/>
  <c r="D140" i="10"/>
  <c r="G138" i="10"/>
  <c r="G136" i="10"/>
  <c r="G134" i="10"/>
  <c r="F130" i="10"/>
  <c r="G128" i="10"/>
  <c r="G120" i="10"/>
  <c r="E116" i="10"/>
  <c r="C110" i="10"/>
  <c r="C106" i="10"/>
  <c r="E88" i="10"/>
  <c r="C85" i="10"/>
  <c r="G83" i="10"/>
  <c r="F81" i="10"/>
  <c r="E79" i="10"/>
  <c r="F73" i="10"/>
  <c r="F62" i="10"/>
  <c r="G60" i="10"/>
  <c r="F58" i="10"/>
  <c r="E56" i="10"/>
  <c r="G53" i="10"/>
  <c r="G65" i="10"/>
  <c r="D62" i="10"/>
  <c r="F53" i="10"/>
  <c r="F165" i="10"/>
  <c r="F201" i="10"/>
  <c r="E195" i="10"/>
  <c r="G192" i="10"/>
  <c r="E180" i="10"/>
  <c r="G176" i="10"/>
  <c r="D165" i="10"/>
  <c r="G162" i="10"/>
  <c r="F157" i="10"/>
  <c r="E153" i="10"/>
  <c r="E143" i="10"/>
  <c r="D201" i="10"/>
  <c r="C195" i="10"/>
  <c r="F192" i="10"/>
  <c r="F186" i="10"/>
  <c r="D176" i="10"/>
  <c r="G173" i="10"/>
  <c r="G166" i="10"/>
  <c r="C165" i="10"/>
  <c r="F162" i="10"/>
  <c r="C157" i="10"/>
  <c r="C153" i="10"/>
  <c r="D143" i="10"/>
  <c r="D136" i="10"/>
  <c r="D134" i="10"/>
  <c r="F131" i="10"/>
  <c r="C128" i="10"/>
  <c r="D120" i="10"/>
  <c r="G117" i="10"/>
  <c r="F107" i="10"/>
  <c r="G105" i="10"/>
  <c r="C103" i="10"/>
  <c r="G99" i="10"/>
  <c r="G84" i="10"/>
  <c r="G82" i="10"/>
  <c r="C81" i="10"/>
  <c r="C79" i="10"/>
  <c r="E65" i="10"/>
  <c r="C58" i="10"/>
  <c r="E55" i="10"/>
  <c r="E53" i="10"/>
  <c r="E192" i="10"/>
  <c r="G181" i="10"/>
  <c r="F173" i="10"/>
  <c r="F166" i="10"/>
  <c r="E162" i="10"/>
  <c r="G148" i="10"/>
  <c r="D117" i="10"/>
  <c r="F105" i="10"/>
  <c r="G61" i="10"/>
  <c r="D55" i="10"/>
  <c r="F194" i="10"/>
  <c r="C192" i="10"/>
  <c r="E185" i="10"/>
  <c r="E181" i="10"/>
  <c r="G179" i="10"/>
  <c r="G175" i="10"/>
  <c r="C173" i="10"/>
  <c r="E168" i="10"/>
  <c r="D166" i="10"/>
  <c r="F159" i="10"/>
  <c r="D152" i="10"/>
  <c r="D148" i="10"/>
  <c r="F139" i="10"/>
  <c r="F137" i="10"/>
  <c r="C117" i="10"/>
  <c r="F114" i="10"/>
  <c r="C105" i="10"/>
  <c r="F102" i="10"/>
  <c r="E99" i="10"/>
  <c r="D86" i="10"/>
  <c r="D82" i="10"/>
  <c r="G80" i="10"/>
  <c r="E71" i="10"/>
  <c r="D64" i="10"/>
  <c r="F61" i="10"/>
  <c r="G57" i="10"/>
  <c r="C55" i="10"/>
  <c r="E164" i="10"/>
  <c r="D164" i="10"/>
  <c r="E160" i="10"/>
  <c r="D160" i="10"/>
  <c r="E125" i="10"/>
  <c r="G125" i="10"/>
  <c r="C125" i="10"/>
  <c r="G122" i="10"/>
  <c r="F122" i="10"/>
  <c r="C122" i="10"/>
  <c r="C115" i="10"/>
  <c r="E115" i="10"/>
  <c r="F115" i="10"/>
  <c r="C100" i="10"/>
  <c r="D100" i="10"/>
  <c r="E100" i="10"/>
  <c r="G100" i="10"/>
  <c r="G75" i="10"/>
  <c r="C75" i="10"/>
  <c r="D75" i="10"/>
  <c r="E75" i="10"/>
  <c r="F75" i="10"/>
  <c r="E189" i="10"/>
  <c r="D186" i="10"/>
  <c r="G184" i="10"/>
  <c r="D183" i="10"/>
  <c r="F155" i="10"/>
  <c r="F151" i="10"/>
  <c r="E149" i="10"/>
  <c r="E147" i="10"/>
  <c r="G141" i="10"/>
  <c r="E141" i="10"/>
  <c r="F141" i="10"/>
  <c r="E133" i="10"/>
  <c r="F127" i="10"/>
  <c r="E97" i="10"/>
  <c r="C97" i="10"/>
  <c r="D97" i="10"/>
  <c r="G97" i="10"/>
  <c r="E93" i="10"/>
  <c r="F93" i="10"/>
  <c r="G93" i="10"/>
  <c r="C93" i="10"/>
  <c r="E201" i="10"/>
  <c r="D198" i="10"/>
  <c r="G196" i="10"/>
  <c r="D195" i="10"/>
  <c r="G193" i="10"/>
  <c r="G190" i="10"/>
  <c r="D189" i="10"/>
  <c r="F187" i="10"/>
  <c r="C186" i="10"/>
  <c r="F184" i="10"/>
  <c r="C183" i="10"/>
  <c r="F181" i="10"/>
  <c r="E178" i="10"/>
  <c r="D175" i="10"/>
  <c r="E173" i="10"/>
  <c r="G171" i="10"/>
  <c r="C170" i="10"/>
  <c r="F170" i="10"/>
  <c r="C163" i="10"/>
  <c r="E163" i="10"/>
  <c r="G145" i="10"/>
  <c r="C145" i="10"/>
  <c r="G142" i="10"/>
  <c r="C135" i="10"/>
  <c r="E135" i="10"/>
  <c r="F135" i="10"/>
  <c r="D133" i="10"/>
  <c r="C124" i="10"/>
  <c r="D124" i="10"/>
  <c r="F124" i="10"/>
  <c r="G124" i="10"/>
  <c r="E121" i="10"/>
  <c r="C121" i="10"/>
  <c r="F121" i="10"/>
  <c r="G121" i="10"/>
  <c r="F119" i="10"/>
  <c r="C119" i="10"/>
  <c r="E156" i="10"/>
  <c r="G156" i="10"/>
  <c r="F190" i="10"/>
  <c r="C147" i="10"/>
  <c r="F147" i="10"/>
  <c r="E127" i="10"/>
  <c r="G127" i="10"/>
  <c r="C96" i="10"/>
  <c r="F96" i="10"/>
  <c r="G96" i="10"/>
  <c r="D96" i="10"/>
  <c r="G161" i="10"/>
  <c r="D161" i="10"/>
  <c r="G157" i="10"/>
  <c r="D157" i="10"/>
  <c r="G154" i="10"/>
  <c r="G146" i="10"/>
  <c r="E142" i="10"/>
  <c r="G118" i="10"/>
  <c r="C118" i="10"/>
  <c r="E118" i="10"/>
  <c r="F118" i="10"/>
  <c r="C167" i="10"/>
  <c r="E167" i="10"/>
  <c r="D158" i="10"/>
  <c r="G158" i="10"/>
  <c r="F193" i="10"/>
  <c r="E187" i="10"/>
  <c r="E184" i="10"/>
  <c r="F171" i="10"/>
  <c r="G164" i="10"/>
  <c r="C155" i="10"/>
  <c r="D155" i="10"/>
  <c r="G155" i="10"/>
  <c r="C151" i="10"/>
  <c r="D151" i="10"/>
  <c r="G149" i="10"/>
  <c r="C149" i="10"/>
  <c r="F149" i="10"/>
  <c r="F142" i="10"/>
  <c r="F202" i="10"/>
  <c r="E199" i="10"/>
  <c r="E196" i="10"/>
  <c r="E193" i="10"/>
  <c r="D190" i="10"/>
  <c r="G188" i="10"/>
  <c r="D187" i="10"/>
  <c r="G185" i="10"/>
  <c r="D184" i="10"/>
  <c r="G182" i="10"/>
  <c r="E179" i="10"/>
  <c r="F176" i="10"/>
  <c r="D171" i="10"/>
  <c r="F169" i="10"/>
  <c r="F164" i="10"/>
  <c r="C159" i="10"/>
  <c r="G159" i="10"/>
  <c r="G153" i="10"/>
  <c r="F153" i="10"/>
  <c r="G150" i="10"/>
  <c r="D202" i="10"/>
  <c r="D199" i="10"/>
  <c r="G197" i="10"/>
  <c r="G194" i="10"/>
  <c r="D193" i="10"/>
  <c r="F191" i="10"/>
  <c r="C190" i="10"/>
  <c r="C187" i="10"/>
  <c r="F185" i="10"/>
  <c r="F182" i="10"/>
  <c r="D179" i="10"/>
  <c r="E176" i="10"/>
  <c r="C171" i="10"/>
  <c r="E169" i="10"/>
  <c r="G167" i="10"/>
  <c r="C164" i="10"/>
  <c r="G160" i="10"/>
  <c r="F158" i="10"/>
  <c r="F156" i="10"/>
  <c r="F154" i="10"/>
  <c r="E150" i="10"/>
  <c r="E144" i="10"/>
  <c r="F144" i="10"/>
  <c r="G144" i="10"/>
  <c r="D142" i="10"/>
  <c r="D132" i="10"/>
  <c r="C132" i="10"/>
  <c r="E132" i="10"/>
  <c r="G132" i="10"/>
  <c r="G126" i="10"/>
  <c r="C126" i="10"/>
  <c r="D126" i="10"/>
  <c r="F126" i="10"/>
  <c r="C123" i="10"/>
  <c r="D123" i="10"/>
  <c r="F123" i="10"/>
  <c r="C104" i="10"/>
  <c r="E104" i="10"/>
  <c r="G104" i="10"/>
  <c r="C95" i="10"/>
  <c r="D95" i="10"/>
  <c r="F95" i="10"/>
  <c r="G95" i="10"/>
  <c r="E138" i="10"/>
  <c r="F138" i="10"/>
  <c r="F125" i="10"/>
  <c r="E122" i="10"/>
  <c r="G115" i="10"/>
  <c r="E101" i="10"/>
  <c r="C101" i="10"/>
  <c r="D101" i="10"/>
  <c r="G101" i="10"/>
  <c r="E87" i="10"/>
  <c r="F87" i="10"/>
  <c r="G87" i="10"/>
  <c r="C87" i="10"/>
  <c r="C72" i="10"/>
  <c r="D72" i="10"/>
  <c r="E72" i="10"/>
  <c r="F72" i="10"/>
  <c r="G72" i="10"/>
  <c r="C146" i="10"/>
  <c r="D146" i="10"/>
  <c r="F146" i="10"/>
  <c r="G189" i="10"/>
  <c r="G186" i="10"/>
  <c r="D185" i="10"/>
  <c r="F183" i="10"/>
  <c r="C182" i="10"/>
  <c r="D174" i="10"/>
  <c r="G174" i="10"/>
  <c r="D167" i="10"/>
  <c r="C160" i="10"/>
  <c r="C158" i="10"/>
  <c r="C156" i="10"/>
  <c r="C154" i="10"/>
  <c r="E152" i="10"/>
  <c r="C152" i="10"/>
  <c r="G152" i="10"/>
  <c r="C150" i="10"/>
  <c r="E148" i="10"/>
  <c r="C148" i="10"/>
  <c r="D141" i="10"/>
  <c r="D125" i="10"/>
  <c r="D122" i="10"/>
  <c r="D115" i="10"/>
  <c r="F100" i="10"/>
  <c r="G98" i="10"/>
  <c r="C98" i="10"/>
  <c r="D98" i="10"/>
  <c r="F98" i="10"/>
  <c r="G90" i="10"/>
  <c r="E90" i="10"/>
  <c r="F90" i="10"/>
  <c r="C90" i="10"/>
  <c r="E78" i="10"/>
  <c r="C78" i="10"/>
  <c r="D78" i="10"/>
  <c r="F78" i="10"/>
  <c r="G78" i="10"/>
  <c r="F143" i="10"/>
  <c r="F140" i="10"/>
  <c r="E137" i="10"/>
  <c r="E128" i="10"/>
  <c r="F120" i="10"/>
  <c r="F117" i="10"/>
  <c r="E114" i="10"/>
  <c r="E108" i="10"/>
  <c r="D105" i="10"/>
  <c r="G103" i="10"/>
  <c r="D102" i="10"/>
  <c r="F94" i="10"/>
  <c r="F91" i="10"/>
  <c r="F88" i="10"/>
  <c r="E85" i="10"/>
  <c r="G77" i="10"/>
  <c r="G74" i="10"/>
  <c r="D73" i="10"/>
  <c r="F71" i="10"/>
  <c r="C70" i="10"/>
  <c r="F68" i="10"/>
  <c r="C67" i="10"/>
  <c r="F65" i="10"/>
  <c r="C64" i="10"/>
  <c r="C56" i="10"/>
  <c r="D54" i="10"/>
  <c r="E54" i="10"/>
  <c r="E129" i="10"/>
  <c r="F112" i="10"/>
  <c r="F109" i="10"/>
  <c r="E106" i="10"/>
  <c r="E103" i="10"/>
  <c r="D94" i="10"/>
  <c r="G92" i="10"/>
  <c r="D91" i="10"/>
  <c r="G89" i="10"/>
  <c r="F86" i="10"/>
  <c r="F83" i="10"/>
  <c r="F80" i="10"/>
  <c r="E77" i="10"/>
  <c r="D74" i="10"/>
  <c r="D71" i="10"/>
  <c r="G69" i="10"/>
  <c r="D68" i="10"/>
  <c r="G66" i="10"/>
  <c r="D65" i="10"/>
  <c r="F63" i="10"/>
  <c r="C62" i="10"/>
  <c r="F60" i="10"/>
  <c r="D129" i="10"/>
  <c r="E112" i="10"/>
  <c r="D109" i="10"/>
  <c r="D106" i="10"/>
  <c r="C94" i="10"/>
  <c r="F92" i="10"/>
  <c r="F89" i="10"/>
  <c r="E86" i="10"/>
  <c r="E83" i="10"/>
  <c r="D77" i="10"/>
  <c r="C74" i="10"/>
  <c r="C71" i="10"/>
  <c r="F69" i="10"/>
  <c r="F66" i="10"/>
  <c r="E63" i="10"/>
  <c r="E60" i="10"/>
  <c r="E92" i="10"/>
  <c r="D89" i="10"/>
  <c r="D83" i="10"/>
  <c r="E69" i="10"/>
  <c r="D66" i="10"/>
  <c r="G64" i="10"/>
  <c r="D63" i="10"/>
  <c r="D60" i="10"/>
  <c r="D92" i="10"/>
  <c r="C89" i="10"/>
  <c r="G73" i="10"/>
  <c r="G70" i="10"/>
  <c r="D69" i="10"/>
  <c r="F67" i="10"/>
  <c r="C66" i="10"/>
  <c r="F64" i="10"/>
  <c r="C63" i="10"/>
  <c r="G56" i="10"/>
  <c r="F56" i="10"/>
  <c r="G54" i="10"/>
  <c r="D53" i="10"/>
  <c r="C57" i="10"/>
  <c r="G55" i="10"/>
  <c r="G51" i="10"/>
  <c r="F51" i="10"/>
  <c r="B21" i="13"/>
  <c r="B20" i="13"/>
  <c r="B19" i="13"/>
  <c r="B19" i="30"/>
  <c r="B54" i="30"/>
  <c r="G54" i="30" s="1"/>
  <c r="B53" i="30"/>
  <c r="E53" i="30" s="1"/>
  <c r="B52" i="30"/>
  <c r="G52" i="30" s="1"/>
  <c r="B51" i="30"/>
  <c r="G51" i="30" s="1"/>
  <c r="B50" i="30"/>
  <c r="D50" i="30" s="1"/>
  <c r="B47" i="30"/>
  <c r="G47" i="30" s="1"/>
  <c r="B45" i="30"/>
  <c r="F45" i="30" s="1"/>
  <c r="B37" i="30"/>
  <c r="E37" i="30" s="1"/>
  <c r="B36" i="30"/>
  <c r="G36" i="30" s="1"/>
  <c r="B35" i="30"/>
  <c r="G35" i="30" s="1"/>
  <c r="B26" i="30"/>
  <c r="G26" i="30" s="1"/>
  <c r="B25" i="30"/>
  <c r="G25" i="30" s="1"/>
  <c r="B24" i="30"/>
  <c r="E24" i="30" s="1"/>
  <c r="F23" i="30"/>
  <c r="D23" i="30"/>
  <c r="B23" i="30"/>
  <c r="C23" i="30" s="1"/>
  <c r="B22" i="30"/>
  <c r="G22" i="30" s="1"/>
  <c r="B21" i="30"/>
  <c r="G21" i="30" s="1"/>
  <c r="B18" i="30"/>
  <c r="D18" i="30" s="1"/>
  <c r="B17" i="30"/>
  <c r="E17" i="30" s="1"/>
  <c r="B15" i="30"/>
  <c r="B14" i="30"/>
  <c r="G14" i="30" s="1"/>
  <c r="B13" i="30"/>
  <c r="G13" i="30" s="1"/>
  <c r="B12" i="30"/>
  <c r="E12" i="30" s="1"/>
  <c r="B11" i="30"/>
  <c r="G11" i="30" s="1"/>
  <c r="B10" i="30"/>
  <c r="G10" i="30" s="1"/>
  <c r="B9" i="30"/>
  <c r="D9" i="30" s="1"/>
  <c r="F6" i="30"/>
  <c r="B6" i="30"/>
  <c r="D6" i="30" s="1"/>
  <c r="B5" i="30"/>
  <c r="G5" i="30" s="1"/>
  <c r="B4" i="30"/>
  <c r="G4" i="30" s="1"/>
  <c r="B3" i="30"/>
  <c r="D3" i="30" s="1"/>
  <c r="B89" i="29"/>
  <c r="G88" i="29" s="1"/>
  <c r="B88" i="29"/>
  <c r="E88" i="29" s="1"/>
  <c r="B87" i="29"/>
  <c r="G86" i="29" s="1"/>
  <c r="B86" i="29"/>
  <c r="G85" i="29" s="1"/>
  <c r="F85" i="29"/>
  <c r="E85" i="29"/>
  <c r="B85" i="29"/>
  <c r="D85" i="29" s="1"/>
  <c r="B82" i="29"/>
  <c r="G81" i="29" s="1"/>
  <c r="B80" i="29"/>
  <c r="G79" i="29" s="1"/>
  <c r="B77" i="29"/>
  <c r="D77" i="29" s="1"/>
  <c r="B76" i="29"/>
  <c r="D76" i="29" s="1"/>
  <c r="B73" i="29"/>
  <c r="D73" i="29" s="1"/>
  <c r="G68" i="29"/>
  <c r="B69" i="29"/>
  <c r="F69" i="29" s="1"/>
  <c r="B68" i="29"/>
  <c r="E68" i="29" s="1"/>
  <c r="B67" i="29"/>
  <c r="G66" i="29" s="1"/>
  <c r="B58" i="29"/>
  <c r="E58" i="29" s="1"/>
  <c r="B57" i="29"/>
  <c r="G56" i="29" s="1"/>
  <c r="B56" i="29"/>
  <c r="G55" i="29" s="1"/>
  <c r="B55" i="29"/>
  <c r="G54" i="29" s="1"/>
  <c r="B54" i="29"/>
  <c r="B52" i="29"/>
  <c r="B51" i="29"/>
  <c r="E51" i="29" s="1"/>
  <c r="B50" i="29"/>
  <c r="G50" i="29" s="1"/>
  <c r="B49" i="29"/>
  <c r="G49" i="29" s="1"/>
  <c r="B48" i="29"/>
  <c r="E48" i="29" s="1"/>
  <c r="B47" i="29"/>
  <c r="G47" i="29" s="1"/>
  <c r="B46" i="29"/>
  <c r="G46" i="29" s="1"/>
  <c r="G45" i="29"/>
  <c r="F45" i="29"/>
  <c r="E45" i="29"/>
  <c r="B45" i="29"/>
  <c r="D45" i="29" s="1"/>
  <c r="B44" i="29"/>
  <c r="G44" i="29" s="1"/>
  <c r="B41" i="29"/>
  <c r="G41" i="29" s="1"/>
  <c r="B40" i="29"/>
  <c r="G40" i="29" s="1"/>
  <c r="B39" i="29"/>
  <c r="D39" i="29" s="1"/>
  <c r="B38" i="29"/>
  <c r="G38" i="29" s="1"/>
  <c r="B37" i="29"/>
  <c r="G37" i="29" s="1"/>
  <c r="B36" i="29"/>
  <c r="G36" i="29" s="1"/>
  <c r="F35" i="29"/>
  <c r="B35" i="29"/>
  <c r="E35" i="29" s="1"/>
  <c r="B34" i="29"/>
  <c r="G34" i="29" s="1"/>
  <c r="B33" i="29"/>
  <c r="C33" i="29" s="1"/>
  <c r="B32" i="29"/>
  <c r="G32" i="29" s="1"/>
  <c r="B31" i="29"/>
  <c r="D31" i="29" s="1"/>
  <c r="D30" i="29"/>
  <c r="C30" i="29"/>
  <c r="B30" i="29"/>
  <c r="G30" i="29" s="1"/>
  <c r="B29" i="29"/>
  <c r="C29" i="29" s="1"/>
  <c r="B28" i="29"/>
  <c r="G28" i="29" s="1"/>
  <c r="B27" i="29"/>
  <c r="G27" i="29" s="1"/>
  <c r="B26" i="29"/>
  <c r="G26" i="29" s="1"/>
  <c r="B25" i="29"/>
  <c r="G25" i="29" s="1"/>
  <c r="B24" i="29"/>
  <c r="G24" i="29" s="1"/>
  <c r="B23" i="29"/>
  <c r="D23" i="29" s="1"/>
  <c r="B22" i="29"/>
  <c r="G22" i="29" s="1"/>
  <c r="B21" i="29"/>
  <c r="G21" i="29" s="1"/>
  <c r="B20" i="29"/>
  <c r="G20" i="29" s="1"/>
  <c r="B19" i="29"/>
  <c r="C19" i="29" s="1"/>
  <c r="B18" i="29"/>
  <c r="G18" i="29" s="1"/>
  <c r="B17" i="29"/>
  <c r="G17" i="29" s="1"/>
  <c r="B16" i="29"/>
  <c r="F16" i="29" s="1"/>
  <c r="B15" i="29"/>
  <c r="F15" i="29" s="1"/>
  <c r="B14" i="29"/>
  <c r="G14" i="29" s="1"/>
  <c r="B13" i="29"/>
  <c r="F13" i="29" s="1"/>
  <c r="B12" i="29"/>
  <c r="G12" i="29" s="1"/>
  <c r="B11" i="29"/>
  <c r="G11" i="29" s="1"/>
  <c r="G10" i="29"/>
  <c r="F10" i="29"/>
  <c r="D10" i="29"/>
  <c r="B10" i="29"/>
  <c r="E10" i="29" s="1"/>
  <c r="B9" i="29"/>
  <c r="F9" i="29" s="1"/>
  <c r="B8" i="29"/>
  <c r="C8" i="29" s="1"/>
  <c r="B7" i="29"/>
  <c r="E7" i="29" s="1"/>
  <c r="C6" i="29"/>
  <c r="B6" i="29"/>
  <c r="F6" i="29" s="1"/>
  <c r="B5" i="29"/>
  <c r="F5" i="29" s="1"/>
  <c r="B4" i="29"/>
  <c r="G4" i="29" s="1"/>
  <c r="B3" i="29"/>
  <c r="E3" i="29" s="1"/>
  <c r="B75" i="28"/>
  <c r="G75" i="28" s="1"/>
  <c r="B74" i="28"/>
  <c r="D74" i="28" s="1"/>
  <c r="B73" i="28"/>
  <c r="G73" i="28" s="1"/>
  <c r="B72" i="28"/>
  <c r="F72" i="28" s="1"/>
  <c r="B71" i="28"/>
  <c r="B68" i="28"/>
  <c r="G47" i="28"/>
  <c r="B47" i="28"/>
  <c r="D47" i="28" s="1"/>
  <c r="B38" i="28"/>
  <c r="E38" i="28" s="1"/>
  <c r="B37" i="28"/>
  <c r="G37" i="28" s="1"/>
  <c r="B36" i="28"/>
  <c r="B35" i="28"/>
  <c r="G35" i="28" s="1"/>
  <c r="B34" i="28"/>
  <c r="G34" i="28" s="1"/>
  <c r="B32" i="28"/>
  <c r="B31" i="28"/>
  <c r="G31" i="28" s="1"/>
  <c r="B30" i="28"/>
  <c r="C29" i="28"/>
  <c r="B29" i="28"/>
  <c r="G29" i="28" s="1"/>
  <c r="B28" i="28"/>
  <c r="F28" i="28" s="1"/>
  <c r="B27" i="28"/>
  <c r="B26" i="28"/>
  <c r="F26" i="28" s="1"/>
  <c r="B25" i="28"/>
  <c r="G25" i="28" s="1"/>
  <c r="B24" i="28"/>
  <c r="F24" i="28" s="1"/>
  <c r="B21" i="28"/>
  <c r="E21" i="28" s="1"/>
  <c r="B20" i="28"/>
  <c r="G20" i="28" s="1"/>
  <c r="B19" i="28"/>
  <c r="F19" i="28" s="1"/>
  <c r="B18" i="28"/>
  <c r="C18" i="28" s="1"/>
  <c r="B17" i="28"/>
  <c r="E17" i="28" s="1"/>
  <c r="B16" i="28"/>
  <c r="G16" i="28" s="1"/>
  <c r="B15" i="28"/>
  <c r="F15" i="28" s="1"/>
  <c r="B14" i="28"/>
  <c r="D14" i="28" s="1"/>
  <c r="B13" i="28"/>
  <c r="E13" i="28" s="1"/>
  <c r="B12" i="28"/>
  <c r="G12" i="28" s="1"/>
  <c r="G11" i="28"/>
  <c r="B11" i="28"/>
  <c r="F11" i="28" s="1"/>
  <c r="B10" i="28"/>
  <c r="E10" i="28" s="1"/>
  <c r="B9" i="28"/>
  <c r="E9" i="28" s="1"/>
  <c r="B8" i="28"/>
  <c r="G8" i="28" s="1"/>
  <c r="G7" i="28"/>
  <c r="F7" i="28"/>
  <c r="E7" i="28"/>
  <c r="D7" i="28"/>
  <c r="B6" i="28"/>
  <c r="G6" i="28" s="1"/>
  <c r="B5" i="28"/>
  <c r="G5" i="28" s="1"/>
  <c r="B4" i="28"/>
  <c r="G4" i="28" s="1"/>
  <c r="B3" i="28"/>
  <c r="G3" i="28" s="1"/>
  <c r="B22" i="12"/>
  <c r="C22" i="12" s="1"/>
  <c r="B51" i="20"/>
  <c r="G51" i="20" s="1"/>
  <c r="B50" i="20"/>
  <c r="E50" i="20" s="1"/>
  <c r="B49" i="20"/>
  <c r="G49" i="20" s="1"/>
  <c r="B48" i="20"/>
  <c r="G48" i="20" s="1"/>
  <c r="B47" i="20"/>
  <c r="D47" i="20" s="1"/>
  <c r="F39" i="20"/>
  <c r="B34" i="20"/>
  <c r="G34" i="20" s="1"/>
  <c r="B33" i="20"/>
  <c r="F33" i="20" s="1"/>
  <c r="B16" i="20"/>
  <c r="C16" i="20" s="1"/>
  <c r="B17" i="20"/>
  <c r="F17" i="20" s="1"/>
  <c r="B18" i="20"/>
  <c r="B19" i="20"/>
  <c r="D19" i="20" s="1"/>
  <c r="B20" i="20"/>
  <c r="G20" i="20" s="1"/>
  <c r="B21" i="20"/>
  <c r="C21" i="20" s="1"/>
  <c r="B22" i="20"/>
  <c r="B23" i="20"/>
  <c r="F23" i="20" s="1"/>
  <c r="D23" i="20"/>
  <c r="E23" i="20"/>
  <c r="B46" i="21"/>
  <c r="G46" i="21" s="1"/>
  <c r="B45" i="21"/>
  <c r="E45" i="21" s="1"/>
  <c r="B44" i="21"/>
  <c r="G44" i="21" s="1"/>
  <c r="B43" i="21"/>
  <c r="G43" i="21" s="1"/>
  <c r="B42" i="21"/>
  <c r="D42" i="21" s="1"/>
  <c r="B16" i="21"/>
  <c r="C16" i="21" s="1"/>
  <c r="B17" i="21"/>
  <c r="E17" i="21" s="1"/>
  <c r="B18" i="21"/>
  <c r="G18" i="21" s="1"/>
  <c r="F34" i="21"/>
  <c r="B29" i="21"/>
  <c r="G29" i="21" s="1"/>
  <c r="B28" i="21"/>
  <c r="F28" i="21" s="1"/>
  <c r="B172" i="23"/>
  <c r="G172" i="23" s="1"/>
  <c r="B171" i="23"/>
  <c r="E171" i="23" s="1"/>
  <c r="B170" i="23"/>
  <c r="G170" i="23" s="1"/>
  <c r="B169" i="23"/>
  <c r="G169" i="23" s="1"/>
  <c r="B168" i="23"/>
  <c r="D168" i="23" s="1"/>
  <c r="B126" i="23"/>
  <c r="G126" i="23" s="1"/>
  <c r="B125" i="23"/>
  <c r="D125" i="23" s="1"/>
  <c r="B9" i="23"/>
  <c r="G9" i="23" s="1"/>
  <c r="B8" i="23"/>
  <c r="B7" i="23"/>
  <c r="F7" i="23" s="1"/>
  <c r="B6" i="23"/>
  <c r="G6" i="23" s="1"/>
  <c r="B5" i="23"/>
  <c r="E5" i="23" s="1"/>
  <c r="B4" i="23"/>
  <c r="F4" i="23" s="1"/>
  <c r="B3" i="23"/>
  <c r="C3" i="23" s="1"/>
  <c r="B162" i="23"/>
  <c r="D162" i="23" s="1"/>
  <c r="F153" i="23"/>
  <c r="B148" i="23"/>
  <c r="G148" i="23" s="1"/>
  <c r="B147" i="23"/>
  <c r="F147" i="23" s="1"/>
  <c r="B74" i="22"/>
  <c r="G74" i="22" s="1"/>
  <c r="B73" i="22"/>
  <c r="E73" i="22" s="1"/>
  <c r="B72" i="22"/>
  <c r="G72" i="22" s="1"/>
  <c r="B71" i="22"/>
  <c r="G71" i="22" s="1"/>
  <c r="B70" i="22"/>
  <c r="D70" i="22" s="1"/>
  <c r="F62" i="22"/>
  <c r="B57" i="22"/>
  <c r="F57" i="22" s="1"/>
  <c r="B56" i="22"/>
  <c r="F56" i="22" s="1"/>
  <c r="B255" i="18"/>
  <c r="G255" i="18" s="1"/>
  <c r="B254" i="18"/>
  <c r="E254" i="18" s="1"/>
  <c r="B253" i="18"/>
  <c r="G253" i="18" s="1"/>
  <c r="B252" i="18"/>
  <c r="G252" i="18" s="1"/>
  <c r="B251" i="18"/>
  <c r="D251" i="18" s="1"/>
  <c r="B248" i="18"/>
  <c r="F248" i="18" s="1"/>
  <c r="B227" i="18"/>
  <c r="D227" i="18" s="1"/>
  <c r="B41" i="12"/>
  <c r="G41" i="12" s="1"/>
  <c r="B40" i="12"/>
  <c r="D40" i="12" s="1"/>
  <c r="B39" i="12"/>
  <c r="D39" i="12" s="1"/>
  <c r="B38" i="12"/>
  <c r="F38" i="12" s="1"/>
  <c r="B37" i="12"/>
  <c r="C37" i="12" s="1"/>
  <c r="B34" i="12"/>
  <c r="D34" i="12" s="1"/>
  <c r="B34" i="17"/>
  <c r="G34" i="17" s="1"/>
  <c r="B33" i="17"/>
  <c r="E33" i="17" s="1"/>
  <c r="B32" i="17"/>
  <c r="G32" i="17" s="1"/>
  <c r="B31" i="17"/>
  <c r="G31" i="17" s="1"/>
  <c r="B30" i="17"/>
  <c r="D30" i="17" s="1"/>
  <c r="B52" i="16"/>
  <c r="G52" i="16" s="1"/>
  <c r="B51" i="16"/>
  <c r="E51" i="16" s="1"/>
  <c r="B50" i="16"/>
  <c r="F50" i="16" s="1"/>
  <c r="B49" i="16"/>
  <c r="G49" i="16" s="1"/>
  <c r="B48" i="16"/>
  <c r="D48" i="16" s="1"/>
  <c r="B20" i="16"/>
  <c r="C20" i="16" s="1"/>
  <c r="B19" i="16"/>
  <c r="B18" i="16"/>
  <c r="G18" i="16" s="1"/>
  <c r="B45" i="16"/>
  <c r="F45" i="16" s="1"/>
  <c r="B33" i="16"/>
  <c r="D33" i="16" s="1"/>
  <c r="B58" i="15"/>
  <c r="D58" i="15" s="1"/>
  <c r="B57" i="15"/>
  <c r="G57" i="15" s="1"/>
  <c r="B56" i="15"/>
  <c r="G56" i="15" s="1"/>
  <c r="B55" i="15"/>
  <c r="D55" i="15" s="1"/>
  <c r="B54" i="15"/>
  <c r="G54" i="15" s="1"/>
  <c r="B60" i="14"/>
  <c r="G60" i="14" s="1"/>
  <c r="B59" i="14"/>
  <c r="E59" i="14" s="1"/>
  <c r="B58" i="14"/>
  <c r="G58" i="14" s="1"/>
  <c r="B57" i="14"/>
  <c r="D57" i="14" s="1"/>
  <c r="B56" i="14"/>
  <c r="G56" i="14" s="1"/>
  <c r="B78" i="13"/>
  <c r="G78" i="13" s="1"/>
  <c r="B77" i="13"/>
  <c r="E77" i="13" s="1"/>
  <c r="B76" i="13"/>
  <c r="G76" i="13" s="1"/>
  <c r="B75" i="13"/>
  <c r="G75" i="13" s="1"/>
  <c r="B74" i="13"/>
  <c r="D74" i="13" s="1"/>
  <c r="B28" i="26"/>
  <c r="G28" i="26" s="1"/>
  <c r="F27" i="26"/>
  <c r="E27" i="26"/>
  <c r="B27" i="26"/>
  <c r="G27" i="26" s="1"/>
  <c r="B26" i="26"/>
  <c r="E26" i="26" s="1"/>
  <c r="B25" i="26"/>
  <c r="E25" i="26" s="1"/>
  <c r="G24" i="26"/>
  <c r="E24" i="26"/>
  <c r="D24" i="26"/>
  <c r="B24" i="26"/>
  <c r="F24" i="26" s="1"/>
  <c r="B25" i="27"/>
  <c r="D25" i="27" s="1"/>
  <c r="B24" i="27"/>
  <c r="F24" i="27" s="1"/>
  <c r="B23" i="27"/>
  <c r="G23" i="27" s="1"/>
  <c r="B22" i="27"/>
  <c r="D22" i="27" s="1"/>
  <c r="B21" i="27"/>
  <c r="G21" i="27" s="1"/>
  <c r="A59" i="15"/>
  <c r="B59" i="15" s="1"/>
  <c r="A60" i="15"/>
  <c r="B60" i="15" s="1"/>
  <c r="A61" i="15"/>
  <c r="B61" i="15" s="1"/>
  <c r="A62" i="15"/>
  <c r="B62" i="15" s="1"/>
  <c r="A63" i="15"/>
  <c r="B63" i="15"/>
  <c r="A64" i="15"/>
  <c r="B64" i="15" s="1"/>
  <c r="A65" i="15"/>
  <c r="B65" i="15" s="1"/>
  <c r="A66" i="15"/>
  <c r="B66" i="15" s="1"/>
  <c r="A67" i="15"/>
  <c r="B67" i="15" s="1"/>
  <c r="A68" i="15"/>
  <c r="B68" i="15" s="1"/>
  <c r="A69" i="15"/>
  <c r="B69" i="15"/>
  <c r="A70" i="15"/>
  <c r="B70" i="15" s="1"/>
  <c r="A71" i="15"/>
  <c r="B71" i="15" s="1"/>
  <c r="A72" i="15"/>
  <c r="B72" i="15" s="1"/>
  <c r="A73" i="15"/>
  <c r="B73" i="15" s="1"/>
  <c r="A74" i="15"/>
  <c r="B74" i="15" s="1"/>
  <c r="A75" i="15"/>
  <c r="B75" i="15" s="1"/>
  <c r="A76" i="15"/>
  <c r="B76" i="15" s="1"/>
  <c r="A77" i="15"/>
  <c r="B77" i="15" s="1"/>
  <c r="A78" i="15"/>
  <c r="B78" i="15" s="1"/>
  <c r="A79" i="15"/>
  <c r="B79" i="15" s="1"/>
  <c r="A80" i="15"/>
  <c r="B80" i="15" s="1"/>
  <c r="A81" i="15"/>
  <c r="B81" i="15" s="1"/>
  <c r="A82" i="15"/>
  <c r="B82" i="15" s="1"/>
  <c r="A83" i="15"/>
  <c r="B83" i="15" s="1"/>
  <c r="A84" i="15"/>
  <c r="B84" i="15" s="1"/>
  <c r="A85" i="15"/>
  <c r="B85" i="15" s="1"/>
  <c r="A86" i="15"/>
  <c r="B86" i="15" s="1"/>
  <c r="A87" i="15"/>
  <c r="B87" i="15" s="1"/>
  <c r="A88" i="15"/>
  <c r="B88" i="15" s="1"/>
  <c r="A89" i="15"/>
  <c r="B89" i="15" s="1"/>
  <c r="A90" i="15"/>
  <c r="B90" i="15" s="1"/>
  <c r="A91" i="15"/>
  <c r="B91" i="15" s="1"/>
  <c r="A92" i="15"/>
  <c r="B92" i="15" s="1"/>
  <c r="D92" i="15" s="1"/>
  <c r="A93" i="15"/>
  <c r="B93" i="15" s="1"/>
  <c r="A94" i="15"/>
  <c r="B94" i="15" s="1"/>
  <c r="D94" i="15" s="1"/>
  <c r="A95" i="15"/>
  <c r="B95" i="15" s="1"/>
  <c r="A96" i="15"/>
  <c r="B96" i="15" s="1"/>
  <c r="D96" i="15" s="1"/>
  <c r="A97" i="15"/>
  <c r="B97" i="15" s="1"/>
  <c r="A98" i="15"/>
  <c r="B98" i="15" s="1"/>
  <c r="D98" i="15" s="1"/>
  <c r="A99" i="15"/>
  <c r="B99" i="15" s="1"/>
  <c r="A100" i="15"/>
  <c r="B100" i="15" s="1"/>
  <c r="D100" i="15" s="1"/>
  <c r="A101" i="15"/>
  <c r="B101" i="15" s="1"/>
  <c r="A102" i="15"/>
  <c r="B102" i="15" s="1"/>
  <c r="D102" i="15" s="1"/>
  <c r="A103" i="15"/>
  <c r="B103" i="15" s="1"/>
  <c r="A104" i="15"/>
  <c r="B104" i="15" s="1"/>
  <c r="D104" i="15" s="1"/>
  <c r="A105" i="15"/>
  <c r="B105" i="15" s="1"/>
  <c r="A106" i="15"/>
  <c r="B106" i="15" s="1"/>
  <c r="D106" i="15" s="1"/>
  <c r="C106" i="15"/>
  <c r="A107" i="15"/>
  <c r="B107" i="15" s="1"/>
  <c r="C107" i="15" s="1"/>
  <c r="A108" i="15"/>
  <c r="B108" i="15" s="1"/>
  <c r="D108" i="15" s="1"/>
  <c r="A109" i="15"/>
  <c r="B109" i="15" s="1"/>
  <c r="A110" i="15"/>
  <c r="B110" i="15" s="1"/>
  <c r="D110" i="15" s="1"/>
  <c r="A111" i="15"/>
  <c r="B111" i="15"/>
  <c r="C111" i="15" s="1"/>
  <c r="A112" i="15"/>
  <c r="B112" i="15" s="1"/>
  <c r="D112" i="15" s="1"/>
  <c r="C112" i="15"/>
  <c r="A113" i="15"/>
  <c r="B113" i="15" s="1"/>
  <c r="A114" i="15"/>
  <c r="B114" i="15" s="1"/>
  <c r="D114" i="15" s="1"/>
  <c r="A115" i="15"/>
  <c r="B115" i="15" s="1"/>
  <c r="A116" i="15"/>
  <c r="B116" i="15" s="1"/>
  <c r="D116" i="15" s="1"/>
  <c r="A117" i="15"/>
  <c r="B117" i="15" s="1"/>
  <c r="A118" i="15"/>
  <c r="B118" i="15" s="1"/>
  <c r="D118" i="15" s="1"/>
  <c r="A119" i="15"/>
  <c r="B119" i="15" s="1"/>
  <c r="C119" i="15" s="1"/>
  <c r="A120" i="15"/>
  <c r="B120" i="15" s="1"/>
  <c r="D120" i="15" s="1"/>
  <c r="A121" i="15"/>
  <c r="B121" i="15" s="1"/>
  <c r="A122" i="15"/>
  <c r="B122" i="15" s="1"/>
  <c r="D122" i="15" s="1"/>
  <c r="C122" i="15"/>
  <c r="A123" i="15"/>
  <c r="B123" i="15" s="1"/>
  <c r="C123" i="15" s="1"/>
  <c r="A124" i="15"/>
  <c r="B124" i="15" s="1"/>
  <c r="D124" i="15" s="1"/>
  <c r="A125" i="15"/>
  <c r="B125" i="15" s="1"/>
  <c r="A126" i="15"/>
  <c r="B126" i="15" s="1"/>
  <c r="D126" i="15" s="1"/>
  <c r="A127" i="15"/>
  <c r="B127" i="15" s="1"/>
  <c r="C127" i="15" s="1"/>
  <c r="A128" i="15"/>
  <c r="B128" i="15" s="1"/>
  <c r="D128" i="15" s="1"/>
  <c r="A129" i="15"/>
  <c r="B129" i="15" s="1"/>
  <c r="A130" i="15"/>
  <c r="B130" i="15" s="1"/>
  <c r="D130" i="15" s="1"/>
  <c r="A131" i="15"/>
  <c r="B131" i="15" s="1"/>
  <c r="A132" i="15"/>
  <c r="B132" i="15" s="1"/>
  <c r="D132" i="15" s="1"/>
  <c r="A133" i="15"/>
  <c r="B133" i="15" s="1"/>
  <c r="A134" i="15"/>
  <c r="B134" i="15" s="1"/>
  <c r="D134" i="15" s="1"/>
  <c r="C134" i="15"/>
  <c r="A135" i="15"/>
  <c r="B135" i="15" s="1"/>
  <c r="C135" i="15" s="1"/>
  <c r="A136" i="15"/>
  <c r="B136" i="15" s="1"/>
  <c r="D136" i="15" s="1"/>
  <c r="A137" i="15"/>
  <c r="B137" i="15" s="1"/>
  <c r="A138" i="15"/>
  <c r="B138" i="15" s="1"/>
  <c r="D138" i="15" s="1"/>
  <c r="A139" i="15"/>
  <c r="B139" i="15"/>
  <c r="C139" i="15" s="1"/>
  <c r="A140" i="15"/>
  <c r="B140" i="15" s="1"/>
  <c r="D140" i="15" s="1"/>
  <c r="A141" i="15"/>
  <c r="B141" i="15" s="1"/>
  <c r="A142" i="15"/>
  <c r="B142" i="15" s="1"/>
  <c r="D142" i="15" s="1"/>
  <c r="A143" i="15"/>
  <c r="B143" i="15"/>
  <c r="C143" i="15" s="1"/>
  <c r="A144" i="15"/>
  <c r="B144" i="15" s="1"/>
  <c r="D144" i="15" s="1"/>
  <c r="A145" i="15"/>
  <c r="B145" i="15" s="1"/>
  <c r="A146" i="15"/>
  <c r="B146" i="15" s="1"/>
  <c r="D146" i="15" s="1"/>
  <c r="C146" i="15"/>
  <c r="A147" i="15"/>
  <c r="B147" i="15" s="1"/>
  <c r="A148" i="15"/>
  <c r="B148" i="15" s="1"/>
  <c r="D148" i="15" s="1"/>
  <c r="A149" i="15"/>
  <c r="B149" i="15" s="1"/>
  <c r="A150" i="15"/>
  <c r="B150" i="15" s="1"/>
  <c r="D150" i="15" s="1"/>
  <c r="A151" i="15"/>
  <c r="B151" i="15" s="1"/>
  <c r="C151" i="15" s="1"/>
  <c r="A152" i="15"/>
  <c r="B152" i="15" s="1"/>
  <c r="D152" i="15" s="1"/>
  <c r="A153" i="15"/>
  <c r="B153" i="15" s="1"/>
  <c r="A154" i="15"/>
  <c r="B154" i="15" s="1"/>
  <c r="D154" i="15" s="1"/>
  <c r="A155" i="15"/>
  <c r="B155" i="15" s="1"/>
  <c r="C155" i="15" s="1"/>
  <c r="A156" i="15"/>
  <c r="B156" i="15" s="1"/>
  <c r="D156" i="15" s="1"/>
  <c r="A157" i="15"/>
  <c r="B157" i="15"/>
  <c r="C157" i="15" s="1"/>
  <c r="D157" i="15"/>
  <c r="A158" i="15"/>
  <c r="B158" i="15" s="1"/>
  <c r="D158" i="15" s="1"/>
  <c r="A159" i="15"/>
  <c r="B159" i="15" s="1"/>
  <c r="C159" i="15" s="1"/>
  <c r="A160" i="15"/>
  <c r="B160" i="15" s="1"/>
  <c r="D160" i="15" s="1"/>
  <c r="A161" i="15"/>
  <c r="B161" i="15" s="1"/>
  <c r="A162" i="15"/>
  <c r="B162" i="15" s="1"/>
  <c r="D162" i="15" s="1"/>
  <c r="C162" i="15"/>
  <c r="A163" i="15"/>
  <c r="B163" i="15" s="1"/>
  <c r="A164" i="15"/>
  <c r="B164" i="15" s="1"/>
  <c r="D164" i="15" s="1"/>
  <c r="A165" i="15"/>
  <c r="B165" i="15" s="1"/>
  <c r="A166" i="15"/>
  <c r="B166" i="15" s="1"/>
  <c r="D166" i="15" s="1"/>
  <c r="C166" i="15"/>
  <c r="A167" i="15"/>
  <c r="B167" i="15"/>
  <c r="C167" i="15" s="1"/>
  <c r="A168" i="15"/>
  <c r="B168" i="15" s="1"/>
  <c r="D168" i="15" s="1"/>
  <c r="A169" i="15"/>
  <c r="B169" i="15" s="1"/>
  <c r="A170" i="15"/>
  <c r="B170" i="15" s="1"/>
  <c r="D170" i="15" s="1"/>
  <c r="A171" i="15"/>
  <c r="B171" i="15"/>
  <c r="C171" i="15" s="1"/>
  <c r="A172" i="15"/>
  <c r="B172" i="15" s="1"/>
  <c r="C172" i="15" s="1"/>
  <c r="A173" i="15"/>
  <c r="B173" i="15" s="1"/>
  <c r="C173" i="15" s="1"/>
  <c r="A174" i="15"/>
  <c r="B174" i="15" s="1"/>
  <c r="C174" i="15" s="1"/>
  <c r="D174" i="15"/>
  <c r="A52" i="15"/>
  <c r="B51" i="14"/>
  <c r="F51" i="14" s="1"/>
  <c r="B69" i="13"/>
  <c r="F69" i="13" s="1"/>
  <c r="B36" i="13"/>
  <c r="E36" i="13" s="1"/>
  <c r="B71" i="13"/>
  <c r="C71" i="13" s="1"/>
  <c r="B83" i="25"/>
  <c r="G83" i="25" s="1"/>
  <c r="B82" i="25"/>
  <c r="E82" i="25" s="1"/>
  <c r="B81" i="25"/>
  <c r="E81" i="25" s="1"/>
  <c r="B80" i="25"/>
  <c r="G80" i="25" s="1"/>
  <c r="B79" i="25"/>
  <c r="D79" i="25" s="1"/>
  <c r="F71" i="25"/>
  <c r="B66" i="25"/>
  <c r="C66" i="25" s="1"/>
  <c r="B65" i="25"/>
  <c r="G65" i="25" s="1"/>
  <c r="B64" i="25"/>
  <c r="F64" i="25" s="1"/>
  <c r="B97" i="24"/>
  <c r="G97" i="24" s="1"/>
  <c r="B96" i="24"/>
  <c r="E96" i="24" s="1"/>
  <c r="B95" i="24"/>
  <c r="D95" i="24" s="1"/>
  <c r="B94" i="24"/>
  <c r="G94" i="24" s="1"/>
  <c r="B93" i="24"/>
  <c r="D93" i="24" s="1"/>
  <c r="F85" i="24"/>
  <c r="B80" i="24"/>
  <c r="E80" i="24" s="1"/>
  <c r="B79" i="24"/>
  <c r="G79" i="24" s="1"/>
  <c r="B78" i="24"/>
  <c r="G78" i="24" s="1"/>
  <c r="B56" i="24"/>
  <c r="C56" i="24" s="1"/>
  <c r="B57" i="24"/>
  <c r="G57" i="24" s="1"/>
  <c r="B58" i="24"/>
  <c r="C58" i="24" s="1"/>
  <c r="B59" i="24"/>
  <c r="D59" i="24" s="1"/>
  <c r="B60" i="24"/>
  <c r="G60" i="24" s="1"/>
  <c r="B61" i="24"/>
  <c r="G61" i="24" s="1"/>
  <c r="B62" i="24"/>
  <c r="C62" i="24" s="1"/>
  <c r="B63" i="24"/>
  <c r="F63" i="24" s="1"/>
  <c r="B64" i="24"/>
  <c r="B65" i="24"/>
  <c r="G65" i="24" s="1"/>
  <c r="B66" i="24"/>
  <c r="C66" i="24" s="1"/>
  <c r="B67" i="24"/>
  <c r="C67" i="24" s="1"/>
  <c r="B68" i="24"/>
  <c r="F68" i="24" s="1"/>
  <c r="B69" i="24"/>
  <c r="D69" i="24" s="1"/>
  <c r="C69" i="24"/>
  <c r="B88" i="11"/>
  <c r="G88" i="11" s="1"/>
  <c r="B87" i="11"/>
  <c r="E87" i="11" s="1"/>
  <c r="B86" i="11"/>
  <c r="E86" i="11" s="1"/>
  <c r="B85" i="11"/>
  <c r="G85" i="11" s="1"/>
  <c r="B84" i="11"/>
  <c r="D84" i="11" s="1"/>
  <c r="F233" i="10"/>
  <c r="F236" i="10"/>
  <c r="F240" i="10"/>
  <c r="A225" i="10"/>
  <c r="B72" i="11"/>
  <c r="C72" i="11" s="1"/>
  <c r="B75" i="11"/>
  <c r="C75" i="11" s="1"/>
  <c r="B76" i="11"/>
  <c r="C76" i="11" s="1"/>
  <c r="B79" i="11"/>
  <c r="C79" i="11" s="1"/>
  <c r="B81" i="11"/>
  <c r="E81" i="11" s="1"/>
  <c r="B68" i="11"/>
  <c r="C68" i="11" s="1"/>
  <c r="B67" i="11"/>
  <c r="G67" i="11" s="1"/>
  <c r="B66" i="11"/>
  <c r="G66" i="11" s="1"/>
  <c r="B59" i="13"/>
  <c r="G59" i="13" s="1"/>
  <c r="B60" i="13"/>
  <c r="B61" i="13"/>
  <c r="E61" i="13" s="1"/>
  <c r="B41" i="14"/>
  <c r="C41" i="14" s="1"/>
  <c r="B42" i="14"/>
  <c r="D42" i="14" s="1"/>
  <c r="B43" i="14"/>
  <c r="E43" i="14" s="1"/>
  <c r="B47" i="14"/>
  <c r="G47" i="14" s="1"/>
  <c r="B48" i="14"/>
  <c r="E48" i="14" s="1"/>
  <c r="B53" i="14"/>
  <c r="D53" i="14" s="1"/>
  <c r="B209" i="18"/>
  <c r="D209" i="18" s="1"/>
  <c r="B208" i="18"/>
  <c r="G208" i="18" s="1"/>
  <c r="B207" i="18"/>
  <c r="G207" i="18" s="1"/>
  <c r="B206" i="18"/>
  <c r="D206" i="18" s="1"/>
  <c r="B205" i="18"/>
  <c r="G205" i="18" s="1"/>
  <c r="C31" i="29" l="1"/>
  <c r="E34" i="29"/>
  <c r="F38" i="29"/>
  <c r="F51" i="29"/>
  <c r="D58" i="29"/>
  <c r="C9" i="29"/>
  <c r="C27" i="29"/>
  <c r="E31" i="29"/>
  <c r="F34" i="29"/>
  <c r="G51" i="29"/>
  <c r="G57" i="29"/>
  <c r="F31" i="29"/>
  <c r="C34" i="29"/>
  <c r="G31" i="29"/>
  <c r="E23" i="29"/>
  <c r="G35" i="29"/>
  <c r="F48" i="29"/>
  <c r="F68" i="29"/>
  <c r="F7" i="29"/>
  <c r="D15" i="29"/>
  <c r="C18" i="29"/>
  <c r="C22" i="29"/>
  <c r="D26" i="29"/>
  <c r="E15" i="29"/>
  <c r="E26" i="29"/>
  <c r="G7" i="29"/>
  <c r="C77" i="29"/>
  <c r="F3" i="29"/>
  <c r="G15" i="29"/>
  <c r="G19" i="29"/>
  <c r="F23" i="29"/>
  <c r="G67" i="29"/>
  <c r="F19" i="29"/>
  <c r="F26" i="29"/>
  <c r="G23" i="29"/>
  <c r="D13" i="29"/>
  <c r="G16" i="29"/>
  <c r="D20" i="29"/>
  <c r="D27" i="29"/>
  <c r="D34" i="29"/>
  <c r="D69" i="29"/>
  <c r="E14" i="30"/>
  <c r="G3" i="30"/>
  <c r="C6" i="30"/>
  <c r="D22" i="30"/>
  <c r="E6" i="30"/>
  <c r="D14" i="30"/>
  <c r="F9" i="30"/>
  <c r="F47" i="30"/>
  <c r="G17" i="30"/>
  <c r="C9" i="30"/>
  <c r="G6" i="30"/>
  <c r="E23" i="30"/>
  <c r="C25" i="30"/>
  <c r="D25" i="30"/>
  <c r="E36" i="30"/>
  <c r="G50" i="30"/>
  <c r="D5" i="30"/>
  <c r="E11" i="30"/>
  <c r="E18" i="30"/>
  <c r="G23" i="30"/>
  <c r="F25" i="30"/>
  <c r="F36" i="30"/>
  <c r="C18" i="30"/>
  <c r="E5" i="30"/>
  <c r="F11" i="30"/>
  <c r="F18" i="30"/>
  <c r="C11" i="30"/>
  <c r="C3" i="30"/>
  <c r="E9" i="30"/>
  <c r="C17" i="30"/>
  <c r="E22" i="30"/>
  <c r="D24" i="30"/>
  <c r="E26" i="30"/>
  <c r="E52" i="30"/>
  <c r="E3" i="30"/>
  <c r="D17" i="30"/>
  <c r="F24" i="30"/>
  <c r="F26" i="30"/>
  <c r="F3" i="30"/>
  <c r="G9" i="30"/>
  <c r="F17" i="30"/>
  <c r="G24" i="30"/>
  <c r="E47" i="30"/>
  <c r="D10" i="30"/>
  <c r="C13" i="30"/>
  <c r="C21" i="30"/>
  <c r="C35" i="30"/>
  <c r="F12" i="30"/>
  <c r="C26" i="30"/>
  <c r="F37" i="30"/>
  <c r="C47" i="30"/>
  <c r="E50" i="30"/>
  <c r="F53" i="30"/>
  <c r="C4" i="30"/>
  <c r="C5" i="30"/>
  <c r="D11" i="30"/>
  <c r="G12" i="30"/>
  <c r="C14" i="30"/>
  <c r="G18" i="30"/>
  <c r="C22" i="30"/>
  <c r="D26" i="30"/>
  <c r="D36" i="30"/>
  <c r="G37" i="30"/>
  <c r="D47" i="30"/>
  <c r="F50" i="30"/>
  <c r="D52" i="30"/>
  <c r="G53" i="30"/>
  <c r="C45" i="30"/>
  <c r="F52" i="30"/>
  <c r="C54" i="30"/>
  <c r="D4" i="30"/>
  <c r="F5" i="30"/>
  <c r="E10" i="30"/>
  <c r="D13" i="30"/>
  <c r="F14" i="30"/>
  <c r="D21" i="30"/>
  <c r="F22" i="30"/>
  <c r="E25" i="30"/>
  <c r="D35" i="30"/>
  <c r="D45" i="30"/>
  <c r="D51" i="30"/>
  <c r="D54" i="30"/>
  <c r="E4" i="30"/>
  <c r="F10" i="30"/>
  <c r="E13" i="30"/>
  <c r="E21" i="30"/>
  <c r="E35" i="30"/>
  <c r="E45" i="30"/>
  <c r="E51" i="30"/>
  <c r="E54" i="30"/>
  <c r="F4" i="30"/>
  <c r="D12" i="30"/>
  <c r="F13" i="30"/>
  <c r="F21" i="30"/>
  <c r="F35" i="30"/>
  <c r="D37" i="30"/>
  <c r="C50" i="30"/>
  <c r="F51" i="30"/>
  <c r="D53" i="30"/>
  <c r="F54" i="30"/>
  <c r="G3" i="29"/>
  <c r="D6" i="29"/>
  <c r="E13" i="29"/>
  <c r="D22" i="29"/>
  <c r="C39" i="29"/>
  <c r="C44" i="29"/>
  <c r="G48" i="29"/>
  <c r="F58" i="29"/>
  <c r="E86" i="29"/>
  <c r="E6" i="29"/>
  <c r="G13" i="29"/>
  <c r="C16" i="29"/>
  <c r="D18" i="29"/>
  <c r="E20" i="29"/>
  <c r="F22" i="29"/>
  <c r="C54" i="29"/>
  <c r="D57" i="29"/>
  <c r="E80" i="29"/>
  <c r="C5" i="29"/>
  <c r="G6" i="29"/>
  <c r="E9" i="29"/>
  <c r="D16" i="29"/>
  <c r="F20" i="29"/>
  <c r="E27" i="29"/>
  <c r="E30" i="29"/>
  <c r="C35" i="29"/>
  <c r="C38" i="29"/>
  <c r="F39" i="29"/>
  <c r="F44" i="29"/>
  <c r="C47" i="29"/>
  <c r="D54" i="29"/>
  <c r="E57" i="29"/>
  <c r="F88" i="29"/>
  <c r="D9" i="29"/>
  <c r="E39" i="29"/>
  <c r="E44" i="29"/>
  <c r="D5" i="29"/>
  <c r="D12" i="29"/>
  <c r="E16" i="29"/>
  <c r="D19" i="29"/>
  <c r="C23" i="29"/>
  <c r="C26" i="29"/>
  <c r="F27" i="29"/>
  <c r="F30" i="29"/>
  <c r="D35" i="29"/>
  <c r="D38" i="29"/>
  <c r="G39" i="29"/>
  <c r="D47" i="29"/>
  <c r="D51" i="29"/>
  <c r="E54" i="29"/>
  <c r="F57" i="29"/>
  <c r="D68" i="29"/>
  <c r="G87" i="29"/>
  <c r="E22" i="29"/>
  <c r="D44" i="29"/>
  <c r="E5" i="29"/>
  <c r="E12" i="29"/>
  <c r="E19" i="29"/>
  <c r="E38" i="29"/>
  <c r="E47" i="29"/>
  <c r="F54" i="29"/>
  <c r="C76" i="29"/>
  <c r="C25" i="29"/>
  <c r="D82" i="29"/>
  <c r="D4" i="29"/>
  <c r="E18" i="29"/>
  <c r="D21" i="29"/>
  <c r="D41" i="29"/>
  <c r="C46" i="29"/>
  <c r="D50" i="29"/>
  <c r="D56" i="29"/>
  <c r="D67" i="29"/>
  <c r="C73" i="29"/>
  <c r="E82" i="29"/>
  <c r="G84" i="29"/>
  <c r="E87" i="29"/>
  <c r="C50" i="29"/>
  <c r="C56" i="29"/>
  <c r="D87" i="29"/>
  <c r="F12" i="29"/>
  <c r="D14" i="29"/>
  <c r="C17" i="29"/>
  <c r="D33" i="29"/>
  <c r="D37" i="29"/>
  <c r="C3" i="29"/>
  <c r="E4" i="29"/>
  <c r="G5" i="29"/>
  <c r="C7" i="29"/>
  <c r="E8" i="29"/>
  <c r="G9" i="29"/>
  <c r="D11" i="29"/>
  <c r="E14" i="29"/>
  <c r="D17" i="29"/>
  <c r="F18" i="29"/>
  <c r="E21" i="29"/>
  <c r="C24" i="29"/>
  <c r="E25" i="29"/>
  <c r="C28" i="29"/>
  <c r="E29" i="29"/>
  <c r="C32" i="29"/>
  <c r="E33" i="29"/>
  <c r="C36" i="29"/>
  <c r="E37" i="29"/>
  <c r="C40" i="29"/>
  <c r="E41" i="29"/>
  <c r="D46" i="29"/>
  <c r="F47" i="29"/>
  <c r="C49" i="29"/>
  <c r="E50" i="29"/>
  <c r="C55" i="29"/>
  <c r="E56" i="29"/>
  <c r="E67" i="29"/>
  <c r="C80" i="29"/>
  <c r="F82" i="29"/>
  <c r="F87" i="29"/>
  <c r="C89" i="29"/>
  <c r="C4" i="29"/>
  <c r="C37" i="29"/>
  <c r="C41" i="29"/>
  <c r="D8" i="29"/>
  <c r="D25" i="29"/>
  <c r="D29" i="29"/>
  <c r="D3" i="29"/>
  <c r="F4" i="29"/>
  <c r="D7" i="29"/>
  <c r="F8" i="29"/>
  <c r="E11" i="29"/>
  <c r="F14" i="29"/>
  <c r="E17" i="29"/>
  <c r="F21" i="29"/>
  <c r="D24" i="29"/>
  <c r="F25" i="29"/>
  <c r="D28" i="29"/>
  <c r="F29" i="29"/>
  <c r="D32" i="29"/>
  <c r="F33" i="29"/>
  <c r="D36" i="29"/>
  <c r="F37" i="29"/>
  <c r="D40" i="29"/>
  <c r="F41" i="29"/>
  <c r="E46" i="29"/>
  <c r="D49" i="29"/>
  <c r="F50" i="29"/>
  <c r="D55" i="29"/>
  <c r="F56" i="29"/>
  <c r="C58" i="29"/>
  <c r="F67" i="29"/>
  <c r="C69" i="29"/>
  <c r="D80" i="29"/>
  <c r="D86" i="29"/>
  <c r="D89" i="29"/>
  <c r="C21" i="29"/>
  <c r="G8" i="29"/>
  <c r="F11" i="29"/>
  <c r="F17" i="29"/>
  <c r="E24" i="29"/>
  <c r="E28" i="29"/>
  <c r="G29" i="29"/>
  <c r="E32" i="29"/>
  <c r="G33" i="29"/>
  <c r="E36" i="29"/>
  <c r="E40" i="29"/>
  <c r="F46" i="29"/>
  <c r="E49" i="29"/>
  <c r="E55" i="29"/>
  <c r="E89" i="29"/>
  <c r="F24" i="29"/>
  <c r="F28" i="29"/>
  <c r="F32" i="29"/>
  <c r="F36" i="29"/>
  <c r="F40" i="29"/>
  <c r="D48" i="29"/>
  <c r="F49" i="29"/>
  <c r="F55" i="29"/>
  <c r="E69" i="29"/>
  <c r="F80" i="29"/>
  <c r="C85" i="29"/>
  <c r="F86" i="29"/>
  <c r="D88" i="29"/>
  <c r="F89" i="29"/>
  <c r="D21" i="28"/>
  <c r="F35" i="28"/>
  <c r="D13" i="28"/>
  <c r="D18" i="28"/>
  <c r="F21" i="28"/>
  <c r="E14" i="28"/>
  <c r="F18" i="28"/>
  <c r="E37" i="28"/>
  <c r="F14" i="28"/>
  <c r="G18" i="28"/>
  <c r="G24" i="28"/>
  <c r="C13" i="28"/>
  <c r="E18" i="28"/>
  <c r="G21" i="28"/>
  <c r="E31" i="28"/>
  <c r="E5" i="28"/>
  <c r="G14" i="28"/>
  <c r="F5" i="28"/>
  <c r="D29" i="28"/>
  <c r="C35" i="28"/>
  <c r="C4" i="28"/>
  <c r="C14" i="28"/>
  <c r="F17" i="28"/>
  <c r="D25" i="28"/>
  <c r="E29" i="28"/>
  <c r="D35" i="28"/>
  <c r="E47" i="28"/>
  <c r="D5" i="28"/>
  <c r="F6" i="28"/>
  <c r="C9" i="28"/>
  <c r="D4" i="28"/>
  <c r="C21" i="28"/>
  <c r="E25" i="28"/>
  <c r="E35" i="28"/>
  <c r="F47" i="28"/>
  <c r="D75" i="28"/>
  <c r="F4" i="28"/>
  <c r="E19" i="28"/>
  <c r="D38" i="28"/>
  <c r="E74" i="28"/>
  <c r="F9" i="28"/>
  <c r="G13" i="28"/>
  <c r="E15" i="28"/>
  <c r="G19" i="28"/>
  <c r="D24" i="28"/>
  <c r="E26" i="28"/>
  <c r="F29" i="28"/>
  <c r="C34" i="28"/>
  <c r="F38" i="28"/>
  <c r="F10" i="28"/>
  <c r="D9" i="28"/>
  <c r="G10" i="28"/>
  <c r="F13" i="28"/>
  <c r="G17" i="28"/>
  <c r="C5" i="28"/>
  <c r="G9" i="28"/>
  <c r="E11" i="28"/>
  <c r="G15" i="28"/>
  <c r="E24" i="28"/>
  <c r="G26" i="28"/>
  <c r="D34" i="28"/>
  <c r="G38" i="28"/>
  <c r="C75" i="28"/>
  <c r="E34" i="28"/>
  <c r="C10" i="28"/>
  <c r="F34" i="28"/>
  <c r="C47" i="28"/>
  <c r="E72" i="28"/>
  <c r="E75" i="28"/>
  <c r="D10" i="28"/>
  <c r="C17" i="28"/>
  <c r="D31" i="28"/>
  <c r="D37" i="28"/>
  <c r="G72" i="28"/>
  <c r="F75" i="28"/>
  <c r="D17" i="28"/>
  <c r="E28" i="28"/>
  <c r="F30" i="28"/>
  <c r="E30" i="28"/>
  <c r="D30" i="28"/>
  <c r="C30" i="28"/>
  <c r="G68" i="28"/>
  <c r="F68" i="28"/>
  <c r="E68" i="28"/>
  <c r="D68" i="28"/>
  <c r="C68" i="28"/>
  <c r="C3" i="28"/>
  <c r="E4" i="28"/>
  <c r="C8" i="28"/>
  <c r="C12" i="28"/>
  <c r="C16" i="28"/>
  <c r="C20" i="28"/>
  <c r="G30" i="28"/>
  <c r="F36" i="28"/>
  <c r="E36" i="28"/>
  <c r="D36" i="28"/>
  <c r="C36" i="28"/>
  <c r="C71" i="28"/>
  <c r="G71" i="28"/>
  <c r="F71" i="28"/>
  <c r="E71" i="28"/>
  <c r="D8" i="28"/>
  <c r="D16" i="28"/>
  <c r="G36" i="28"/>
  <c r="D71" i="28"/>
  <c r="D12" i="28"/>
  <c r="D20" i="28"/>
  <c r="E3" i="28"/>
  <c r="D6" i="28"/>
  <c r="E8" i="28"/>
  <c r="C15" i="28"/>
  <c r="E16" i="28"/>
  <c r="D28" i="28"/>
  <c r="G28" i="28"/>
  <c r="D3" i="28"/>
  <c r="C11" i="28"/>
  <c r="E12" i="28"/>
  <c r="C19" i="28"/>
  <c r="E20" i="28"/>
  <c r="F3" i="28"/>
  <c r="E6" i="28"/>
  <c r="F8" i="28"/>
  <c r="D11" i="28"/>
  <c r="F12" i="28"/>
  <c r="D15" i="28"/>
  <c r="F16" i="28"/>
  <c r="D19" i="28"/>
  <c r="F20" i="28"/>
  <c r="G27" i="28"/>
  <c r="F27" i="28"/>
  <c r="E27" i="28"/>
  <c r="D27" i="28"/>
  <c r="F74" i="28"/>
  <c r="F25" i="28"/>
  <c r="F31" i="28"/>
  <c r="F37" i="28"/>
  <c r="D73" i="28"/>
  <c r="G74" i="28"/>
  <c r="E73" i="28"/>
  <c r="F73" i="28"/>
  <c r="D26" i="28"/>
  <c r="C38" i="28"/>
  <c r="D72" i="28"/>
  <c r="D57" i="24"/>
  <c r="E169" i="23"/>
  <c r="F169" i="23"/>
  <c r="F74" i="22"/>
  <c r="F45" i="21"/>
  <c r="E17" i="20"/>
  <c r="G39" i="12"/>
  <c r="G22" i="12"/>
  <c r="F52" i="16"/>
  <c r="C115" i="15"/>
  <c r="D115" i="15"/>
  <c r="C147" i="15"/>
  <c r="D147" i="15"/>
  <c r="C125" i="15"/>
  <c r="D125" i="15"/>
  <c r="C144" i="15"/>
  <c r="C126" i="15"/>
  <c r="C154" i="15"/>
  <c r="C114" i="15"/>
  <c r="C158" i="15"/>
  <c r="C130" i="15"/>
  <c r="C94" i="15"/>
  <c r="E75" i="13"/>
  <c r="F25" i="26"/>
  <c r="G25" i="26"/>
  <c r="C24" i="26"/>
  <c r="D27" i="26"/>
  <c r="G64" i="25"/>
  <c r="E79" i="25"/>
  <c r="E66" i="25"/>
  <c r="F66" i="25"/>
  <c r="G66" i="25"/>
  <c r="E69" i="24"/>
  <c r="E79" i="24"/>
  <c r="F57" i="24"/>
  <c r="E57" i="24"/>
  <c r="D171" i="23"/>
  <c r="F171" i="23"/>
  <c r="E71" i="22"/>
  <c r="F71" i="22"/>
  <c r="E57" i="22"/>
  <c r="G57" i="22"/>
  <c r="E74" i="22"/>
  <c r="G45" i="21"/>
  <c r="G28" i="21"/>
  <c r="F18" i="21"/>
  <c r="E42" i="21"/>
  <c r="E18" i="21"/>
  <c r="D18" i="21"/>
  <c r="E43" i="21"/>
  <c r="D17" i="21"/>
  <c r="G23" i="20"/>
  <c r="E20" i="20"/>
  <c r="F20" i="20"/>
  <c r="D17" i="20"/>
  <c r="E48" i="20"/>
  <c r="F50" i="20"/>
  <c r="G21" i="20"/>
  <c r="G17" i="20"/>
  <c r="E21" i="20"/>
  <c r="E251" i="18"/>
  <c r="E252" i="18"/>
  <c r="F34" i="12"/>
  <c r="F22" i="12"/>
  <c r="G34" i="12"/>
  <c r="E22" i="12"/>
  <c r="D22" i="12"/>
  <c r="E31" i="17"/>
  <c r="E50" i="16"/>
  <c r="D50" i="16"/>
  <c r="C18" i="16"/>
  <c r="F48" i="16"/>
  <c r="G50" i="16"/>
  <c r="E18" i="16"/>
  <c r="D49" i="16"/>
  <c r="G51" i="16"/>
  <c r="F18" i="16"/>
  <c r="D18" i="16"/>
  <c r="E49" i="16"/>
  <c r="F49" i="16"/>
  <c r="D52" i="16"/>
  <c r="C131" i="15"/>
  <c r="D131" i="15"/>
  <c r="C109" i="15"/>
  <c r="D109" i="15"/>
  <c r="C163" i="15"/>
  <c r="D163" i="15"/>
  <c r="C141" i="15"/>
  <c r="D141" i="15"/>
  <c r="C102" i="15"/>
  <c r="C170" i="15"/>
  <c r="C160" i="15"/>
  <c r="C142" i="15"/>
  <c r="C138" i="15"/>
  <c r="C128" i="15"/>
  <c r="C110" i="15"/>
  <c r="C58" i="15"/>
  <c r="E58" i="15"/>
  <c r="C150" i="15"/>
  <c r="C118" i="15"/>
  <c r="C98" i="15"/>
  <c r="F58" i="15"/>
  <c r="G58" i="15"/>
  <c r="F41" i="14"/>
  <c r="G43" i="14"/>
  <c r="G57" i="14"/>
  <c r="D43" i="14"/>
  <c r="E57" i="14"/>
  <c r="E47" i="14"/>
  <c r="F57" i="14"/>
  <c r="E58" i="14"/>
  <c r="F77" i="13"/>
  <c r="G77" i="13"/>
  <c r="E74" i="13"/>
  <c r="E84" i="11"/>
  <c r="C25" i="27"/>
  <c r="E25" i="27"/>
  <c r="F25" i="27"/>
  <c r="G25" i="27"/>
  <c r="F47" i="20"/>
  <c r="D49" i="20"/>
  <c r="G50" i="20"/>
  <c r="E47" i="20"/>
  <c r="G47" i="20"/>
  <c r="E49" i="20"/>
  <c r="F49" i="20"/>
  <c r="C51" i="20"/>
  <c r="D48" i="20"/>
  <c r="D51" i="20"/>
  <c r="E51" i="20"/>
  <c r="C47" i="20"/>
  <c r="F48" i="20"/>
  <c r="D50" i="20"/>
  <c r="F51" i="20"/>
  <c r="G33" i="20"/>
  <c r="C34" i="20"/>
  <c r="D34" i="20"/>
  <c r="E34" i="20"/>
  <c r="D33" i="20"/>
  <c r="F34" i="20"/>
  <c r="E33" i="20"/>
  <c r="F21" i="20"/>
  <c r="D20" i="20"/>
  <c r="G16" i="20"/>
  <c r="F22" i="20"/>
  <c r="D21" i="20"/>
  <c r="G19" i="20"/>
  <c r="F16" i="20"/>
  <c r="G22" i="20"/>
  <c r="F19" i="20"/>
  <c r="E16" i="20"/>
  <c r="D22" i="20"/>
  <c r="E19" i="20"/>
  <c r="D16" i="20"/>
  <c r="G42" i="21"/>
  <c r="E44" i="21"/>
  <c r="D44" i="21"/>
  <c r="F44" i="21"/>
  <c r="C46" i="21"/>
  <c r="F42" i="21"/>
  <c r="D43" i="21"/>
  <c r="D46" i="21"/>
  <c r="E46" i="21"/>
  <c r="C42" i="21"/>
  <c r="F43" i="21"/>
  <c r="D45" i="21"/>
  <c r="F46" i="21"/>
  <c r="C18" i="21"/>
  <c r="G16" i="21"/>
  <c r="F16" i="21"/>
  <c r="G17" i="21"/>
  <c r="E16" i="21"/>
  <c r="F17" i="21"/>
  <c r="D16" i="21"/>
  <c r="C29" i="21"/>
  <c r="D29" i="21"/>
  <c r="E29" i="21"/>
  <c r="D28" i="21"/>
  <c r="F29" i="21"/>
  <c r="E28" i="21"/>
  <c r="F168" i="23"/>
  <c r="D170" i="23"/>
  <c r="G171" i="23"/>
  <c r="E168" i="23"/>
  <c r="F170" i="23"/>
  <c r="C172" i="23"/>
  <c r="C168" i="23"/>
  <c r="G168" i="23"/>
  <c r="E170" i="23"/>
  <c r="D169" i="23"/>
  <c r="D172" i="23"/>
  <c r="E172" i="23"/>
  <c r="F172" i="23"/>
  <c r="G4" i="23"/>
  <c r="C5" i="23"/>
  <c r="E7" i="23"/>
  <c r="D7" i="23"/>
  <c r="F5" i="23"/>
  <c r="G7" i="23"/>
  <c r="D3" i="23"/>
  <c r="G5" i="23"/>
  <c r="D4" i="23"/>
  <c r="D6" i="23"/>
  <c r="E9" i="23"/>
  <c r="E4" i="23"/>
  <c r="F6" i="23"/>
  <c r="E125" i="23"/>
  <c r="F125" i="23"/>
  <c r="G125" i="23"/>
  <c r="D126" i="23"/>
  <c r="E126" i="23"/>
  <c r="C125" i="23"/>
  <c r="F126" i="23"/>
  <c r="E3" i="23"/>
  <c r="E6" i="23"/>
  <c r="F3" i="23"/>
  <c r="G3" i="23"/>
  <c r="D5" i="23"/>
  <c r="C9" i="23"/>
  <c r="D9" i="23"/>
  <c r="F9" i="23"/>
  <c r="G162" i="23"/>
  <c r="E162" i="23"/>
  <c r="F162" i="23"/>
  <c r="C148" i="23"/>
  <c r="E148" i="23"/>
  <c r="G147" i="23"/>
  <c r="D148" i="23"/>
  <c r="D147" i="23"/>
  <c r="F148" i="23"/>
  <c r="E147" i="23"/>
  <c r="F73" i="22"/>
  <c r="F70" i="22"/>
  <c r="D72" i="22"/>
  <c r="G73" i="22"/>
  <c r="G70" i="22"/>
  <c r="E72" i="22"/>
  <c r="F72" i="22"/>
  <c r="C74" i="22"/>
  <c r="E70" i="22"/>
  <c r="D71" i="22"/>
  <c r="D74" i="22"/>
  <c r="C70" i="22"/>
  <c r="D73" i="22"/>
  <c r="G56" i="22"/>
  <c r="C57" i="22"/>
  <c r="D57" i="22"/>
  <c r="D56" i="22"/>
  <c r="E56" i="22"/>
  <c r="F254" i="18"/>
  <c r="F251" i="18"/>
  <c r="D253" i="18"/>
  <c r="G254" i="18"/>
  <c r="E253" i="18"/>
  <c r="F253" i="18"/>
  <c r="C255" i="18"/>
  <c r="G251" i="18"/>
  <c r="D252" i="18"/>
  <c r="D255" i="18"/>
  <c r="E255" i="18"/>
  <c r="C251" i="18"/>
  <c r="F252" i="18"/>
  <c r="D254" i="18"/>
  <c r="F255" i="18"/>
  <c r="E227" i="18"/>
  <c r="F227" i="18"/>
  <c r="G248" i="18"/>
  <c r="G227" i="18"/>
  <c r="C248" i="18"/>
  <c r="D248" i="18"/>
  <c r="C227" i="18"/>
  <c r="E248" i="18"/>
  <c r="G37" i="12"/>
  <c r="C41" i="12"/>
  <c r="D41" i="12"/>
  <c r="E41" i="12"/>
  <c r="E39" i="12"/>
  <c r="F41" i="12"/>
  <c r="E34" i="12"/>
  <c r="F39" i="12"/>
  <c r="C34" i="12"/>
  <c r="E37" i="12"/>
  <c r="F40" i="12"/>
  <c r="E38" i="12"/>
  <c r="D37" i="12"/>
  <c r="G38" i="12"/>
  <c r="E40" i="12"/>
  <c r="F37" i="12"/>
  <c r="G40" i="12"/>
  <c r="D38" i="12"/>
  <c r="F33" i="17"/>
  <c r="F30" i="17"/>
  <c r="D32" i="17"/>
  <c r="G33" i="17"/>
  <c r="G30" i="17"/>
  <c r="F32" i="17"/>
  <c r="C34" i="17"/>
  <c r="E30" i="17"/>
  <c r="E32" i="17"/>
  <c r="D31" i="17"/>
  <c r="D34" i="17"/>
  <c r="E34" i="17"/>
  <c r="C30" i="17"/>
  <c r="F31" i="17"/>
  <c r="D33" i="17"/>
  <c r="F34" i="17"/>
  <c r="E48" i="16"/>
  <c r="F51" i="16"/>
  <c r="G48" i="16"/>
  <c r="C52" i="16"/>
  <c r="E52" i="16"/>
  <c r="D51" i="16"/>
  <c r="C48" i="16"/>
  <c r="E20" i="16"/>
  <c r="G20" i="16"/>
  <c r="F20" i="16"/>
  <c r="D20" i="16"/>
  <c r="C33" i="16"/>
  <c r="E33" i="16"/>
  <c r="E45" i="16"/>
  <c r="G45" i="16"/>
  <c r="F33" i="16"/>
  <c r="G33" i="16"/>
  <c r="C45" i="16"/>
  <c r="D45" i="16"/>
  <c r="E55" i="15"/>
  <c r="C54" i="15"/>
  <c r="F55" i="15"/>
  <c r="D57" i="15"/>
  <c r="D54" i="15"/>
  <c r="G55" i="15"/>
  <c r="E57" i="15"/>
  <c r="E54" i="15"/>
  <c r="F57" i="15"/>
  <c r="F54" i="15"/>
  <c r="D56" i="15"/>
  <c r="E56" i="15"/>
  <c r="F56" i="15"/>
  <c r="C56" i="14"/>
  <c r="D56" i="14"/>
  <c r="E56" i="14"/>
  <c r="F59" i="14"/>
  <c r="F56" i="14"/>
  <c r="D58" i="14"/>
  <c r="G59" i="14"/>
  <c r="F58" i="14"/>
  <c r="C60" i="14"/>
  <c r="D60" i="14"/>
  <c r="E60" i="14"/>
  <c r="D59" i="14"/>
  <c r="F60" i="14"/>
  <c r="G61" i="13"/>
  <c r="D61" i="13"/>
  <c r="F61" i="13"/>
  <c r="F71" i="13"/>
  <c r="E71" i="13"/>
  <c r="D71" i="13"/>
  <c r="G74" i="13"/>
  <c r="E76" i="13"/>
  <c r="D76" i="13"/>
  <c r="F76" i="13"/>
  <c r="C78" i="13"/>
  <c r="F74" i="13"/>
  <c r="D75" i="13"/>
  <c r="D78" i="13"/>
  <c r="E78" i="13"/>
  <c r="C74" i="13"/>
  <c r="F75" i="13"/>
  <c r="D77" i="13"/>
  <c r="F78" i="13"/>
  <c r="D26" i="26"/>
  <c r="C28" i="26"/>
  <c r="F26" i="26"/>
  <c r="D25" i="26"/>
  <c r="G26" i="26"/>
  <c r="D28" i="26"/>
  <c r="E28" i="26"/>
  <c r="F28" i="26"/>
  <c r="F21" i="27"/>
  <c r="D23" i="27"/>
  <c r="G24" i="27"/>
  <c r="E22" i="27"/>
  <c r="C21" i="27"/>
  <c r="F22" i="27"/>
  <c r="D24" i="27"/>
  <c r="D21" i="27"/>
  <c r="G22" i="27"/>
  <c r="E24" i="27"/>
  <c r="E21" i="27"/>
  <c r="E23" i="27"/>
  <c r="F23" i="27"/>
  <c r="C165" i="15"/>
  <c r="D165" i="15"/>
  <c r="C75" i="15"/>
  <c r="D75" i="15"/>
  <c r="C93" i="15"/>
  <c r="D93" i="15"/>
  <c r="C105" i="15"/>
  <c r="D105" i="15"/>
  <c r="C145" i="15"/>
  <c r="D145" i="15"/>
  <c r="C149" i="15"/>
  <c r="D149" i="15"/>
  <c r="C117" i="15"/>
  <c r="D117" i="15"/>
  <c r="C103" i="15"/>
  <c r="D103" i="15"/>
  <c r="C97" i="15"/>
  <c r="D97" i="15"/>
  <c r="C65" i="15"/>
  <c r="D65" i="15"/>
  <c r="C59" i="15"/>
  <c r="D59" i="15"/>
  <c r="C133" i="15"/>
  <c r="D133" i="15"/>
  <c r="C81" i="15"/>
  <c r="D81" i="15"/>
  <c r="C99" i="15"/>
  <c r="D99" i="15"/>
  <c r="C67" i="15"/>
  <c r="D67" i="15"/>
  <c r="C113" i="15"/>
  <c r="D113" i="15"/>
  <c r="C121" i="15"/>
  <c r="D121" i="15"/>
  <c r="C95" i="15"/>
  <c r="D95" i="15"/>
  <c r="C83" i="15"/>
  <c r="D83" i="15"/>
  <c r="C169" i="15"/>
  <c r="D169" i="15"/>
  <c r="C137" i="15"/>
  <c r="D137" i="15"/>
  <c r="C91" i="15"/>
  <c r="D91" i="15"/>
  <c r="C71" i="15"/>
  <c r="D71" i="15"/>
  <c r="C153" i="15"/>
  <c r="D153" i="15"/>
  <c r="C161" i="15"/>
  <c r="D161" i="15"/>
  <c r="C129" i="15"/>
  <c r="D129" i="15"/>
  <c r="C101" i="15"/>
  <c r="D101" i="15"/>
  <c r="C79" i="15"/>
  <c r="D79" i="15"/>
  <c r="D172" i="15"/>
  <c r="C89" i="15"/>
  <c r="D89" i="15"/>
  <c r="C84" i="15"/>
  <c r="D84" i="15"/>
  <c r="C73" i="15"/>
  <c r="D73" i="15"/>
  <c r="C68" i="15"/>
  <c r="D68" i="15"/>
  <c r="C85" i="15"/>
  <c r="D85" i="15"/>
  <c r="C69" i="15"/>
  <c r="D69" i="15"/>
  <c r="C90" i="15"/>
  <c r="D90" i="15"/>
  <c r="C74" i="15"/>
  <c r="D74" i="15"/>
  <c r="C63" i="15"/>
  <c r="D63" i="15"/>
  <c r="D159" i="15"/>
  <c r="C156" i="15"/>
  <c r="D143" i="15"/>
  <c r="C140" i="15"/>
  <c r="D127" i="15"/>
  <c r="C124" i="15"/>
  <c r="D111" i="15"/>
  <c r="C108" i="15"/>
  <c r="C78" i="15"/>
  <c r="D78" i="15"/>
  <c r="C62" i="15"/>
  <c r="D62" i="15"/>
  <c r="C80" i="15"/>
  <c r="D80" i="15"/>
  <c r="C72" i="15"/>
  <c r="D72" i="15"/>
  <c r="C61" i="15"/>
  <c r="D61" i="15"/>
  <c r="D171" i="15"/>
  <c r="C168" i="15"/>
  <c r="D155" i="15"/>
  <c r="C152" i="15"/>
  <c r="D139" i="15"/>
  <c r="C136" i="15"/>
  <c r="D123" i="15"/>
  <c r="C120" i="15"/>
  <c r="D107" i="15"/>
  <c r="C104" i="15"/>
  <c r="C100" i="15"/>
  <c r="C96" i="15"/>
  <c r="C92" i="15"/>
  <c r="C87" i="15"/>
  <c r="D87" i="15"/>
  <c r="C82" i="15"/>
  <c r="D82" i="15"/>
  <c r="C66" i="15"/>
  <c r="D66" i="15"/>
  <c r="C64" i="15"/>
  <c r="D64" i="15"/>
  <c r="C76" i="15"/>
  <c r="D76" i="15"/>
  <c r="C60" i="15"/>
  <c r="D60" i="15"/>
  <c r="C88" i="15"/>
  <c r="D88" i="15"/>
  <c r="C77" i="15"/>
  <c r="D77" i="15"/>
  <c r="D173" i="15"/>
  <c r="D167" i="15"/>
  <c r="C164" i="15"/>
  <c r="D151" i="15"/>
  <c r="C148" i="15"/>
  <c r="D135" i="15"/>
  <c r="C132" i="15"/>
  <c r="D119" i="15"/>
  <c r="C116" i="15"/>
  <c r="C86" i="15"/>
  <c r="D86" i="15"/>
  <c r="C70" i="15"/>
  <c r="D70" i="15"/>
  <c r="C51" i="14"/>
  <c r="D51" i="14"/>
  <c r="E51" i="14"/>
  <c r="D47" i="14"/>
  <c r="G41" i="14"/>
  <c r="G48" i="14"/>
  <c r="D48" i="14"/>
  <c r="C43" i="14"/>
  <c r="F47" i="14"/>
  <c r="E42" i="14"/>
  <c r="D69" i="13"/>
  <c r="C69" i="13"/>
  <c r="E69" i="13"/>
  <c r="F36" i="13"/>
  <c r="G36" i="13"/>
  <c r="D36" i="13"/>
  <c r="G71" i="13"/>
  <c r="F79" i="25"/>
  <c r="D66" i="25"/>
  <c r="G79" i="25"/>
  <c r="F82" i="25"/>
  <c r="F81" i="25"/>
  <c r="C83" i="25"/>
  <c r="G82" i="25"/>
  <c r="C64" i="25"/>
  <c r="F65" i="25"/>
  <c r="D80" i="25"/>
  <c r="G81" i="25"/>
  <c r="D83" i="25"/>
  <c r="E83" i="25"/>
  <c r="D81" i="25"/>
  <c r="D65" i="25"/>
  <c r="E64" i="25"/>
  <c r="C79" i="25"/>
  <c r="F80" i="25"/>
  <c r="D82" i="25"/>
  <c r="F83" i="25"/>
  <c r="E65" i="25"/>
  <c r="D64" i="25"/>
  <c r="E80" i="25"/>
  <c r="G58" i="24"/>
  <c r="F58" i="24"/>
  <c r="E61" i="24"/>
  <c r="E58" i="24"/>
  <c r="F61" i="24"/>
  <c r="G69" i="24"/>
  <c r="F65" i="24"/>
  <c r="D61" i="24"/>
  <c r="D58" i="24"/>
  <c r="F69" i="24"/>
  <c r="E65" i="24"/>
  <c r="C61" i="24"/>
  <c r="E66" i="24"/>
  <c r="F60" i="24"/>
  <c r="E93" i="24"/>
  <c r="E68" i="24"/>
  <c r="C80" i="24"/>
  <c r="G66" i="24"/>
  <c r="F66" i="24"/>
  <c r="D66" i="24"/>
  <c r="E60" i="24"/>
  <c r="D60" i="24"/>
  <c r="D79" i="24"/>
  <c r="F93" i="24"/>
  <c r="F80" i="24"/>
  <c r="D65" i="24"/>
  <c r="G67" i="24"/>
  <c r="C65" i="24"/>
  <c r="G62" i="24"/>
  <c r="G80" i="24"/>
  <c r="E94" i="24"/>
  <c r="E63" i="24"/>
  <c r="D68" i="24"/>
  <c r="F62" i="24"/>
  <c r="G59" i="24"/>
  <c r="G56" i="24"/>
  <c r="D63" i="24"/>
  <c r="G68" i="24"/>
  <c r="D67" i="24"/>
  <c r="G63" i="24"/>
  <c r="D62" i="24"/>
  <c r="E59" i="24"/>
  <c r="E56" i="24"/>
  <c r="F79" i="24"/>
  <c r="F96" i="24"/>
  <c r="F67" i="24"/>
  <c r="E67" i="24"/>
  <c r="E62" i="24"/>
  <c r="F59" i="24"/>
  <c r="F56" i="24"/>
  <c r="D56" i="24"/>
  <c r="G96" i="24"/>
  <c r="G93" i="24"/>
  <c r="E95" i="24"/>
  <c r="F95" i="24"/>
  <c r="C97" i="24"/>
  <c r="C78" i="24"/>
  <c r="D78" i="24"/>
  <c r="E78" i="24"/>
  <c r="D94" i="24"/>
  <c r="G95" i="24"/>
  <c r="D97" i="24"/>
  <c r="F78" i="24"/>
  <c r="E97" i="24"/>
  <c r="D80" i="24"/>
  <c r="C93" i="24"/>
  <c r="F94" i="24"/>
  <c r="D96" i="24"/>
  <c r="F97" i="24"/>
  <c r="F86" i="11"/>
  <c r="C88" i="11"/>
  <c r="D85" i="11"/>
  <c r="G86" i="11"/>
  <c r="D88" i="11"/>
  <c r="E88" i="11"/>
  <c r="F87" i="11"/>
  <c r="F84" i="11"/>
  <c r="D86" i="11"/>
  <c r="G87" i="11"/>
  <c r="G84" i="11"/>
  <c r="E85" i="11"/>
  <c r="C84" i="11"/>
  <c r="F85" i="11"/>
  <c r="D87" i="11"/>
  <c r="F88" i="11"/>
  <c r="D81" i="11"/>
  <c r="D75" i="11"/>
  <c r="G81" i="11"/>
  <c r="F81" i="11"/>
  <c r="D72" i="11"/>
  <c r="G79" i="11"/>
  <c r="F79" i="11"/>
  <c r="E79" i="11"/>
  <c r="D79" i="11"/>
  <c r="D76" i="11"/>
  <c r="E67" i="11"/>
  <c r="F67" i="11"/>
  <c r="F66" i="11"/>
  <c r="D68" i="11"/>
  <c r="E68" i="11"/>
  <c r="D67" i="11"/>
  <c r="F68" i="11"/>
  <c r="G68" i="11"/>
  <c r="D66" i="11"/>
  <c r="E66" i="11"/>
  <c r="G53" i="14"/>
  <c r="F59" i="13"/>
  <c r="G60" i="13"/>
  <c r="E59" i="13"/>
  <c r="F60" i="13"/>
  <c r="D59" i="13"/>
  <c r="E60" i="13"/>
  <c r="C59" i="13"/>
  <c r="D60" i="13"/>
  <c r="F53" i="14"/>
  <c r="E41" i="14"/>
  <c r="E53" i="14"/>
  <c r="F48" i="14"/>
  <c r="C47" i="14"/>
  <c r="G42" i="14"/>
  <c r="D41" i="14"/>
  <c r="F42" i="14"/>
  <c r="F43" i="14"/>
  <c r="F206" i="18"/>
  <c r="G206" i="18"/>
  <c r="E206" i="18"/>
  <c r="E209" i="18"/>
  <c r="F209" i="18"/>
  <c r="G209" i="18"/>
  <c r="D208" i="18"/>
  <c r="D205" i="18"/>
  <c r="E208" i="18"/>
  <c r="E205" i="18"/>
  <c r="F208" i="18"/>
  <c r="F205" i="18"/>
  <c r="D207" i="18"/>
  <c r="E207" i="18"/>
  <c r="F207" i="18"/>
  <c r="B15" i="20"/>
  <c r="G15" i="20" s="1"/>
  <c r="B14" i="20"/>
  <c r="E14" i="20" s="1"/>
  <c r="B13" i="20"/>
  <c r="G13" i="20" s="1"/>
  <c r="B12" i="20"/>
  <c r="G12" i="20" s="1"/>
  <c r="B11" i="20"/>
  <c r="D11" i="20" s="1"/>
  <c r="B10" i="20"/>
  <c r="G10" i="20" s="1"/>
  <c r="B14" i="21"/>
  <c r="E14" i="21" s="1"/>
  <c r="B13" i="21"/>
  <c r="G13" i="21" s="1"/>
  <c r="B12" i="21"/>
  <c r="G12" i="21" s="1"/>
  <c r="B11" i="21"/>
  <c r="D11" i="21" s="1"/>
  <c r="B10" i="21"/>
  <c r="G10" i="21" s="1"/>
  <c r="B35" i="22"/>
  <c r="B36" i="22"/>
  <c r="D36" i="22" s="1"/>
  <c r="B6" i="21"/>
  <c r="B55" i="25"/>
  <c r="G55" i="25" s="1"/>
  <c r="B54" i="25"/>
  <c r="E54" i="25" s="1"/>
  <c r="B53" i="25"/>
  <c r="G53" i="25" s="1"/>
  <c r="B52" i="25"/>
  <c r="G52" i="25" s="1"/>
  <c r="B51" i="25"/>
  <c r="E51" i="25" s="1"/>
  <c r="B50" i="25"/>
  <c r="B49" i="25"/>
  <c r="E49" i="25" s="1"/>
  <c r="B48" i="25"/>
  <c r="G48" i="25" s="1"/>
  <c r="B47" i="25"/>
  <c r="G47" i="25" s="1"/>
  <c r="B46" i="25"/>
  <c r="E46" i="25" s="1"/>
  <c r="B45" i="25"/>
  <c r="G45" i="25" s="1"/>
  <c r="B44" i="25"/>
  <c r="G44" i="25" s="1"/>
  <c r="B43" i="25"/>
  <c r="E43" i="25" s="1"/>
  <c r="G42" i="25"/>
  <c r="B42" i="25"/>
  <c r="F42" i="25" s="1"/>
  <c r="B17" i="23"/>
  <c r="B18" i="23"/>
  <c r="C18" i="23" s="1"/>
  <c r="B19" i="23"/>
  <c r="F19" i="23" s="1"/>
  <c r="B20" i="23"/>
  <c r="B21" i="23"/>
  <c r="D21" i="23" s="1"/>
  <c r="B22" i="23"/>
  <c r="B23" i="23"/>
  <c r="F23" i="23" s="1"/>
  <c r="B24" i="23"/>
  <c r="B25" i="23"/>
  <c r="D25" i="23" s="1"/>
  <c r="B26" i="23"/>
  <c r="B27" i="23"/>
  <c r="B28" i="23"/>
  <c r="B29" i="23"/>
  <c r="E29" i="23" s="1"/>
  <c r="B30" i="23"/>
  <c r="G30" i="23" s="1"/>
  <c r="B31" i="23"/>
  <c r="B32" i="23"/>
  <c r="B33" i="23"/>
  <c r="E33" i="23" s="1"/>
  <c r="B34" i="23"/>
  <c r="B35" i="23"/>
  <c r="D35" i="23" s="1"/>
  <c r="B36" i="23"/>
  <c r="B37" i="23"/>
  <c r="E37" i="23" s="1"/>
  <c r="B38" i="23"/>
  <c r="G38" i="23" s="1"/>
  <c r="B39" i="23"/>
  <c r="D39" i="23" s="1"/>
  <c r="B40" i="23"/>
  <c r="B41" i="23"/>
  <c r="E41" i="23" s="1"/>
  <c r="B42" i="23"/>
  <c r="D42" i="23" s="1"/>
  <c r="B43" i="23"/>
  <c r="B44" i="23"/>
  <c r="B45" i="23"/>
  <c r="D45" i="23" s="1"/>
  <c r="B46" i="23"/>
  <c r="G46" i="23" s="1"/>
  <c r="B47" i="23"/>
  <c r="B48" i="23"/>
  <c r="E48" i="23" s="1"/>
  <c r="B49" i="23"/>
  <c r="E49" i="23" s="1"/>
  <c r="B50" i="23"/>
  <c r="B51" i="23"/>
  <c r="E51" i="23" s="1"/>
  <c r="B52" i="23"/>
  <c r="B53" i="23"/>
  <c r="B54" i="23"/>
  <c r="G54" i="23" s="1"/>
  <c r="B55" i="23"/>
  <c r="B56" i="23"/>
  <c r="B57" i="23"/>
  <c r="E57" i="23" s="1"/>
  <c r="B58" i="23"/>
  <c r="G58" i="23" s="1"/>
  <c r="B59" i="23"/>
  <c r="D59" i="23" s="1"/>
  <c r="B60" i="23"/>
  <c r="D60" i="23" s="1"/>
  <c r="B61" i="23"/>
  <c r="E61" i="23" s="1"/>
  <c r="B62" i="23"/>
  <c r="B63" i="23"/>
  <c r="G63" i="23" s="1"/>
  <c r="B64" i="23"/>
  <c r="B65" i="23"/>
  <c r="B66" i="23"/>
  <c r="G66" i="23" s="1"/>
  <c r="B67" i="23"/>
  <c r="B68" i="23"/>
  <c r="B69" i="23"/>
  <c r="E69" i="23" s="1"/>
  <c r="B70" i="23"/>
  <c r="G70" i="23" s="1"/>
  <c r="B71" i="23"/>
  <c r="B72" i="23"/>
  <c r="B73" i="23"/>
  <c r="E73" i="23" s="1"/>
  <c r="B74" i="23"/>
  <c r="B75" i="23"/>
  <c r="G75" i="23" s="1"/>
  <c r="B76" i="23"/>
  <c r="B77" i="23"/>
  <c r="B78" i="23"/>
  <c r="B79" i="23"/>
  <c r="B80" i="23"/>
  <c r="E80" i="23" s="1"/>
  <c r="B81" i="23"/>
  <c r="B82" i="23"/>
  <c r="B83" i="23"/>
  <c r="G83" i="23" s="1"/>
  <c r="B84" i="23"/>
  <c r="B85" i="23"/>
  <c r="G85" i="23" s="1"/>
  <c r="B86" i="23"/>
  <c r="G86" i="23" s="1"/>
  <c r="B87" i="23"/>
  <c r="B88" i="23"/>
  <c r="G88" i="23" s="1"/>
  <c r="B89" i="23"/>
  <c r="B90" i="23"/>
  <c r="B91" i="23"/>
  <c r="C91" i="23" s="1"/>
  <c r="B92" i="23"/>
  <c r="D92" i="23" s="1"/>
  <c r="B93" i="23"/>
  <c r="E93" i="23" s="1"/>
  <c r="B94" i="23"/>
  <c r="B95" i="23"/>
  <c r="D95" i="23" s="1"/>
  <c r="B96" i="23"/>
  <c r="C96" i="23" s="1"/>
  <c r="B97" i="23"/>
  <c r="C97" i="23" s="1"/>
  <c r="B98" i="23"/>
  <c r="B99" i="23"/>
  <c r="B100" i="23"/>
  <c r="D100" i="23" s="1"/>
  <c r="B101" i="23"/>
  <c r="F101" i="23" s="1"/>
  <c r="B102" i="23"/>
  <c r="G102" i="23" s="1"/>
  <c r="B103" i="23"/>
  <c r="C103" i="23" s="1"/>
  <c r="B104" i="23"/>
  <c r="F104" i="23" s="1"/>
  <c r="B105" i="23"/>
  <c r="B106" i="23"/>
  <c r="D106" i="23" s="1"/>
  <c r="B107" i="23"/>
  <c r="B108" i="23"/>
  <c r="B109" i="23"/>
  <c r="B110" i="23"/>
  <c r="G110" i="23" s="1"/>
  <c r="B111" i="23"/>
  <c r="B112" i="23"/>
  <c r="E112" i="23" s="1"/>
  <c r="B113" i="23"/>
  <c r="E113" i="23" s="1"/>
  <c r="B114" i="23"/>
  <c r="F114" i="23" s="1"/>
  <c r="B115" i="23"/>
  <c r="G115" i="23" s="1"/>
  <c r="B116" i="23"/>
  <c r="B117" i="23"/>
  <c r="B118" i="23"/>
  <c r="B119" i="23"/>
  <c r="B120" i="23"/>
  <c r="D120" i="23" s="1"/>
  <c r="B121" i="23"/>
  <c r="E121" i="23" s="1"/>
  <c r="B122" i="23"/>
  <c r="G122" i="23" s="1"/>
  <c r="B16" i="23"/>
  <c r="F16" i="23" s="1"/>
  <c r="B15" i="23"/>
  <c r="D15" i="23" s="1"/>
  <c r="B14" i="23"/>
  <c r="G14" i="23" s="1"/>
  <c r="B13" i="23"/>
  <c r="G13" i="23" s="1"/>
  <c r="B12" i="23"/>
  <c r="E12" i="23" s="1"/>
  <c r="B5" i="22"/>
  <c r="D5" i="22" s="1"/>
  <c r="B6" i="22"/>
  <c r="G6" i="22" s="1"/>
  <c r="B7" i="22"/>
  <c r="D7" i="22" s="1"/>
  <c r="B8" i="22"/>
  <c r="D8" i="22" s="1"/>
  <c r="B9" i="22"/>
  <c r="G9" i="22" s="1"/>
  <c r="B10" i="22"/>
  <c r="D10" i="22" s="1"/>
  <c r="B11" i="22"/>
  <c r="F11" i="22" s="1"/>
  <c r="B12" i="22"/>
  <c r="F12" i="22" s="1"/>
  <c r="B13" i="22"/>
  <c r="D13" i="22" s="1"/>
  <c r="B14" i="22"/>
  <c r="F14" i="22" s="1"/>
  <c r="B15" i="22"/>
  <c r="D15" i="22" s="1"/>
  <c r="B16" i="22"/>
  <c r="D16" i="22" s="1"/>
  <c r="B17" i="22"/>
  <c r="G17" i="22" s="1"/>
  <c r="B18" i="22"/>
  <c r="E18" i="22" s="1"/>
  <c r="B19" i="22"/>
  <c r="F19" i="22" s="1"/>
  <c r="B20" i="22"/>
  <c r="F20" i="22" s="1"/>
  <c r="B21" i="22"/>
  <c r="D21" i="22" s="1"/>
  <c r="B22" i="22"/>
  <c r="F22" i="22" s="1"/>
  <c r="B23" i="22"/>
  <c r="D23" i="22" s="1"/>
  <c r="B24" i="22"/>
  <c r="D24" i="22" s="1"/>
  <c r="B25" i="22"/>
  <c r="G25" i="22" s="1"/>
  <c r="B26" i="22"/>
  <c r="D26" i="22" s="1"/>
  <c r="B34" i="22"/>
  <c r="F34" i="22" s="1"/>
  <c r="B33" i="22"/>
  <c r="G33" i="22" s="1"/>
  <c r="B32" i="22"/>
  <c r="D32" i="22" s="1"/>
  <c r="B4" i="22"/>
  <c r="G4" i="22" s="1"/>
  <c r="B3" i="22"/>
  <c r="G3" i="22" s="1"/>
  <c r="B7" i="21"/>
  <c r="F7" i="21" s="1"/>
  <c r="B5" i="21"/>
  <c r="G5" i="21" s="1"/>
  <c r="B4" i="21"/>
  <c r="G4" i="21" s="1"/>
  <c r="B3" i="21"/>
  <c r="E3" i="21" s="1"/>
  <c r="B7" i="20"/>
  <c r="F7" i="20" s="1"/>
  <c r="B6" i="20"/>
  <c r="D6" i="20" s="1"/>
  <c r="B5" i="20"/>
  <c r="G5" i="20" s="1"/>
  <c r="B4" i="20"/>
  <c r="G4" i="20" s="1"/>
  <c r="B3" i="20"/>
  <c r="E3" i="20" s="1"/>
  <c r="B202" i="18"/>
  <c r="B210" i="18"/>
  <c r="F210" i="18" s="1"/>
  <c r="B211" i="18"/>
  <c r="C211" i="18" s="1"/>
  <c r="B212" i="18"/>
  <c r="B213" i="18"/>
  <c r="B214" i="18"/>
  <c r="F214" i="18" s="1"/>
  <c r="B215" i="18"/>
  <c r="C215" i="18" s="1"/>
  <c r="B216" i="18"/>
  <c r="C216" i="18" s="1"/>
  <c r="B217" i="18"/>
  <c r="D217" i="18" s="1"/>
  <c r="B218" i="18"/>
  <c r="F218" i="18" s="1"/>
  <c r="B9" i="12"/>
  <c r="C9" i="12" s="1"/>
  <c r="B10" i="12"/>
  <c r="B11" i="12"/>
  <c r="D11" i="12" s="1"/>
  <c r="B12" i="12"/>
  <c r="B13" i="12"/>
  <c r="B3" i="12"/>
  <c r="C3" i="12" s="1"/>
  <c r="B10" i="17"/>
  <c r="G10" i="17" s="1"/>
  <c r="B11" i="17"/>
  <c r="E11" i="17" s="1"/>
  <c r="B12" i="17"/>
  <c r="B13" i="17"/>
  <c r="D13" i="17" s="1"/>
  <c r="B14" i="17"/>
  <c r="G14" i="17" s="1"/>
  <c r="B15" i="17"/>
  <c r="E15" i="17" s="1"/>
  <c r="B5" i="16"/>
  <c r="D5" i="16" s="1"/>
  <c r="B8" i="16"/>
  <c r="D8" i="16" s="1"/>
  <c r="B9" i="16"/>
  <c r="D9" i="16" s="1"/>
  <c r="B10" i="16"/>
  <c r="E10" i="16" s="1"/>
  <c r="B11" i="16"/>
  <c r="B12" i="16"/>
  <c r="D12" i="16" s="1"/>
  <c r="B13" i="16"/>
  <c r="D13" i="16" s="1"/>
  <c r="B14" i="16"/>
  <c r="F14" i="16" s="1"/>
  <c r="B15" i="16"/>
  <c r="B16" i="16"/>
  <c r="D16" i="16" s="1"/>
  <c r="B21" i="16"/>
  <c r="D21" i="16" s="1"/>
  <c r="B22" i="16"/>
  <c r="F22" i="16" s="1"/>
  <c r="B23" i="16"/>
  <c r="B24" i="16"/>
  <c r="D24" i="16" s="1"/>
  <c r="B8" i="15"/>
  <c r="G8" i="15" s="1"/>
  <c r="B9" i="15"/>
  <c r="B10" i="15"/>
  <c r="C10" i="15" s="1"/>
  <c r="B11" i="15"/>
  <c r="B12" i="15"/>
  <c r="G12" i="15" s="1"/>
  <c r="B13" i="15"/>
  <c r="C13" i="15" s="1"/>
  <c r="B14" i="15"/>
  <c r="D14" i="15" s="1"/>
  <c r="B15" i="15"/>
  <c r="B16" i="15"/>
  <c r="B17" i="15"/>
  <c r="D17" i="15" s="1"/>
  <c r="B18" i="15"/>
  <c r="D18" i="15" s="1"/>
  <c r="B19" i="15"/>
  <c r="F19" i="15" s="1"/>
  <c r="B20" i="15"/>
  <c r="D20" i="15" s="1"/>
  <c r="B21" i="15"/>
  <c r="B22" i="15"/>
  <c r="D22" i="15" s="1"/>
  <c r="B23" i="15"/>
  <c r="C23" i="15" s="1"/>
  <c r="B32" i="15"/>
  <c r="D32" i="15" s="1"/>
  <c r="B33" i="15"/>
  <c r="D33" i="15" s="1"/>
  <c r="B34" i="15"/>
  <c r="C34" i="15" s="1"/>
  <c r="D36" i="15"/>
  <c r="F36" i="15"/>
  <c r="G36" i="15"/>
  <c r="B39" i="15"/>
  <c r="D39" i="15" s="1"/>
  <c r="B51" i="15"/>
  <c r="D51" i="15" s="1"/>
  <c r="E51" i="15"/>
  <c r="F51" i="15"/>
  <c r="B52" i="15"/>
  <c r="D52" i="15" s="1"/>
  <c r="E67" i="15"/>
  <c r="G68" i="15"/>
  <c r="F69" i="15"/>
  <c r="F70" i="15"/>
  <c r="F72" i="15"/>
  <c r="G75" i="15"/>
  <c r="E76" i="15"/>
  <c r="G79" i="15"/>
  <c r="G81" i="15"/>
  <c r="G83" i="15"/>
  <c r="G87" i="15"/>
  <c r="G91" i="15"/>
  <c r="G95" i="15"/>
  <c r="G99" i="15"/>
  <c r="E99" i="15"/>
  <c r="F99" i="15"/>
  <c r="G103" i="15"/>
  <c r="G104" i="15"/>
  <c r="G107" i="15"/>
  <c r="E108" i="15"/>
  <c r="G111" i="15"/>
  <c r="G115" i="15"/>
  <c r="E115" i="15"/>
  <c r="G119" i="15"/>
  <c r="F122" i="15"/>
  <c r="G123" i="15"/>
  <c r="G127" i="15"/>
  <c r="G128" i="15"/>
  <c r="G131" i="15"/>
  <c r="G135" i="15"/>
  <c r="G139" i="15"/>
  <c r="G143" i="15"/>
  <c r="G144" i="15"/>
  <c r="G147" i="15"/>
  <c r="G151" i="15"/>
  <c r="G155" i="15"/>
  <c r="F156" i="15"/>
  <c r="G159" i="15"/>
  <c r="G160" i="15"/>
  <c r="G163" i="15"/>
  <c r="E166" i="15"/>
  <c r="G167" i="15"/>
  <c r="G168" i="15"/>
  <c r="E170" i="15"/>
  <c r="G171" i="15"/>
  <c r="G172" i="15"/>
  <c r="E174" i="15"/>
  <c r="B24" i="14"/>
  <c r="D24" i="14" s="1"/>
  <c r="B25" i="14"/>
  <c r="E25" i="14" s="1"/>
  <c r="B26" i="14"/>
  <c r="D26" i="14" s="1"/>
  <c r="B27" i="14"/>
  <c r="C27" i="14" s="1"/>
  <c r="B28" i="14"/>
  <c r="E28" i="14" s="1"/>
  <c r="B29" i="14"/>
  <c r="C29" i="14" s="1"/>
  <c r="B30" i="14"/>
  <c r="F30" i="14" s="1"/>
  <c r="B31" i="14"/>
  <c r="D31" i="14" s="1"/>
  <c r="B32" i="14"/>
  <c r="E32" i="14" s="1"/>
  <c r="B6" i="14"/>
  <c r="C6" i="14" s="1"/>
  <c r="B9" i="14"/>
  <c r="D9" i="14" s="1"/>
  <c r="B10" i="14"/>
  <c r="G10" i="14" s="1"/>
  <c r="B11" i="14"/>
  <c r="C11" i="14" s="1"/>
  <c r="B12" i="14"/>
  <c r="C12" i="14" s="1"/>
  <c r="B13" i="14"/>
  <c r="E13" i="14" s="1"/>
  <c r="B14" i="14"/>
  <c r="G14" i="14" s="1"/>
  <c r="B15" i="14"/>
  <c r="D15" i="14" s="1"/>
  <c r="B16" i="14"/>
  <c r="B17" i="14"/>
  <c r="D17" i="14" s="1"/>
  <c r="B18" i="14"/>
  <c r="G18" i="14" s="1"/>
  <c r="B19" i="14"/>
  <c r="D19" i="14" s="1"/>
  <c r="B20" i="14"/>
  <c r="C20" i="14" s="1"/>
  <c r="B21" i="14"/>
  <c r="D21" i="14" s="1"/>
  <c r="B22" i="14"/>
  <c r="G22" i="14" s="1"/>
  <c r="B23" i="14"/>
  <c r="E23" i="14" s="1"/>
  <c r="B27" i="13"/>
  <c r="C27" i="13" s="1"/>
  <c r="B28" i="13"/>
  <c r="B29" i="13"/>
  <c r="G29" i="13" s="1"/>
  <c r="B30" i="13"/>
  <c r="C30" i="13" s="1"/>
  <c r="B6" i="13"/>
  <c r="C6" i="13" s="1"/>
  <c r="B9" i="13"/>
  <c r="F9" i="13" s="1"/>
  <c r="B10" i="13"/>
  <c r="B11" i="13"/>
  <c r="C11" i="13" s="1"/>
  <c r="B12" i="13"/>
  <c r="D12" i="13" s="1"/>
  <c r="B13" i="13"/>
  <c r="G13" i="13" s="1"/>
  <c r="B14" i="13"/>
  <c r="C14" i="13" s="1"/>
  <c r="B15" i="13"/>
  <c r="C15" i="13" s="1"/>
  <c r="B16" i="13"/>
  <c r="D16" i="13" s="1"/>
  <c r="B17" i="13"/>
  <c r="G17" i="13" s="1"/>
  <c r="B18" i="13"/>
  <c r="C18" i="13" s="1"/>
  <c r="B25" i="13"/>
  <c r="C25" i="13" s="1"/>
  <c r="B26" i="13"/>
  <c r="D26" i="13" s="1"/>
  <c r="B55" i="11"/>
  <c r="F55" i="11" s="1"/>
  <c r="B56" i="11"/>
  <c r="D56" i="11" s="1"/>
  <c r="B57" i="11"/>
  <c r="F57" i="11" s="1"/>
  <c r="B41" i="11"/>
  <c r="C41" i="11" s="1"/>
  <c r="B44" i="11"/>
  <c r="G44" i="11" s="1"/>
  <c r="B45" i="11"/>
  <c r="G45" i="11" s="1"/>
  <c r="B46" i="11"/>
  <c r="C46" i="11" s="1"/>
  <c r="B47" i="11"/>
  <c r="D47" i="11" s="1"/>
  <c r="B48" i="11"/>
  <c r="F48" i="11" s="1"/>
  <c r="B49" i="11"/>
  <c r="C49" i="11" s="1"/>
  <c r="B50" i="11"/>
  <c r="C50" i="11" s="1"/>
  <c r="B51" i="11"/>
  <c r="D51" i="11" s="1"/>
  <c r="B52" i="11"/>
  <c r="B53" i="11"/>
  <c r="C53" i="11" s="1"/>
  <c r="B54" i="11"/>
  <c r="C54" i="11" s="1"/>
  <c r="B9" i="27"/>
  <c r="B10" i="27"/>
  <c r="B11" i="27"/>
  <c r="F11" i="27" s="1"/>
  <c r="B8" i="27"/>
  <c r="G8" i="27" s="1"/>
  <c r="B5" i="27"/>
  <c r="C5" i="27" s="1"/>
  <c r="B3" i="27"/>
  <c r="F3" i="27" s="1"/>
  <c r="B12" i="26"/>
  <c r="B10" i="26"/>
  <c r="B6" i="26"/>
  <c r="D6" i="26" s="1"/>
  <c r="B7" i="26"/>
  <c r="E7" i="26" s="1"/>
  <c r="B5" i="26"/>
  <c r="B4" i="26"/>
  <c r="B3" i="26"/>
  <c r="B171" i="18"/>
  <c r="B172" i="18"/>
  <c r="D172" i="18" s="1"/>
  <c r="B173" i="18"/>
  <c r="G173" i="18" s="1"/>
  <c r="B174" i="18"/>
  <c r="B175" i="18"/>
  <c r="D175" i="18" s="1"/>
  <c r="B176" i="18"/>
  <c r="D176" i="18" s="1"/>
  <c r="B177" i="18"/>
  <c r="D177" i="18" s="1"/>
  <c r="B178" i="18"/>
  <c r="D178" i="18" s="1"/>
  <c r="B179" i="18"/>
  <c r="D179" i="18" s="1"/>
  <c r="B180" i="18"/>
  <c r="B181" i="18"/>
  <c r="D181" i="18" s="1"/>
  <c r="B182" i="18"/>
  <c r="B183" i="18"/>
  <c r="D183" i="18" s="1"/>
  <c r="B184" i="18"/>
  <c r="D184" i="18" s="1"/>
  <c r="B185" i="18"/>
  <c r="D185" i="18" s="1"/>
  <c r="B186" i="18"/>
  <c r="D186" i="18" s="1"/>
  <c r="B187" i="18"/>
  <c r="B188" i="18"/>
  <c r="B189" i="18"/>
  <c r="D189" i="18" s="1"/>
  <c r="B190" i="18"/>
  <c r="B191" i="18"/>
  <c r="D191" i="18" s="1"/>
  <c r="B192" i="18"/>
  <c r="D192" i="18" s="1"/>
  <c r="B193" i="18"/>
  <c r="D193" i="18" s="1"/>
  <c r="B194" i="18"/>
  <c r="D194" i="18" s="1"/>
  <c r="B195" i="18"/>
  <c r="D195" i="18" s="1"/>
  <c r="B196" i="18"/>
  <c r="B197" i="18"/>
  <c r="D197" i="18" s="1"/>
  <c r="B198" i="18"/>
  <c r="B199" i="18"/>
  <c r="D199" i="18" s="1"/>
  <c r="B200" i="18"/>
  <c r="D200" i="18" s="1"/>
  <c r="B201" i="18"/>
  <c r="D201" i="18" s="1"/>
  <c r="B3" i="18"/>
  <c r="B4" i="18"/>
  <c r="D4" i="18" s="1"/>
  <c r="B5" i="18"/>
  <c r="D5" i="18" s="1"/>
  <c r="B6" i="18"/>
  <c r="D6" i="18" s="1"/>
  <c r="B7" i="18"/>
  <c r="D7" i="18" s="1"/>
  <c r="D8" i="18"/>
  <c r="B9" i="18"/>
  <c r="C9" i="18" s="1"/>
  <c r="B10" i="18"/>
  <c r="D10" i="18" s="1"/>
  <c r="B11" i="18"/>
  <c r="D11" i="18" s="1"/>
  <c r="B12" i="18"/>
  <c r="D12" i="18" s="1"/>
  <c r="B13" i="18"/>
  <c r="C13" i="18" s="1"/>
  <c r="B14" i="18"/>
  <c r="B15" i="18"/>
  <c r="F15" i="18" s="1"/>
  <c r="B16" i="18"/>
  <c r="B17" i="18"/>
  <c r="C17" i="18" s="1"/>
  <c r="B18" i="18"/>
  <c r="B19" i="18"/>
  <c r="D19" i="18" s="1"/>
  <c r="B20" i="18"/>
  <c r="B21" i="18"/>
  <c r="F21" i="18" s="1"/>
  <c r="B22" i="18"/>
  <c r="D22" i="18" s="1"/>
  <c r="B23" i="18"/>
  <c r="B24" i="18"/>
  <c r="E24" i="18" s="1"/>
  <c r="B25" i="18"/>
  <c r="B26" i="18"/>
  <c r="D26" i="18" s="1"/>
  <c r="B27" i="18"/>
  <c r="E28" i="18"/>
  <c r="B29" i="18"/>
  <c r="F29" i="18" s="1"/>
  <c r="B30" i="18"/>
  <c r="F30" i="18" s="1"/>
  <c r="B31" i="18"/>
  <c r="D31" i="18" s="1"/>
  <c r="B32" i="18"/>
  <c r="B33" i="18"/>
  <c r="D33" i="18" s="1"/>
  <c r="B34" i="18"/>
  <c r="D34" i="18" s="1"/>
  <c r="B35" i="18"/>
  <c r="D35" i="18" s="1"/>
  <c r="B36" i="18"/>
  <c r="D36" i="18" s="1"/>
  <c r="B37" i="18"/>
  <c r="C37" i="18" s="1"/>
  <c r="B38" i="18"/>
  <c r="B39" i="18"/>
  <c r="D39" i="18" s="1"/>
  <c r="B40" i="18"/>
  <c r="B41" i="18"/>
  <c r="D41" i="18" s="1"/>
  <c r="B42" i="18"/>
  <c r="B43" i="18"/>
  <c r="D43" i="18" s="1"/>
  <c r="B44" i="18"/>
  <c r="D44" i="18" s="1"/>
  <c r="B45" i="18"/>
  <c r="D45" i="18" s="1"/>
  <c r="B46" i="18"/>
  <c r="D46" i="18" s="1"/>
  <c r="B47" i="18"/>
  <c r="G47" i="18" s="1"/>
  <c r="B48" i="18"/>
  <c r="F48" i="18" s="1"/>
  <c r="B49" i="18"/>
  <c r="C49" i="18" s="1"/>
  <c r="B50" i="18"/>
  <c r="D50" i="18" s="1"/>
  <c r="B51" i="18"/>
  <c r="D51" i="18" s="1"/>
  <c r="B52" i="18"/>
  <c r="D52" i="18" s="1"/>
  <c r="B53" i="18"/>
  <c r="B54" i="18"/>
  <c r="D54" i="18" s="1"/>
  <c r="B55" i="18"/>
  <c r="B56" i="18"/>
  <c r="F56" i="18" s="1"/>
  <c r="B57" i="18"/>
  <c r="C57" i="18" s="1"/>
  <c r="B58" i="18"/>
  <c r="D58" i="18" s="1"/>
  <c r="B59" i="18"/>
  <c r="D59" i="18" s="1"/>
  <c r="B60" i="18"/>
  <c r="D60" i="18" s="1"/>
  <c r="B61" i="18"/>
  <c r="B62" i="18"/>
  <c r="E62" i="18" s="1"/>
  <c r="B63" i="18"/>
  <c r="F63" i="18" s="1"/>
  <c r="B64" i="18"/>
  <c r="B65" i="18"/>
  <c r="C65" i="18" s="1"/>
  <c r="B66" i="18"/>
  <c r="D66" i="18" s="1"/>
  <c r="B67" i="18"/>
  <c r="D67" i="18" s="1"/>
  <c r="B68" i="18"/>
  <c r="D68" i="18" s="1"/>
  <c r="B69" i="18"/>
  <c r="E69" i="18" s="1"/>
  <c r="B70" i="18"/>
  <c r="G70" i="18" s="1"/>
  <c r="B71" i="18"/>
  <c r="E71" i="18" s="1"/>
  <c r="B72" i="18"/>
  <c r="C72" i="18" s="1"/>
  <c r="B73" i="18"/>
  <c r="B74" i="18"/>
  <c r="C74" i="18" s="1"/>
  <c r="B75" i="18"/>
  <c r="B76" i="18"/>
  <c r="B77" i="18"/>
  <c r="F77" i="18" s="1"/>
  <c r="B78" i="18"/>
  <c r="G78" i="18" s="1"/>
  <c r="B79" i="18"/>
  <c r="G79" i="18" s="1"/>
  <c r="B80" i="18"/>
  <c r="B81" i="18"/>
  <c r="F81" i="18" s="1"/>
  <c r="B82" i="18"/>
  <c r="B83" i="18"/>
  <c r="D83" i="18" s="1"/>
  <c r="B84" i="18"/>
  <c r="D84" i="18" s="1"/>
  <c r="B85" i="18"/>
  <c r="E85" i="18" s="1"/>
  <c r="B86" i="18"/>
  <c r="D86" i="18" s="1"/>
  <c r="B87" i="18"/>
  <c r="G87" i="18" s="1"/>
  <c r="B88" i="18"/>
  <c r="F88" i="18" s="1"/>
  <c r="B89" i="18"/>
  <c r="E89" i="18" s="1"/>
  <c r="B90" i="18"/>
  <c r="B91" i="18"/>
  <c r="G91" i="18" s="1"/>
  <c r="B92" i="18"/>
  <c r="E92" i="18" s="1"/>
  <c r="B93" i="18"/>
  <c r="E93" i="18" s="1"/>
  <c r="B94" i="18"/>
  <c r="B95" i="18"/>
  <c r="G95" i="18" s="1"/>
  <c r="B96" i="18"/>
  <c r="D96" i="18" s="1"/>
  <c r="B97" i="18"/>
  <c r="E97" i="18" s="1"/>
  <c r="B98" i="18"/>
  <c r="D98" i="18" s="1"/>
  <c r="B99" i="18"/>
  <c r="G99" i="18" s="1"/>
  <c r="B100" i="18"/>
  <c r="F100" i="18" s="1"/>
  <c r="B101" i="18"/>
  <c r="F101" i="18" s="1"/>
  <c r="B102" i="18"/>
  <c r="D102" i="18" s="1"/>
  <c r="B103" i="18"/>
  <c r="G103" i="18" s="1"/>
  <c r="B104" i="18"/>
  <c r="E104" i="18" s="1"/>
  <c r="B105" i="18"/>
  <c r="B106" i="18"/>
  <c r="B107" i="18"/>
  <c r="B108" i="18"/>
  <c r="E108" i="18" s="1"/>
  <c r="B109" i="18"/>
  <c r="E109" i="18" s="1"/>
  <c r="B110" i="18"/>
  <c r="G110" i="18" s="1"/>
  <c r="B111" i="18"/>
  <c r="G111" i="18" s="1"/>
  <c r="B112" i="18"/>
  <c r="B113" i="18"/>
  <c r="E113" i="18" s="1"/>
  <c r="B114" i="18"/>
  <c r="E114" i="18" s="1"/>
  <c r="B115" i="18"/>
  <c r="B116" i="18"/>
  <c r="D116" i="18" s="1"/>
  <c r="B117" i="18"/>
  <c r="B118" i="18"/>
  <c r="B119" i="18"/>
  <c r="G119" i="18" s="1"/>
  <c r="B120" i="18"/>
  <c r="B121" i="18"/>
  <c r="B122" i="18"/>
  <c r="E122" i="18" s="1"/>
  <c r="B123" i="18"/>
  <c r="G123" i="18" s="1"/>
  <c r="B124" i="18"/>
  <c r="G124" i="18" s="1"/>
  <c r="B125" i="18"/>
  <c r="B126" i="18"/>
  <c r="E126" i="18" s="1"/>
  <c r="B127" i="18"/>
  <c r="G127" i="18" s="1"/>
  <c r="B128" i="18"/>
  <c r="E128" i="18" s="1"/>
  <c r="B129" i="18"/>
  <c r="G129" i="18" s="1"/>
  <c r="B130" i="18"/>
  <c r="E130" i="18" s="1"/>
  <c r="B131" i="18"/>
  <c r="G131" i="18" s="1"/>
  <c r="B132" i="18"/>
  <c r="D132" i="18" s="1"/>
  <c r="B133" i="18"/>
  <c r="B134" i="18"/>
  <c r="E134" i="18" s="1"/>
  <c r="B135" i="18"/>
  <c r="C135" i="18" s="1"/>
  <c r="B136" i="18"/>
  <c r="E136" i="18" s="1"/>
  <c r="B137" i="18"/>
  <c r="B138" i="18"/>
  <c r="G138" i="18" s="1"/>
  <c r="B139" i="18"/>
  <c r="G139" i="18" s="1"/>
  <c r="B140" i="18"/>
  <c r="D140" i="18" s="1"/>
  <c r="B141" i="18"/>
  <c r="B142" i="18"/>
  <c r="G142" i="18" s="1"/>
  <c r="B143" i="18"/>
  <c r="G143" i="18" s="1"/>
  <c r="B144" i="18"/>
  <c r="D144" i="18" s="1"/>
  <c r="B145" i="18"/>
  <c r="G145" i="18" s="1"/>
  <c r="B146" i="18"/>
  <c r="D146" i="18" s="1"/>
  <c r="B147" i="18"/>
  <c r="G147" i="18" s="1"/>
  <c r="B148" i="18"/>
  <c r="D148" i="18" s="1"/>
  <c r="B149" i="18"/>
  <c r="E149" i="18" s="1"/>
  <c r="B150" i="18"/>
  <c r="C150" i="18" s="1"/>
  <c r="B151" i="18"/>
  <c r="G151" i="18" s="1"/>
  <c r="B152" i="18"/>
  <c r="D152" i="18" s="1"/>
  <c r="B153" i="18"/>
  <c r="B154" i="18"/>
  <c r="D154" i="18" s="1"/>
  <c r="B155" i="18"/>
  <c r="G155" i="18" s="1"/>
  <c r="B156" i="18"/>
  <c r="D156" i="18" s="1"/>
  <c r="B157" i="18"/>
  <c r="G157" i="18" s="1"/>
  <c r="B158" i="18"/>
  <c r="B159" i="18"/>
  <c r="G159" i="18" s="1"/>
  <c r="B160" i="18"/>
  <c r="D160" i="18" s="1"/>
  <c r="B161" i="18"/>
  <c r="E161" i="18" s="1"/>
  <c r="B162" i="18"/>
  <c r="C162" i="18" s="1"/>
  <c r="B163" i="18"/>
  <c r="G163" i="18" s="1"/>
  <c r="B164" i="18"/>
  <c r="D164" i="18" s="1"/>
  <c r="B165" i="18"/>
  <c r="G165" i="18" s="1"/>
  <c r="B166" i="18"/>
  <c r="B167" i="18"/>
  <c r="G167" i="18" s="1"/>
  <c r="B168" i="18"/>
  <c r="G168" i="18" s="1"/>
  <c r="B169" i="18"/>
  <c r="E169" i="18" s="1"/>
  <c r="B170" i="18"/>
  <c r="D170" i="18" s="1"/>
  <c r="B6" i="24"/>
  <c r="C6" i="24" s="1"/>
  <c r="B7" i="24"/>
  <c r="F7" i="24" s="1"/>
  <c r="B8" i="24"/>
  <c r="E8" i="24" s="1"/>
  <c r="B9" i="24"/>
  <c r="C9" i="24" s="1"/>
  <c r="B10" i="24"/>
  <c r="C10" i="24" s="1"/>
  <c r="B11" i="24"/>
  <c r="E11" i="24" s="1"/>
  <c r="B12" i="24"/>
  <c r="G12" i="24" s="1"/>
  <c r="B13" i="24"/>
  <c r="D13" i="24" s="1"/>
  <c r="B14" i="24"/>
  <c r="C14" i="24" s="1"/>
  <c r="B15" i="24"/>
  <c r="E15" i="24" s="1"/>
  <c r="B16" i="24"/>
  <c r="G16" i="24" s="1"/>
  <c r="B17" i="24"/>
  <c r="D17" i="24" s="1"/>
  <c r="B18" i="24"/>
  <c r="C18" i="24" s="1"/>
  <c r="B19" i="24"/>
  <c r="E19" i="24" s="1"/>
  <c r="B20" i="24"/>
  <c r="G20" i="24" s="1"/>
  <c r="B21" i="24"/>
  <c r="E21" i="24" s="1"/>
  <c r="B22" i="24"/>
  <c r="C22" i="24" s="1"/>
  <c r="B23" i="24"/>
  <c r="E23" i="24" s="1"/>
  <c r="B24" i="24"/>
  <c r="G24" i="24" s="1"/>
  <c r="B25" i="24"/>
  <c r="D25" i="24" s="1"/>
  <c r="B26" i="24"/>
  <c r="C26" i="24" s="1"/>
  <c r="B27" i="24"/>
  <c r="E27" i="24" s="1"/>
  <c r="B28" i="24"/>
  <c r="G28" i="24" s="1"/>
  <c r="B29" i="24"/>
  <c r="G29" i="24" s="1"/>
  <c r="B30" i="24"/>
  <c r="B31" i="24"/>
  <c r="E31" i="24" s="1"/>
  <c r="B32" i="24"/>
  <c r="G32" i="24" s="1"/>
  <c r="B33" i="24"/>
  <c r="B34" i="24"/>
  <c r="C34" i="24" s="1"/>
  <c r="B35" i="24"/>
  <c r="E35" i="24" s="1"/>
  <c r="B36" i="24"/>
  <c r="G36" i="24" s="1"/>
  <c r="B37" i="24"/>
  <c r="C37" i="24" s="1"/>
  <c r="B38" i="24"/>
  <c r="B39" i="24"/>
  <c r="E39" i="24" s="1"/>
  <c r="B40" i="24"/>
  <c r="G40" i="24" s="1"/>
  <c r="B41" i="24"/>
  <c r="F41" i="24" s="1"/>
  <c r="B42" i="24"/>
  <c r="B43" i="24"/>
  <c r="E43" i="24" s="1"/>
  <c r="B44" i="24"/>
  <c r="G44" i="24" s="1"/>
  <c r="B45" i="24"/>
  <c r="C45" i="24" s="1"/>
  <c r="B46" i="24"/>
  <c r="C46" i="24" s="1"/>
  <c r="B47" i="24"/>
  <c r="E47" i="24" s="1"/>
  <c r="B48" i="24"/>
  <c r="G48" i="24" s="1"/>
  <c r="B49" i="24"/>
  <c r="C49" i="24" s="1"/>
  <c r="B50" i="24"/>
  <c r="C50" i="24" s="1"/>
  <c r="B51" i="24"/>
  <c r="E51" i="24" s="1"/>
  <c r="B52" i="24"/>
  <c r="G52" i="24" s="1"/>
  <c r="B53" i="24"/>
  <c r="D53" i="24" s="1"/>
  <c r="B6" i="25"/>
  <c r="E6" i="25" s="1"/>
  <c r="B7" i="25"/>
  <c r="G7" i="25" s="1"/>
  <c r="B8" i="25"/>
  <c r="B9" i="25"/>
  <c r="G9" i="25" s="1"/>
  <c r="B10" i="25"/>
  <c r="B11" i="25"/>
  <c r="G11" i="25" s="1"/>
  <c r="E11" i="25"/>
  <c r="B12" i="25"/>
  <c r="G12" i="25" s="1"/>
  <c r="B13" i="25"/>
  <c r="B14" i="25"/>
  <c r="D14" i="25" s="1"/>
  <c r="B15" i="25"/>
  <c r="G15" i="25" s="1"/>
  <c r="B16" i="25"/>
  <c r="E16" i="25" s="1"/>
  <c r="B17" i="25"/>
  <c r="G17" i="25" s="1"/>
  <c r="B18" i="25"/>
  <c r="D18" i="25" s="1"/>
  <c r="B19" i="25"/>
  <c r="G19" i="25" s="1"/>
  <c r="B20" i="25"/>
  <c r="G20" i="25" s="1"/>
  <c r="B21" i="25"/>
  <c r="B22" i="25"/>
  <c r="D22" i="25" s="1"/>
  <c r="B23" i="25"/>
  <c r="D23" i="25" s="1"/>
  <c r="B24" i="25"/>
  <c r="C24" i="25" s="1"/>
  <c r="D24" i="25"/>
  <c r="E24" i="25"/>
  <c r="B25" i="25"/>
  <c r="B26" i="25"/>
  <c r="D26" i="25" s="1"/>
  <c r="B27" i="25"/>
  <c r="G27" i="25" s="1"/>
  <c r="B28" i="25"/>
  <c r="E28" i="25" s="1"/>
  <c r="B29" i="25"/>
  <c r="B30" i="25"/>
  <c r="D30" i="25" s="1"/>
  <c r="B31" i="25"/>
  <c r="G31" i="25" s="1"/>
  <c r="B32" i="25"/>
  <c r="B33" i="25"/>
  <c r="B34" i="25"/>
  <c r="B35" i="25"/>
  <c r="G35" i="25" s="1"/>
  <c r="B36" i="25"/>
  <c r="D36" i="25" s="1"/>
  <c r="B37" i="25"/>
  <c r="B38" i="25"/>
  <c r="C38" i="25" s="1"/>
  <c r="B39" i="25"/>
  <c r="E39" i="25" s="1"/>
  <c r="B4" i="25"/>
  <c r="B5" i="25"/>
  <c r="B3" i="25"/>
  <c r="C3" i="25" s="1"/>
  <c r="B5" i="24"/>
  <c r="C5" i="24" s="1"/>
  <c r="B4" i="24"/>
  <c r="C4" i="24" s="1"/>
  <c r="B3" i="24"/>
  <c r="C3" i="24" s="1"/>
  <c r="B4" i="17"/>
  <c r="D4" i="17" s="1"/>
  <c r="B5" i="17"/>
  <c r="E5" i="17" s="1"/>
  <c r="B6" i="17"/>
  <c r="D6" i="17" s="1"/>
  <c r="B7" i="17"/>
  <c r="E7" i="17" s="1"/>
  <c r="B3" i="17"/>
  <c r="C3" i="17" s="1"/>
  <c r="B3" i="16"/>
  <c r="C3" i="16" s="1"/>
  <c r="B5" i="15"/>
  <c r="C5" i="15" s="1"/>
  <c r="B4" i="15"/>
  <c r="C4" i="15" s="1"/>
  <c r="B3" i="15"/>
  <c r="C3" i="15" s="1"/>
  <c r="B5" i="14"/>
  <c r="C5" i="14" s="1"/>
  <c r="B4" i="14"/>
  <c r="C4" i="14" s="1"/>
  <c r="B3" i="14"/>
  <c r="C3" i="14" s="1"/>
  <c r="B3" i="13"/>
  <c r="F3" i="13" s="1"/>
  <c r="B4" i="13"/>
  <c r="B5" i="13"/>
  <c r="D5" i="13" s="1"/>
  <c r="B4" i="12"/>
  <c r="C4" i="12" s="1"/>
  <c r="B5" i="12"/>
  <c r="C5" i="12" s="1"/>
  <c r="B6" i="12"/>
  <c r="C6" i="12" s="1"/>
  <c r="B40" i="11"/>
  <c r="G40" i="11" s="1"/>
  <c r="B3" i="11"/>
  <c r="C3" i="11" s="1"/>
  <c r="B4" i="11"/>
  <c r="C4" i="11" s="1"/>
  <c r="B5" i="11"/>
  <c r="C5" i="11" s="1"/>
  <c r="B6" i="11"/>
  <c r="C6" i="11" s="1"/>
  <c r="B7" i="11"/>
  <c r="C7" i="11" s="1"/>
  <c r="B8" i="11"/>
  <c r="C8" i="11" s="1"/>
  <c r="B9" i="11"/>
  <c r="C9" i="11" s="1"/>
  <c r="B10" i="11"/>
  <c r="C10" i="11" s="1"/>
  <c r="B11" i="11"/>
  <c r="B12" i="11"/>
  <c r="B13" i="11"/>
  <c r="B14" i="11"/>
  <c r="B15" i="11"/>
  <c r="E15" i="11" s="1"/>
  <c r="B16" i="11"/>
  <c r="C16" i="11" s="1"/>
  <c r="B17" i="11"/>
  <c r="B18" i="11"/>
  <c r="C18" i="11" s="1"/>
  <c r="B19" i="11"/>
  <c r="C19" i="11" s="1"/>
  <c r="B20" i="11"/>
  <c r="B21" i="11"/>
  <c r="C21" i="11" s="1"/>
  <c r="B22" i="11"/>
  <c r="C22" i="11" s="1"/>
  <c r="B23" i="11"/>
  <c r="C23" i="11" s="1"/>
  <c r="B24" i="11"/>
  <c r="C24" i="11" s="1"/>
  <c r="B25" i="11"/>
  <c r="C25" i="11" s="1"/>
  <c r="B26" i="11"/>
  <c r="C26" i="11" s="1"/>
  <c r="B27" i="11"/>
  <c r="C27" i="11" s="1"/>
  <c r="B28" i="11"/>
  <c r="C28" i="11" s="1"/>
  <c r="B29" i="11"/>
  <c r="C29" i="11" s="1"/>
  <c r="B30" i="11"/>
  <c r="C30" i="11" s="1"/>
  <c r="B31" i="11"/>
  <c r="C31" i="11" s="1"/>
  <c r="B32" i="11"/>
  <c r="C32" i="11" s="1"/>
  <c r="B33" i="11"/>
  <c r="C33" i="11" s="1"/>
  <c r="B34" i="11"/>
  <c r="C34" i="11" s="1"/>
  <c r="B35" i="11"/>
  <c r="C35" i="11" s="1"/>
  <c r="B36" i="11"/>
  <c r="C36" i="11" s="1"/>
  <c r="B37" i="11"/>
  <c r="C37" i="11" s="1"/>
  <c r="B38" i="11"/>
  <c r="C38" i="11" s="1"/>
  <c r="B39" i="11"/>
  <c r="C39" i="11" s="1"/>
  <c r="B205" i="10"/>
  <c r="C205" i="10" s="1"/>
  <c r="B206" i="10"/>
  <c r="D206" i="10" s="1"/>
  <c r="B207" i="10"/>
  <c r="C207" i="10" s="1"/>
  <c r="B208" i="10"/>
  <c r="D208" i="10" s="1"/>
  <c r="B209" i="10"/>
  <c r="D209" i="10" s="1"/>
  <c r="B210" i="10"/>
  <c r="C210" i="10" s="1"/>
  <c r="B211" i="10"/>
  <c r="C211" i="10" s="1"/>
  <c r="B212" i="10"/>
  <c r="B213" i="10"/>
  <c r="B214" i="10"/>
  <c r="C214" i="10" s="1"/>
  <c r="B215" i="10"/>
  <c r="C215" i="10" s="1"/>
  <c r="B216" i="10"/>
  <c r="C216" i="10" s="1"/>
  <c r="B217" i="10"/>
  <c r="D217" i="10" s="1"/>
  <c r="B218" i="10"/>
  <c r="C218" i="10" s="1"/>
  <c r="B225" i="10"/>
  <c r="C225" i="10" s="1"/>
  <c r="B227" i="10"/>
  <c r="C227" i="10" s="1"/>
  <c r="B228" i="10"/>
  <c r="D228" i="10" s="1"/>
  <c r="B229" i="10"/>
  <c r="C229" i="10" s="1"/>
  <c r="B248" i="10"/>
  <c r="C248" i="10" s="1"/>
  <c r="B249" i="10"/>
  <c r="B250" i="10"/>
  <c r="B251" i="10"/>
  <c r="B8" i="10"/>
  <c r="C8" i="10" s="1"/>
  <c r="B9" i="10"/>
  <c r="C9" i="10" s="1"/>
  <c r="B10" i="10"/>
  <c r="C10" i="10" s="1"/>
  <c r="B11" i="10"/>
  <c r="C11" i="10" s="1"/>
  <c r="B12" i="10"/>
  <c r="C12" i="10" s="1"/>
  <c r="B13" i="10"/>
  <c r="C13" i="10" s="1"/>
  <c r="B14" i="10"/>
  <c r="C14" i="10" s="1"/>
  <c r="B15" i="10"/>
  <c r="C15" i="10" s="1"/>
  <c r="B16" i="10"/>
  <c r="C16" i="10" s="1"/>
  <c r="B17" i="10"/>
  <c r="C17" i="10" s="1"/>
  <c r="B18" i="10"/>
  <c r="C18" i="10" s="1"/>
  <c r="B19" i="10"/>
  <c r="C19" i="10" s="1"/>
  <c r="B20" i="10"/>
  <c r="C20" i="10" s="1"/>
  <c r="B21" i="10"/>
  <c r="C21" i="10" s="1"/>
  <c r="B22" i="10"/>
  <c r="C22" i="10" s="1"/>
  <c r="B23" i="10"/>
  <c r="C23" i="10" s="1"/>
  <c r="B24" i="10"/>
  <c r="C24" i="10" s="1"/>
  <c r="B25" i="10"/>
  <c r="C25" i="10" s="1"/>
  <c r="B26" i="10"/>
  <c r="C26" i="10" s="1"/>
  <c r="B27" i="10"/>
  <c r="C27" i="10" s="1"/>
  <c r="B28" i="10"/>
  <c r="C28" i="10" s="1"/>
  <c r="B29" i="10"/>
  <c r="C29" i="10" s="1"/>
  <c r="B30" i="10"/>
  <c r="C30" i="10" s="1"/>
  <c r="B31" i="10"/>
  <c r="C31" i="10" s="1"/>
  <c r="B32" i="10"/>
  <c r="C32" i="10" s="1"/>
  <c r="B33" i="10"/>
  <c r="B34" i="10"/>
  <c r="C34" i="10" s="1"/>
  <c r="B35" i="10"/>
  <c r="C35" i="10" s="1"/>
  <c r="B36" i="10"/>
  <c r="C36" i="10" s="1"/>
  <c r="B37" i="10"/>
  <c r="C37" i="10" s="1"/>
  <c r="B38" i="10"/>
  <c r="C38" i="10" s="1"/>
  <c r="B39" i="10"/>
  <c r="F39" i="10" s="1"/>
  <c r="B40" i="10"/>
  <c r="B41" i="10"/>
  <c r="B42" i="10"/>
  <c r="B43" i="10"/>
  <c r="B44" i="10"/>
  <c r="B45" i="10"/>
  <c r="B46" i="10"/>
  <c r="B47" i="10"/>
  <c r="C47" i="10" s="1"/>
  <c r="B48" i="10"/>
  <c r="C48" i="10" s="1"/>
  <c r="B49" i="10"/>
  <c r="C49" i="10" s="1"/>
  <c r="B50" i="10"/>
  <c r="C50" i="10" s="1"/>
  <c r="B4" i="10"/>
  <c r="C4" i="10" s="1"/>
  <c r="B5" i="10"/>
  <c r="C5" i="10" s="1"/>
  <c r="B6" i="10"/>
  <c r="C6" i="10" s="1"/>
  <c r="B7" i="10"/>
  <c r="C7" i="10" s="1"/>
  <c r="B3" i="10"/>
  <c r="C3" i="10" s="1"/>
  <c r="C7" i="17" l="1"/>
  <c r="D215" i="10"/>
  <c r="D207" i="10"/>
  <c r="D214" i="10"/>
  <c r="D23" i="10"/>
  <c r="D205" i="10"/>
  <c r="F19" i="25"/>
  <c r="D42" i="25"/>
  <c r="E35" i="25"/>
  <c r="D35" i="25"/>
  <c r="G28" i="25"/>
  <c r="F15" i="17"/>
  <c r="D7" i="17"/>
  <c r="F50" i="11"/>
  <c r="C17" i="11"/>
  <c r="G17" i="11"/>
  <c r="D229" i="10"/>
  <c r="G36" i="25"/>
  <c r="E42" i="25"/>
  <c r="F36" i="25"/>
  <c r="F31" i="25"/>
  <c r="D48" i="25"/>
  <c r="D28" i="25"/>
  <c r="F7" i="25"/>
  <c r="E48" i="25"/>
  <c r="C53" i="25"/>
  <c r="F20" i="25"/>
  <c r="F51" i="25"/>
  <c r="C42" i="25"/>
  <c r="G51" i="25"/>
  <c r="F58" i="23"/>
  <c r="E26" i="22"/>
  <c r="C154" i="18"/>
  <c r="F6" i="17"/>
  <c r="D5" i="17"/>
  <c r="D10" i="17"/>
  <c r="G12" i="16"/>
  <c r="G8" i="16"/>
  <c r="D18" i="13"/>
  <c r="G30" i="13"/>
  <c r="C9" i="13"/>
  <c r="C4" i="13"/>
  <c r="G4" i="13"/>
  <c r="G18" i="13"/>
  <c r="F18" i="13"/>
  <c r="G49" i="11"/>
  <c r="G26" i="11"/>
  <c r="F54" i="11"/>
  <c r="F45" i="11"/>
  <c r="C40" i="10"/>
  <c r="F40" i="10"/>
  <c r="C44" i="10"/>
  <c r="F44" i="10"/>
  <c r="C43" i="10"/>
  <c r="F43" i="10"/>
  <c r="C42" i="10"/>
  <c r="F42" i="10"/>
  <c r="C41" i="10"/>
  <c r="F41" i="10"/>
  <c r="C46" i="10"/>
  <c r="F46" i="10"/>
  <c r="C45" i="10"/>
  <c r="F45" i="10"/>
  <c r="D46" i="10"/>
  <c r="D30" i="10"/>
  <c r="D29" i="10"/>
  <c r="D13" i="10"/>
  <c r="D3" i="10"/>
  <c r="D37" i="10"/>
  <c r="G7" i="20"/>
  <c r="F3" i="20"/>
  <c r="D10" i="20"/>
  <c r="F13" i="20"/>
  <c r="E11" i="20"/>
  <c r="E10" i="20"/>
  <c r="F6" i="20"/>
  <c r="G11" i="20"/>
  <c r="E12" i="21"/>
  <c r="E11" i="21"/>
  <c r="E5" i="21"/>
  <c r="F11" i="21"/>
  <c r="G11" i="21"/>
  <c r="E99" i="23"/>
  <c r="E104" i="23"/>
  <c r="G72" i="23"/>
  <c r="F122" i="23"/>
  <c r="F108" i="23"/>
  <c r="F72" i="23"/>
  <c r="G49" i="23"/>
  <c r="D46" i="23"/>
  <c r="C121" i="23"/>
  <c r="D87" i="23"/>
  <c r="G64" i="23"/>
  <c r="F75" i="23"/>
  <c r="E63" i="23"/>
  <c r="D37" i="23"/>
  <c r="F84" i="23"/>
  <c r="F41" i="23"/>
  <c r="D84" i="23"/>
  <c r="E84" i="23"/>
  <c r="F76" i="23"/>
  <c r="D68" i="23"/>
  <c r="E64" i="23"/>
  <c r="F37" i="23"/>
  <c r="F20" i="23"/>
  <c r="F83" i="23"/>
  <c r="E75" i="23"/>
  <c r="E72" i="23"/>
  <c r="F66" i="23"/>
  <c r="G57" i="23"/>
  <c r="D51" i="23"/>
  <c r="F46" i="23"/>
  <c r="E96" i="23"/>
  <c r="E83" i="23"/>
  <c r="D75" i="23"/>
  <c r="D66" i="23"/>
  <c r="D83" i="23"/>
  <c r="G28" i="23"/>
  <c r="D121" i="23"/>
  <c r="G116" i="23"/>
  <c r="G84" i="23"/>
  <c r="D77" i="23"/>
  <c r="E55" i="23"/>
  <c r="C33" i="23"/>
  <c r="F28" i="23"/>
  <c r="F15" i="22"/>
  <c r="E14" i="22"/>
  <c r="G18" i="22"/>
  <c r="G36" i="22"/>
  <c r="D18" i="22"/>
  <c r="F36" i="22"/>
  <c r="F164" i="18"/>
  <c r="G6" i="12"/>
  <c r="C12" i="16"/>
  <c r="C8" i="16"/>
  <c r="E21" i="16"/>
  <c r="F30" i="13"/>
  <c r="F29" i="13"/>
  <c r="D28" i="13"/>
  <c r="G28" i="13"/>
  <c r="F167" i="15"/>
  <c r="E147" i="15"/>
  <c r="F131" i="15"/>
  <c r="F108" i="15"/>
  <c r="F74" i="15"/>
  <c r="F66" i="15"/>
  <c r="E167" i="15"/>
  <c r="E163" i="15"/>
  <c r="F135" i="15"/>
  <c r="E131" i="15"/>
  <c r="G84" i="15"/>
  <c r="F20" i="15"/>
  <c r="E151" i="15"/>
  <c r="G140" i="15"/>
  <c r="E135" i="15"/>
  <c r="G97" i="15"/>
  <c r="F84" i="15"/>
  <c r="G156" i="15"/>
  <c r="F140" i="15"/>
  <c r="E124" i="15"/>
  <c r="E100" i="15"/>
  <c r="E84" i="15"/>
  <c r="F34" i="15"/>
  <c r="D34" i="15"/>
  <c r="G29" i="14"/>
  <c r="D11" i="27"/>
  <c r="D7" i="26"/>
  <c r="C7" i="26"/>
  <c r="G6" i="26"/>
  <c r="F6" i="26"/>
  <c r="G7" i="26"/>
  <c r="E6" i="26"/>
  <c r="F7" i="26"/>
  <c r="D34" i="25"/>
  <c r="D27" i="25"/>
  <c r="D15" i="25"/>
  <c r="D12" i="25"/>
  <c r="F8" i="25"/>
  <c r="C39" i="25"/>
  <c r="D45" i="25"/>
  <c r="C48" i="25"/>
  <c r="D51" i="25"/>
  <c r="F54" i="25"/>
  <c r="E45" i="25"/>
  <c r="E7" i="25"/>
  <c r="D43" i="25"/>
  <c r="D46" i="25"/>
  <c r="D32" i="25"/>
  <c r="F28" i="25"/>
  <c r="E20" i="25"/>
  <c r="G16" i="25"/>
  <c r="G13" i="25"/>
  <c r="D10" i="25"/>
  <c r="D7" i="25"/>
  <c r="F43" i="25"/>
  <c r="F46" i="25"/>
  <c r="F49" i="25"/>
  <c r="G43" i="25"/>
  <c r="G46" i="25"/>
  <c r="G49" i="25"/>
  <c r="E32" i="25"/>
  <c r="F12" i="25"/>
  <c r="D53" i="25"/>
  <c r="D31" i="25"/>
  <c r="E27" i="25"/>
  <c r="D19" i="25"/>
  <c r="E15" i="25"/>
  <c r="E12" i="25"/>
  <c r="D39" i="24"/>
  <c r="F48" i="24"/>
  <c r="E48" i="24"/>
  <c r="D41" i="24"/>
  <c r="D35" i="24"/>
  <c r="D48" i="24"/>
  <c r="F29" i="24"/>
  <c r="D24" i="24"/>
  <c r="C25" i="24"/>
  <c r="G37" i="24"/>
  <c r="F33" i="24"/>
  <c r="E28" i="24"/>
  <c r="D23" i="24"/>
  <c r="G9" i="24"/>
  <c r="F40" i="24"/>
  <c r="F37" i="24"/>
  <c r="D33" i="24"/>
  <c r="E40" i="24"/>
  <c r="D37" i="24"/>
  <c r="E44" i="24"/>
  <c r="D40" i="24"/>
  <c r="E7" i="24"/>
  <c r="G25" i="24"/>
  <c r="E20" i="24"/>
  <c r="E52" i="24"/>
  <c r="D52" i="24"/>
  <c r="F45" i="24"/>
  <c r="G33" i="24"/>
  <c r="D31" i="24"/>
  <c r="D7" i="24"/>
  <c r="C19" i="24"/>
  <c r="F9" i="24"/>
  <c r="C17" i="24"/>
  <c r="G17" i="24"/>
  <c r="G49" i="24"/>
  <c r="D47" i="24"/>
  <c r="D43" i="24"/>
  <c r="F32" i="24"/>
  <c r="D29" i="24"/>
  <c r="F25" i="24"/>
  <c r="D21" i="24"/>
  <c r="F17" i="24"/>
  <c r="F12" i="24"/>
  <c r="E9" i="24"/>
  <c r="C51" i="24"/>
  <c r="C11" i="24"/>
  <c r="F49" i="24"/>
  <c r="E32" i="24"/>
  <c r="E17" i="24"/>
  <c r="E12" i="24"/>
  <c r="D9" i="24"/>
  <c r="C43" i="24"/>
  <c r="F52" i="24"/>
  <c r="D49" i="24"/>
  <c r="D32" i="24"/>
  <c r="F28" i="24"/>
  <c r="F20" i="24"/>
  <c r="D12" i="24"/>
  <c r="C35" i="24"/>
  <c r="G45" i="24"/>
  <c r="D16" i="10"/>
  <c r="D22" i="10"/>
  <c r="D249" i="10"/>
  <c r="D39" i="10"/>
  <c r="D42" i="10"/>
  <c r="D40" i="10"/>
  <c r="D248" i="10"/>
  <c r="D250" i="10"/>
  <c r="D227" i="10"/>
  <c r="G53" i="11"/>
  <c r="D57" i="11"/>
  <c r="F53" i="11"/>
  <c r="F49" i="11"/>
  <c r="G55" i="11"/>
  <c r="E35" i="11"/>
  <c r="D53" i="11"/>
  <c r="D49" i="11"/>
  <c r="D55" i="11"/>
  <c r="C55" i="11"/>
  <c r="G57" i="11"/>
  <c r="E57" i="11"/>
  <c r="E55" i="11"/>
  <c r="D12" i="11"/>
  <c r="E18" i="11"/>
  <c r="F44" i="11"/>
  <c r="C57" i="11"/>
  <c r="F24" i="11"/>
  <c r="E44" i="11"/>
  <c r="F29" i="11"/>
  <c r="C47" i="11"/>
  <c r="D44" i="11"/>
  <c r="D216" i="10"/>
  <c r="D32" i="10"/>
  <c r="D8" i="10"/>
  <c r="D218" i="10"/>
  <c r="D251" i="10"/>
  <c r="D50" i="10"/>
  <c r="D48" i="10"/>
  <c r="D210" i="10"/>
  <c r="D24" i="10"/>
  <c r="F29" i="14"/>
  <c r="D32" i="14"/>
  <c r="G30" i="14"/>
  <c r="G26" i="14"/>
  <c r="D30" i="14"/>
  <c r="E30" i="13"/>
  <c r="E29" i="13"/>
  <c r="D29" i="13"/>
  <c r="C134" i="18"/>
  <c r="E79" i="18"/>
  <c r="D104" i="18"/>
  <c r="E124" i="18"/>
  <c r="E80" i="18"/>
  <c r="D74" i="18"/>
  <c r="G112" i="18"/>
  <c r="G69" i="18"/>
  <c r="F9" i="18"/>
  <c r="G216" i="18"/>
  <c r="F14" i="20"/>
  <c r="C10" i="20"/>
  <c r="F11" i="20"/>
  <c r="D13" i="20"/>
  <c r="G14" i="20"/>
  <c r="C15" i="20"/>
  <c r="F10" i="20"/>
  <c r="D12" i="20"/>
  <c r="D15" i="20"/>
  <c r="E12" i="20"/>
  <c r="E15" i="20"/>
  <c r="F12" i="20"/>
  <c r="D14" i="20"/>
  <c r="F15" i="20"/>
  <c r="F14" i="21"/>
  <c r="G14" i="21"/>
  <c r="D10" i="21"/>
  <c r="E13" i="21"/>
  <c r="C10" i="21"/>
  <c r="D13" i="21"/>
  <c r="E10" i="21"/>
  <c r="F13" i="21"/>
  <c r="F10" i="21"/>
  <c r="D12" i="21"/>
  <c r="F12" i="21"/>
  <c r="D14" i="21"/>
  <c r="G12" i="22"/>
  <c r="F7" i="22"/>
  <c r="G21" i="22"/>
  <c r="E12" i="22"/>
  <c r="E7" i="22"/>
  <c r="F25" i="22"/>
  <c r="D19" i="22"/>
  <c r="G10" i="22"/>
  <c r="E36" i="22"/>
  <c r="E35" i="22"/>
  <c r="G35" i="22"/>
  <c r="F35" i="22"/>
  <c r="D35" i="22"/>
  <c r="D21" i="10"/>
  <c r="G54" i="25"/>
  <c r="C44" i="25"/>
  <c r="F45" i="25"/>
  <c r="C47" i="25"/>
  <c r="C52" i="25"/>
  <c r="E53" i="25"/>
  <c r="D44" i="25"/>
  <c r="D47" i="25"/>
  <c r="F48" i="25"/>
  <c r="D52" i="25"/>
  <c r="F53" i="25"/>
  <c r="C55" i="25"/>
  <c r="E44" i="25"/>
  <c r="E47" i="25"/>
  <c r="C51" i="25"/>
  <c r="E52" i="25"/>
  <c r="D55" i="25"/>
  <c r="F44" i="25"/>
  <c r="F47" i="25"/>
  <c r="F52" i="25"/>
  <c r="E55" i="25"/>
  <c r="D49" i="25"/>
  <c r="D54" i="25"/>
  <c r="F55" i="25"/>
  <c r="E36" i="25"/>
  <c r="E31" i="25"/>
  <c r="E19" i="25"/>
  <c r="F16" i="25"/>
  <c r="F11" i="25"/>
  <c r="G8" i="25"/>
  <c r="D6" i="25"/>
  <c r="G24" i="25"/>
  <c r="D11" i="25"/>
  <c r="E8" i="25"/>
  <c r="G32" i="25"/>
  <c r="F35" i="25"/>
  <c r="F32" i="25"/>
  <c r="F27" i="25"/>
  <c r="F24" i="25"/>
  <c r="F15" i="25"/>
  <c r="D15" i="24"/>
  <c r="C48" i="24"/>
  <c r="C40" i="24"/>
  <c r="C24" i="24"/>
  <c r="C16" i="24"/>
  <c r="C8" i="24"/>
  <c r="G13" i="24"/>
  <c r="C47" i="24"/>
  <c r="C39" i="24"/>
  <c r="C23" i="24"/>
  <c r="C15" i="24"/>
  <c r="C7" i="24"/>
  <c r="G53" i="24"/>
  <c r="D51" i="24"/>
  <c r="D45" i="24"/>
  <c r="F36" i="24"/>
  <c r="D28" i="24"/>
  <c r="G21" i="24"/>
  <c r="D19" i="24"/>
  <c r="F16" i="24"/>
  <c r="F13" i="24"/>
  <c r="D11" i="24"/>
  <c r="G8" i="24"/>
  <c r="C27" i="24"/>
  <c r="D44" i="24"/>
  <c r="G41" i="24"/>
  <c r="E36" i="24"/>
  <c r="F24" i="24"/>
  <c r="F21" i="24"/>
  <c r="E16" i="24"/>
  <c r="E13" i="24"/>
  <c r="F8" i="24"/>
  <c r="C53" i="24"/>
  <c r="C21" i="24"/>
  <c r="C13" i="24"/>
  <c r="F53" i="24"/>
  <c r="F44" i="24"/>
  <c r="D36" i="24"/>
  <c r="D27" i="24"/>
  <c r="E24" i="24"/>
  <c r="D16" i="24"/>
  <c r="C52" i="24"/>
  <c r="C44" i="24"/>
  <c r="C36" i="24"/>
  <c r="C20" i="24"/>
  <c r="C12" i="24"/>
  <c r="E122" i="23"/>
  <c r="F116" i="23"/>
  <c r="F110" i="23"/>
  <c r="D55" i="23"/>
  <c r="D122" i="23"/>
  <c r="D116" i="23"/>
  <c r="E110" i="23"/>
  <c r="D103" i="23"/>
  <c r="E22" i="23"/>
  <c r="G19" i="23"/>
  <c r="D113" i="23"/>
  <c r="D110" i="23"/>
  <c r="F87" i="23"/>
  <c r="D74" i="23"/>
  <c r="E54" i="23"/>
  <c r="F40" i="23"/>
  <c r="E19" i="23"/>
  <c r="G121" i="23"/>
  <c r="F115" i="23"/>
  <c r="G69" i="23"/>
  <c r="F121" i="23"/>
  <c r="E115" i="23"/>
  <c r="F69" i="23"/>
  <c r="G61" i="23"/>
  <c r="F57" i="23"/>
  <c r="G43" i="23"/>
  <c r="G35" i="23"/>
  <c r="G25" i="23"/>
  <c r="F21" i="23"/>
  <c r="D115" i="23"/>
  <c r="D112" i="23"/>
  <c r="E86" i="23"/>
  <c r="D80" i="23"/>
  <c r="D69" i="23"/>
  <c r="G52" i="23"/>
  <c r="E43" i="23"/>
  <c r="E38" i="23"/>
  <c r="F29" i="23"/>
  <c r="G90" i="23"/>
  <c r="D90" i="23"/>
  <c r="E90" i="23"/>
  <c r="F90" i="23"/>
  <c r="G62" i="23"/>
  <c r="E24" i="23"/>
  <c r="F24" i="23"/>
  <c r="G24" i="23"/>
  <c r="G117" i="23"/>
  <c r="F44" i="23"/>
  <c r="G31" i="23"/>
  <c r="D31" i="23"/>
  <c r="E31" i="23"/>
  <c r="F31" i="23"/>
  <c r="C119" i="23"/>
  <c r="D119" i="23"/>
  <c r="F119" i="23"/>
  <c r="G119" i="23"/>
  <c r="E98" i="23"/>
  <c r="D98" i="23"/>
  <c r="F98" i="23"/>
  <c r="C36" i="23"/>
  <c r="D36" i="23"/>
  <c r="E26" i="23"/>
  <c r="D16" i="23"/>
  <c r="E105" i="23"/>
  <c r="F105" i="23"/>
  <c r="E81" i="23"/>
  <c r="D81" i="23"/>
  <c r="F81" i="23"/>
  <c r="G81" i="23"/>
  <c r="E92" i="23"/>
  <c r="F92" i="23"/>
  <c r="G92" i="23"/>
  <c r="G78" i="23"/>
  <c r="D78" i="23"/>
  <c r="E78" i="23"/>
  <c r="F78" i="23"/>
  <c r="E60" i="23"/>
  <c r="F60" i="23"/>
  <c r="G60" i="23"/>
  <c r="D67" i="23"/>
  <c r="E67" i="23"/>
  <c r="G67" i="23"/>
  <c r="F13" i="23"/>
  <c r="C67" i="23"/>
  <c r="G34" i="23"/>
  <c r="D34" i="23"/>
  <c r="E34" i="23"/>
  <c r="F34" i="23"/>
  <c r="D24" i="23"/>
  <c r="G93" i="23"/>
  <c r="G91" i="23"/>
  <c r="F61" i="23"/>
  <c r="D57" i="23"/>
  <c r="F52" i="23"/>
  <c r="E35" i="23"/>
  <c r="E28" i="23"/>
  <c r="F25" i="23"/>
  <c r="D19" i="23"/>
  <c r="E116" i="23"/>
  <c r="G99" i="23"/>
  <c r="G96" i="23"/>
  <c r="D93" i="23"/>
  <c r="F86" i="23"/>
  <c r="E66" i="23"/>
  <c r="F63" i="23"/>
  <c r="D61" i="23"/>
  <c r="F54" i="23"/>
  <c r="D52" i="23"/>
  <c r="E46" i="23"/>
  <c r="F43" i="23"/>
  <c r="G40" i="23"/>
  <c r="G37" i="23"/>
  <c r="C35" i="23"/>
  <c r="G32" i="23"/>
  <c r="G29" i="23"/>
  <c r="D28" i="23"/>
  <c r="C25" i="23"/>
  <c r="G20" i="23"/>
  <c r="D86" i="23"/>
  <c r="E70" i="23"/>
  <c r="D63" i="23"/>
  <c r="E58" i="23"/>
  <c r="D54" i="23"/>
  <c r="G51" i="23"/>
  <c r="F49" i="23"/>
  <c r="D43" i="23"/>
  <c r="E40" i="23"/>
  <c r="D29" i="23"/>
  <c r="E20" i="23"/>
  <c r="G113" i="23"/>
  <c r="E102" i="23"/>
  <c r="E95" i="23"/>
  <c r="F73" i="23"/>
  <c r="D58" i="23"/>
  <c r="G55" i="23"/>
  <c r="F51" i="23"/>
  <c r="D20" i="23"/>
  <c r="F113" i="23"/>
  <c r="G87" i="23"/>
  <c r="F55" i="23"/>
  <c r="G21" i="23"/>
  <c r="E101" i="23"/>
  <c r="C101" i="23"/>
  <c r="G101" i="23"/>
  <c r="D101" i="23"/>
  <c r="E109" i="23"/>
  <c r="F109" i="23"/>
  <c r="G109" i="23"/>
  <c r="D109" i="23"/>
  <c r="E71" i="23"/>
  <c r="F71" i="23"/>
  <c r="G71" i="23"/>
  <c r="D71" i="23"/>
  <c r="D111" i="23"/>
  <c r="E111" i="23"/>
  <c r="G111" i="23"/>
  <c r="F111" i="23"/>
  <c r="E117" i="23"/>
  <c r="D117" i="23"/>
  <c r="F117" i="23"/>
  <c r="C104" i="23"/>
  <c r="D104" i="23"/>
  <c r="F95" i="23"/>
  <c r="D91" i="23"/>
  <c r="E91" i="23"/>
  <c r="F91" i="23"/>
  <c r="D56" i="23"/>
  <c r="E56" i="23"/>
  <c r="F56" i="23"/>
  <c r="G56" i="23"/>
  <c r="G120" i="23"/>
  <c r="G106" i="23"/>
  <c r="E106" i="23"/>
  <c r="F106" i="23"/>
  <c r="G98" i="23"/>
  <c r="G82" i="23"/>
  <c r="D82" i="23"/>
  <c r="E82" i="23"/>
  <c r="F82" i="23"/>
  <c r="C80" i="23"/>
  <c r="F80" i="23"/>
  <c r="G80" i="23"/>
  <c r="E103" i="23"/>
  <c r="F103" i="23"/>
  <c r="G103" i="23"/>
  <c r="C100" i="23"/>
  <c r="E100" i="23"/>
  <c r="F100" i="23"/>
  <c r="G100" i="23"/>
  <c r="G95" i="23"/>
  <c r="C88" i="23"/>
  <c r="D88" i="23"/>
  <c r="E88" i="23"/>
  <c r="F88" i="23"/>
  <c r="D79" i="23"/>
  <c r="E79" i="23"/>
  <c r="F79" i="23"/>
  <c r="G79" i="23"/>
  <c r="E77" i="23"/>
  <c r="F77" i="23"/>
  <c r="G77" i="23"/>
  <c r="E53" i="23"/>
  <c r="D53" i="23"/>
  <c r="F53" i="23"/>
  <c r="G53" i="23"/>
  <c r="C120" i="23"/>
  <c r="E120" i="23"/>
  <c r="F120" i="23"/>
  <c r="E97" i="23"/>
  <c r="D97" i="23"/>
  <c r="F97" i="23"/>
  <c r="G97" i="23"/>
  <c r="F48" i="23"/>
  <c r="G48" i="23"/>
  <c r="D48" i="23"/>
  <c r="E45" i="23"/>
  <c r="F45" i="23"/>
  <c r="G45" i="23"/>
  <c r="F27" i="23"/>
  <c r="D27" i="23"/>
  <c r="E27" i="23"/>
  <c r="G27" i="23"/>
  <c r="G114" i="23"/>
  <c r="D114" i="23"/>
  <c r="E114" i="23"/>
  <c r="F112" i="23"/>
  <c r="G112" i="23"/>
  <c r="G104" i="23"/>
  <c r="D47" i="23"/>
  <c r="E47" i="23"/>
  <c r="F47" i="23"/>
  <c r="G47" i="23"/>
  <c r="E85" i="23"/>
  <c r="D85" i="23"/>
  <c r="F85" i="23"/>
  <c r="G74" i="23"/>
  <c r="E74" i="23"/>
  <c r="F74" i="23"/>
  <c r="G50" i="23"/>
  <c r="D50" i="23"/>
  <c r="E50" i="23"/>
  <c r="F50" i="23"/>
  <c r="G42" i="23"/>
  <c r="E42" i="23"/>
  <c r="F42" i="23"/>
  <c r="E39" i="23"/>
  <c r="F39" i="23"/>
  <c r="G39" i="23"/>
  <c r="C39" i="23"/>
  <c r="E119" i="23"/>
  <c r="G108" i="23"/>
  <c r="G105" i="23"/>
  <c r="F102" i="23"/>
  <c r="F99" i="23"/>
  <c r="F96" i="23"/>
  <c r="F93" i="23"/>
  <c r="E87" i="23"/>
  <c r="G76" i="23"/>
  <c r="G73" i="23"/>
  <c r="D72" i="23"/>
  <c r="F70" i="23"/>
  <c r="F67" i="23"/>
  <c r="C66" i="23"/>
  <c r="F64" i="23"/>
  <c r="E52" i="23"/>
  <c r="D49" i="23"/>
  <c r="G44" i="23"/>
  <c r="G41" i="23"/>
  <c r="D40" i="23"/>
  <c r="F38" i="23"/>
  <c r="F35" i="23"/>
  <c r="C34" i="23"/>
  <c r="F32" i="23"/>
  <c r="D26" i="23"/>
  <c r="F26" i="23"/>
  <c r="G26" i="23"/>
  <c r="E18" i="23"/>
  <c r="G59" i="23"/>
  <c r="E32" i="23"/>
  <c r="D22" i="23"/>
  <c r="F22" i="23"/>
  <c r="G22" i="23"/>
  <c r="C122" i="23"/>
  <c r="E108" i="23"/>
  <c r="D105" i="23"/>
  <c r="D102" i="23"/>
  <c r="D99" i="23"/>
  <c r="D96" i="23"/>
  <c r="C90" i="23"/>
  <c r="E76" i="23"/>
  <c r="D73" i="23"/>
  <c r="D70" i="23"/>
  <c r="G68" i="23"/>
  <c r="D64" i="23"/>
  <c r="F62" i="23"/>
  <c r="F59" i="23"/>
  <c r="E44" i="23"/>
  <c r="D41" i="23"/>
  <c r="D38" i="23"/>
  <c r="G36" i="23"/>
  <c r="G33" i="23"/>
  <c r="D32" i="23"/>
  <c r="F30" i="23"/>
  <c r="G23" i="23"/>
  <c r="D18" i="23"/>
  <c r="F18" i="23"/>
  <c r="G18" i="23"/>
  <c r="D108" i="23"/>
  <c r="D76" i="23"/>
  <c r="F68" i="23"/>
  <c r="E62" i="23"/>
  <c r="E59" i="23"/>
  <c r="D44" i="23"/>
  <c r="F36" i="23"/>
  <c r="F33" i="23"/>
  <c r="E30" i="23"/>
  <c r="E23" i="23"/>
  <c r="E68" i="23"/>
  <c r="D62" i="23"/>
  <c r="E36" i="23"/>
  <c r="D33" i="23"/>
  <c r="D30" i="23"/>
  <c r="D23" i="23"/>
  <c r="E25" i="23"/>
  <c r="E21" i="23"/>
  <c r="C14" i="23"/>
  <c r="D12" i="23"/>
  <c r="E15" i="23"/>
  <c r="F12" i="23"/>
  <c r="G16" i="23"/>
  <c r="G12" i="23"/>
  <c r="D14" i="23"/>
  <c r="F15" i="23"/>
  <c r="E14" i="23"/>
  <c r="G15" i="23"/>
  <c r="D13" i="23"/>
  <c r="F14" i="23"/>
  <c r="C12" i="23"/>
  <c r="E13" i="23"/>
  <c r="E16" i="23"/>
  <c r="G20" i="22"/>
  <c r="F10" i="22"/>
  <c r="G26" i="22"/>
  <c r="F23" i="22"/>
  <c r="E20" i="22"/>
  <c r="F18" i="22"/>
  <c r="E15" i="22"/>
  <c r="D12" i="22"/>
  <c r="E10" i="22"/>
  <c r="F6" i="22"/>
  <c r="F26" i="22"/>
  <c r="E23" i="22"/>
  <c r="D20" i="22"/>
  <c r="E6" i="22"/>
  <c r="G11" i="22"/>
  <c r="E22" i="22"/>
  <c r="G19" i="22"/>
  <c r="E11" i="22"/>
  <c r="G5" i="22"/>
  <c r="E19" i="22"/>
  <c r="F17" i="22"/>
  <c r="G13" i="22"/>
  <c r="D11" i="22"/>
  <c r="E25" i="22"/>
  <c r="G23" i="22"/>
  <c r="D22" i="22"/>
  <c r="E17" i="22"/>
  <c r="G15" i="22"/>
  <c r="D14" i="22"/>
  <c r="E9" i="22"/>
  <c r="G7" i="22"/>
  <c r="D6" i="22"/>
  <c r="F9" i="22"/>
  <c r="D25" i="22"/>
  <c r="D17" i="22"/>
  <c r="D9" i="22"/>
  <c r="G24" i="22"/>
  <c r="F21" i="22"/>
  <c r="G16" i="22"/>
  <c r="F13" i="22"/>
  <c r="G8" i="22"/>
  <c r="F5" i="22"/>
  <c r="F24" i="22"/>
  <c r="E21" i="22"/>
  <c r="F16" i="22"/>
  <c r="E13" i="22"/>
  <c r="F8" i="22"/>
  <c r="E5" i="22"/>
  <c r="E24" i="22"/>
  <c r="G22" i="22"/>
  <c r="E16" i="22"/>
  <c r="G14" i="22"/>
  <c r="E8" i="22"/>
  <c r="D4" i="22"/>
  <c r="E33" i="22"/>
  <c r="G32" i="22"/>
  <c r="F33" i="22"/>
  <c r="D33" i="22"/>
  <c r="C3" i="22"/>
  <c r="D3" i="22"/>
  <c r="E3" i="22"/>
  <c r="F3" i="22"/>
  <c r="F4" i="22"/>
  <c r="E4" i="22"/>
  <c r="C32" i="22"/>
  <c r="E32" i="22"/>
  <c r="F32" i="22"/>
  <c r="G34" i="22"/>
  <c r="E34" i="22"/>
  <c r="D34" i="22"/>
  <c r="D3" i="21"/>
  <c r="F3" i="21"/>
  <c r="G3" i="21"/>
  <c r="D7" i="21"/>
  <c r="F4" i="21"/>
  <c r="G7" i="21"/>
  <c r="D5" i="21"/>
  <c r="D4" i="21"/>
  <c r="F5" i="21"/>
  <c r="C3" i="21"/>
  <c r="E4" i="21"/>
  <c r="C7" i="21"/>
  <c r="E7" i="21"/>
  <c r="D5" i="20"/>
  <c r="D3" i="20"/>
  <c r="E6" i="20"/>
  <c r="G3" i="20"/>
  <c r="D7" i="20"/>
  <c r="E5" i="20"/>
  <c r="G6" i="20"/>
  <c r="D4" i="20"/>
  <c r="F5" i="20"/>
  <c r="C3" i="20"/>
  <c r="E4" i="20"/>
  <c r="C7" i="20"/>
  <c r="F4" i="20"/>
  <c r="C6" i="20"/>
  <c r="E7" i="20"/>
  <c r="E164" i="18"/>
  <c r="C159" i="18"/>
  <c r="F148" i="18"/>
  <c r="F112" i="18"/>
  <c r="G100" i="18"/>
  <c r="F91" i="18"/>
  <c r="E214" i="18"/>
  <c r="E163" i="18"/>
  <c r="D166" i="18"/>
  <c r="D163" i="18"/>
  <c r="F151" i="18"/>
  <c r="D139" i="18"/>
  <c r="D134" i="18"/>
  <c r="D128" i="18"/>
  <c r="D110" i="18"/>
  <c r="C104" i="18"/>
  <c r="D91" i="18"/>
  <c r="G39" i="18"/>
  <c r="F26" i="18"/>
  <c r="D218" i="18"/>
  <c r="E165" i="18"/>
  <c r="E76" i="18"/>
  <c r="D71" i="18"/>
  <c r="D143" i="18"/>
  <c r="D76" i="18"/>
  <c r="D24" i="18"/>
  <c r="E211" i="18"/>
  <c r="F216" i="18"/>
  <c r="D214" i="18"/>
  <c r="G211" i="18"/>
  <c r="E218" i="18"/>
  <c r="C214" i="18"/>
  <c r="F211" i="18"/>
  <c r="G215" i="18"/>
  <c r="C218" i="18"/>
  <c r="F215" i="18"/>
  <c r="D211" i="18"/>
  <c r="E215" i="18"/>
  <c r="D215" i="18"/>
  <c r="G212" i="18"/>
  <c r="E210" i="18"/>
  <c r="G202" i="18"/>
  <c r="F212" i="18"/>
  <c r="C210" i="18"/>
  <c r="D210" i="18"/>
  <c r="F202" i="18"/>
  <c r="G217" i="18"/>
  <c r="E216" i="18"/>
  <c r="E212" i="18"/>
  <c r="E202" i="18"/>
  <c r="F217" i="18"/>
  <c r="D216" i="18"/>
  <c r="D212" i="18"/>
  <c r="D202" i="18"/>
  <c r="G218" i="18"/>
  <c r="E217" i="18"/>
  <c r="G214" i="18"/>
  <c r="G210" i="18"/>
  <c r="D151" i="18"/>
  <c r="E148" i="18"/>
  <c r="G146" i="18"/>
  <c r="F128" i="18"/>
  <c r="D125" i="18"/>
  <c r="G104" i="18"/>
  <c r="F92" i="18"/>
  <c r="C88" i="18"/>
  <c r="F72" i="18"/>
  <c r="G166" i="18"/>
  <c r="E133" i="18"/>
  <c r="D92" i="18"/>
  <c r="D72" i="18"/>
  <c r="F176" i="18"/>
  <c r="F168" i="18"/>
  <c r="F147" i="18"/>
  <c r="D124" i="18"/>
  <c r="E168" i="18"/>
  <c r="E147" i="18"/>
  <c r="G144" i="18"/>
  <c r="E127" i="18"/>
  <c r="D168" i="18"/>
  <c r="G162" i="18"/>
  <c r="D147" i="18"/>
  <c r="E139" i="18"/>
  <c r="G130" i="18"/>
  <c r="D127" i="18"/>
  <c r="F123" i="18"/>
  <c r="F117" i="18"/>
  <c r="C84" i="18"/>
  <c r="F37" i="18"/>
  <c r="F13" i="18"/>
  <c r="D162" i="18"/>
  <c r="G148" i="18"/>
  <c r="D56" i="18"/>
  <c r="D37" i="18"/>
  <c r="G19" i="18"/>
  <c r="F144" i="18"/>
  <c r="E112" i="18"/>
  <c r="E100" i="18"/>
  <c r="G96" i="18"/>
  <c r="F69" i="18"/>
  <c r="F58" i="18"/>
  <c r="F194" i="18"/>
  <c r="F181" i="18"/>
  <c r="G132" i="18"/>
  <c r="F130" i="18"/>
  <c r="F163" i="18"/>
  <c r="E157" i="18"/>
  <c r="G154" i="18"/>
  <c r="E151" i="18"/>
  <c r="E144" i="18"/>
  <c r="F134" i="18"/>
  <c r="D130" i="18"/>
  <c r="F124" i="18"/>
  <c r="D112" i="18"/>
  <c r="G109" i="18"/>
  <c r="F103" i="18"/>
  <c r="D100" i="18"/>
  <c r="G92" i="18"/>
  <c r="G86" i="18"/>
  <c r="D78" i="18"/>
  <c r="D69" i="18"/>
  <c r="E58" i="18"/>
  <c r="F54" i="18"/>
  <c r="C29" i="18"/>
  <c r="D13" i="18"/>
  <c r="F114" i="18"/>
  <c r="E103" i="18"/>
  <c r="C86" i="18"/>
  <c r="F62" i="18"/>
  <c r="F199" i="18"/>
  <c r="F167" i="18"/>
  <c r="E167" i="18"/>
  <c r="G156" i="18"/>
  <c r="F131" i="18"/>
  <c r="G108" i="18"/>
  <c r="E95" i="18"/>
  <c r="G88" i="18"/>
  <c r="F173" i="18"/>
  <c r="D167" i="18"/>
  <c r="G164" i="18"/>
  <c r="E159" i="18"/>
  <c r="F156" i="18"/>
  <c r="F143" i="18"/>
  <c r="F136" i="18"/>
  <c r="D131" i="18"/>
  <c r="E111" i="18"/>
  <c r="F108" i="18"/>
  <c r="F104" i="18"/>
  <c r="C102" i="18"/>
  <c r="D95" i="18"/>
  <c r="C92" i="18"/>
  <c r="E88" i="18"/>
  <c r="D80" i="18"/>
  <c r="G77" i="18"/>
  <c r="F39" i="18"/>
  <c r="F24" i="18"/>
  <c r="G11" i="18"/>
  <c r="F192" i="18"/>
  <c r="F178" i="18"/>
  <c r="D159" i="18"/>
  <c r="E156" i="18"/>
  <c r="G152" i="18"/>
  <c r="E145" i="18"/>
  <c r="E143" i="18"/>
  <c r="D136" i="18"/>
  <c r="F133" i="18"/>
  <c r="C131" i="18"/>
  <c r="G126" i="18"/>
  <c r="D108" i="18"/>
  <c r="D88" i="18"/>
  <c r="G84" i="18"/>
  <c r="E77" i="18"/>
  <c r="E70" i="18"/>
  <c r="D28" i="18"/>
  <c r="D15" i="18"/>
  <c r="F11" i="18"/>
  <c r="G160" i="18"/>
  <c r="G140" i="18"/>
  <c r="F96" i="18"/>
  <c r="F84" i="18"/>
  <c r="F60" i="18"/>
  <c r="E54" i="18"/>
  <c r="F49" i="18"/>
  <c r="F45" i="18"/>
  <c r="G35" i="18"/>
  <c r="F19" i="18"/>
  <c r="D9" i="18"/>
  <c r="F4" i="18"/>
  <c r="F200" i="18"/>
  <c r="F183" i="18"/>
  <c r="F174" i="18"/>
  <c r="F140" i="18"/>
  <c r="G125" i="18"/>
  <c r="G101" i="18"/>
  <c r="E96" i="18"/>
  <c r="E84" i="18"/>
  <c r="G80" i="18"/>
  <c r="G76" i="18"/>
  <c r="F41" i="18"/>
  <c r="F35" i="18"/>
  <c r="F28" i="18"/>
  <c r="E21" i="18"/>
  <c r="G15" i="18"/>
  <c r="F7" i="18"/>
  <c r="F186" i="18"/>
  <c r="D174" i="18"/>
  <c r="F160" i="18"/>
  <c r="E160" i="18"/>
  <c r="G158" i="18"/>
  <c r="E140" i="18"/>
  <c r="G133" i="18"/>
  <c r="F127" i="18"/>
  <c r="F125" i="18"/>
  <c r="F120" i="18"/>
  <c r="D106" i="18"/>
  <c r="E101" i="18"/>
  <c r="F99" i="18"/>
  <c r="G94" i="18"/>
  <c r="F89" i="18"/>
  <c r="F80" i="18"/>
  <c r="F76" i="18"/>
  <c r="F70" i="18"/>
  <c r="D29" i="18"/>
  <c r="D21" i="18"/>
  <c r="F191" i="18"/>
  <c r="F119" i="18"/>
  <c r="F116" i="18"/>
  <c r="G93" i="18"/>
  <c r="G43" i="18"/>
  <c r="F17" i="18"/>
  <c r="D173" i="18"/>
  <c r="E155" i="18"/>
  <c r="G137" i="18"/>
  <c r="F169" i="18"/>
  <c r="F159" i="18"/>
  <c r="D155" i="18"/>
  <c r="F152" i="18"/>
  <c r="G141" i="18"/>
  <c r="F139" i="18"/>
  <c r="E137" i="18"/>
  <c r="G134" i="18"/>
  <c r="D133" i="18"/>
  <c r="G128" i="18"/>
  <c r="G122" i="18"/>
  <c r="E119" i="18"/>
  <c r="E116" i="18"/>
  <c r="C103" i="18"/>
  <c r="F95" i="18"/>
  <c r="F93" i="18"/>
  <c r="F66" i="18"/>
  <c r="F43" i="18"/>
  <c r="D17" i="18"/>
  <c r="F5" i="18"/>
  <c r="F189" i="18"/>
  <c r="F184" i="18"/>
  <c r="F155" i="18"/>
  <c r="G116" i="18"/>
  <c r="G169" i="18"/>
  <c r="C155" i="18"/>
  <c r="E152" i="18"/>
  <c r="E141" i="18"/>
  <c r="D137" i="18"/>
  <c r="F122" i="18"/>
  <c r="E50" i="18"/>
  <c r="F197" i="18"/>
  <c r="F175" i="18"/>
  <c r="C25" i="18"/>
  <c r="E25" i="18"/>
  <c r="G25" i="18"/>
  <c r="D25" i="18"/>
  <c r="F25" i="18"/>
  <c r="D105" i="18"/>
  <c r="E105" i="18"/>
  <c r="F105" i="18"/>
  <c r="G105" i="18"/>
  <c r="C63" i="18"/>
  <c r="E63" i="18"/>
  <c r="G63" i="18"/>
  <c r="D63" i="18"/>
  <c r="E166" i="18"/>
  <c r="F166" i="18"/>
  <c r="D158" i="18"/>
  <c r="D145" i="18"/>
  <c r="F145" i="18"/>
  <c r="F98" i="18"/>
  <c r="E98" i="18"/>
  <c r="G98" i="18"/>
  <c r="E48" i="18"/>
  <c r="G48" i="18"/>
  <c r="D48" i="18"/>
  <c r="G135" i="18"/>
  <c r="D135" i="18"/>
  <c r="E135" i="18"/>
  <c r="F135" i="18"/>
  <c r="F113" i="18"/>
  <c r="G113" i="18"/>
  <c r="D113" i="18"/>
  <c r="E187" i="18"/>
  <c r="G187" i="18"/>
  <c r="F187" i="18"/>
  <c r="D187" i="18"/>
  <c r="D169" i="18"/>
  <c r="E162" i="18"/>
  <c r="F162" i="18"/>
  <c r="G150" i="18"/>
  <c r="G83" i="18"/>
  <c r="E83" i="18"/>
  <c r="F83" i="18"/>
  <c r="C83" i="18"/>
  <c r="E182" i="18"/>
  <c r="G182" i="18"/>
  <c r="D182" i="18"/>
  <c r="F182" i="18"/>
  <c r="D153" i="18"/>
  <c r="F153" i="18"/>
  <c r="D73" i="18"/>
  <c r="C73" i="18"/>
  <c r="E73" i="18"/>
  <c r="F73" i="18"/>
  <c r="G73" i="18"/>
  <c r="E158" i="18"/>
  <c r="F158" i="18"/>
  <c r="D150" i="18"/>
  <c r="E33" i="18"/>
  <c r="G33" i="18"/>
  <c r="F33" i="18"/>
  <c r="C33" i="18"/>
  <c r="G18" i="18"/>
  <c r="C18" i="18"/>
  <c r="E18" i="18"/>
  <c r="F18" i="18"/>
  <c r="D18" i="18"/>
  <c r="D149" i="18"/>
  <c r="F149" i="18"/>
  <c r="C129" i="18"/>
  <c r="D129" i="18"/>
  <c r="E129" i="18"/>
  <c r="F129" i="18"/>
  <c r="G170" i="18"/>
  <c r="G161" i="18"/>
  <c r="D165" i="18"/>
  <c r="F165" i="18"/>
  <c r="E154" i="18"/>
  <c r="F154" i="18"/>
  <c r="E118" i="18"/>
  <c r="D118" i="18"/>
  <c r="F118" i="18"/>
  <c r="G118" i="18"/>
  <c r="G115" i="18"/>
  <c r="D115" i="18"/>
  <c r="E115" i="18"/>
  <c r="F115" i="18"/>
  <c r="G75" i="18"/>
  <c r="D75" i="18"/>
  <c r="E75" i="18"/>
  <c r="F75" i="18"/>
  <c r="E61" i="18"/>
  <c r="G61" i="18"/>
  <c r="F61" i="18"/>
  <c r="C61" i="18"/>
  <c r="D61" i="18"/>
  <c r="C161" i="18"/>
  <c r="D161" i="18"/>
  <c r="F161" i="18"/>
  <c r="G153" i="18"/>
  <c r="E150" i="18"/>
  <c r="F150" i="18"/>
  <c r="D121" i="18"/>
  <c r="E121" i="18"/>
  <c r="F121" i="18"/>
  <c r="G121" i="18"/>
  <c r="G107" i="18"/>
  <c r="C107" i="18"/>
  <c r="D107" i="18"/>
  <c r="E107" i="18"/>
  <c r="F107" i="18"/>
  <c r="F90" i="18"/>
  <c r="E90" i="18"/>
  <c r="C90" i="18"/>
  <c r="D90" i="18"/>
  <c r="G90" i="18"/>
  <c r="D81" i="18"/>
  <c r="G81" i="18"/>
  <c r="E81" i="18"/>
  <c r="G42" i="18"/>
  <c r="E42" i="18"/>
  <c r="F42" i="18"/>
  <c r="D42" i="18"/>
  <c r="G14" i="18"/>
  <c r="C14" i="18"/>
  <c r="F14" i="18"/>
  <c r="D14" i="18"/>
  <c r="E14" i="18"/>
  <c r="E170" i="18"/>
  <c r="F170" i="18"/>
  <c r="D157" i="18"/>
  <c r="F157" i="18"/>
  <c r="E153" i="18"/>
  <c r="G149" i="18"/>
  <c r="E146" i="18"/>
  <c r="F146" i="18"/>
  <c r="D142" i="18"/>
  <c r="E142" i="18"/>
  <c r="F142" i="18"/>
  <c r="D138" i="18"/>
  <c r="E138" i="18"/>
  <c r="F138" i="18"/>
  <c r="G136" i="18"/>
  <c r="C20" i="18"/>
  <c r="E20" i="18"/>
  <c r="G20" i="18"/>
  <c r="F20" i="18"/>
  <c r="D20" i="18"/>
  <c r="F141" i="18"/>
  <c r="F137" i="18"/>
  <c r="E131" i="18"/>
  <c r="E125" i="18"/>
  <c r="D122" i="18"/>
  <c r="G120" i="18"/>
  <c r="D119" i="18"/>
  <c r="G117" i="18"/>
  <c r="G114" i="18"/>
  <c r="F111" i="18"/>
  <c r="F110" i="18"/>
  <c r="E110" i="18"/>
  <c r="G106" i="18"/>
  <c r="D103" i="18"/>
  <c r="D93" i="18"/>
  <c r="C93" i="18"/>
  <c r="E91" i="18"/>
  <c r="G89" i="18"/>
  <c r="F79" i="18"/>
  <c r="F78" i="18"/>
  <c r="E78" i="18"/>
  <c r="G74" i="18"/>
  <c r="G72" i="18"/>
  <c r="G71" i="18"/>
  <c r="F71" i="18"/>
  <c r="F50" i="18"/>
  <c r="C195" i="18"/>
  <c r="E195" i="18"/>
  <c r="G195" i="18"/>
  <c r="F195" i="18"/>
  <c r="D141" i="18"/>
  <c r="F132" i="18"/>
  <c r="F126" i="18"/>
  <c r="E123" i="18"/>
  <c r="E120" i="18"/>
  <c r="E117" i="18"/>
  <c r="D114" i="18"/>
  <c r="D111" i="18"/>
  <c r="F109" i="18"/>
  <c r="D101" i="18"/>
  <c r="C101" i="18"/>
  <c r="E99" i="18"/>
  <c r="G97" i="18"/>
  <c r="D94" i="18"/>
  <c r="C91" i="18"/>
  <c r="F87" i="18"/>
  <c r="F86" i="18"/>
  <c r="E86" i="18"/>
  <c r="G82" i="18"/>
  <c r="D79" i="18"/>
  <c r="E72" i="18"/>
  <c r="F65" i="18"/>
  <c r="E57" i="18"/>
  <c r="G57" i="18"/>
  <c r="D57" i="18"/>
  <c r="F57" i="18"/>
  <c r="E190" i="18"/>
  <c r="G190" i="18"/>
  <c r="D190" i="18"/>
  <c r="F190" i="18"/>
  <c r="E132" i="18"/>
  <c r="D126" i="18"/>
  <c r="D123" i="18"/>
  <c r="D120" i="18"/>
  <c r="D117" i="18"/>
  <c r="F106" i="18"/>
  <c r="E106" i="18"/>
  <c r="G102" i="18"/>
  <c r="D99" i="18"/>
  <c r="F97" i="18"/>
  <c r="D89" i="18"/>
  <c r="E87" i="18"/>
  <c r="G85" i="18"/>
  <c r="D82" i="18"/>
  <c r="F74" i="18"/>
  <c r="E74" i="18"/>
  <c r="G67" i="18"/>
  <c r="D65" i="18"/>
  <c r="E53" i="18"/>
  <c r="G53" i="18"/>
  <c r="F53" i="18"/>
  <c r="D53" i="18"/>
  <c r="G50" i="18"/>
  <c r="C50" i="18"/>
  <c r="E44" i="18"/>
  <c r="G44" i="18"/>
  <c r="F44" i="18"/>
  <c r="G38" i="18"/>
  <c r="C38" i="18"/>
  <c r="F38" i="18"/>
  <c r="D38" i="18"/>
  <c r="E38" i="18"/>
  <c r="F31" i="18"/>
  <c r="E198" i="18"/>
  <c r="G198" i="18"/>
  <c r="D198" i="18"/>
  <c r="F198" i="18"/>
  <c r="D109" i="18"/>
  <c r="F94" i="18"/>
  <c r="E94" i="18"/>
  <c r="D87" i="18"/>
  <c r="F85" i="18"/>
  <c r="D77" i="18"/>
  <c r="F67" i="18"/>
  <c r="C59" i="18"/>
  <c r="E59" i="18"/>
  <c r="F59" i="18"/>
  <c r="G59" i="18"/>
  <c r="F52" i="18"/>
  <c r="E46" i="18"/>
  <c r="C35" i="18"/>
  <c r="E35" i="18"/>
  <c r="C16" i="18"/>
  <c r="E16" i="18"/>
  <c r="G16" i="18"/>
  <c r="D16" i="18"/>
  <c r="F16" i="18"/>
  <c r="D97" i="18"/>
  <c r="F82" i="18"/>
  <c r="E82" i="18"/>
  <c r="E65" i="18"/>
  <c r="G65" i="18"/>
  <c r="C31" i="18"/>
  <c r="E31" i="18"/>
  <c r="G31" i="18"/>
  <c r="E27" i="18"/>
  <c r="G27" i="18"/>
  <c r="D27" i="18"/>
  <c r="F27" i="18"/>
  <c r="E8" i="18"/>
  <c r="G8" i="18"/>
  <c r="F8" i="18"/>
  <c r="F102" i="18"/>
  <c r="E102" i="18"/>
  <c r="D85" i="18"/>
  <c r="C85" i="18"/>
  <c r="E67" i="18"/>
  <c r="C55" i="18"/>
  <c r="E55" i="18"/>
  <c r="G55" i="18"/>
  <c r="D55" i="18"/>
  <c r="F55" i="18"/>
  <c r="C52" i="18"/>
  <c r="E52" i="18"/>
  <c r="G52" i="18"/>
  <c r="G46" i="18"/>
  <c r="F46" i="18"/>
  <c r="C40" i="18"/>
  <c r="E40" i="18"/>
  <c r="G40" i="18"/>
  <c r="D40" i="18"/>
  <c r="F40" i="18"/>
  <c r="E23" i="18"/>
  <c r="G23" i="18"/>
  <c r="F23" i="18"/>
  <c r="C23" i="18"/>
  <c r="D23" i="18"/>
  <c r="E179" i="18"/>
  <c r="G179" i="18"/>
  <c r="F179" i="18"/>
  <c r="C64" i="18"/>
  <c r="E64" i="18"/>
  <c r="G64" i="18"/>
  <c r="G62" i="18"/>
  <c r="C62" i="18"/>
  <c r="E47" i="18"/>
  <c r="E45" i="18"/>
  <c r="G45" i="18"/>
  <c r="C32" i="18"/>
  <c r="E32" i="18"/>
  <c r="G32" i="18"/>
  <c r="G30" i="18"/>
  <c r="C30" i="18"/>
  <c r="D3" i="18"/>
  <c r="E3" i="18"/>
  <c r="E196" i="18"/>
  <c r="G196" i="18"/>
  <c r="C196" i="18"/>
  <c r="E188" i="18"/>
  <c r="G188" i="18"/>
  <c r="E180" i="18"/>
  <c r="G180" i="18"/>
  <c r="D171" i="18"/>
  <c r="E171" i="18"/>
  <c r="F171" i="18"/>
  <c r="G171" i="18"/>
  <c r="E68" i="18"/>
  <c r="G68" i="18"/>
  <c r="G66" i="18"/>
  <c r="C66" i="18"/>
  <c r="C51" i="18"/>
  <c r="E51" i="18"/>
  <c r="E49" i="18"/>
  <c r="G49" i="18"/>
  <c r="C36" i="18"/>
  <c r="E36" i="18"/>
  <c r="G36" i="18"/>
  <c r="G34" i="18"/>
  <c r="C34" i="18"/>
  <c r="C22" i="18"/>
  <c r="E22" i="18"/>
  <c r="C12" i="18"/>
  <c r="E12" i="18"/>
  <c r="G12" i="18"/>
  <c r="G10" i="18"/>
  <c r="C10" i="18"/>
  <c r="G6" i="18"/>
  <c r="E6" i="18"/>
  <c r="G201" i="18"/>
  <c r="E201" i="18"/>
  <c r="G193" i="18"/>
  <c r="E193" i="18"/>
  <c r="G185" i="18"/>
  <c r="E185" i="18"/>
  <c r="G177" i="18"/>
  <c r="E177" i="18"/>
  <c r="E29" i="18"/>
  <c r="G29" i="18"/>
  <c r="G21" i="18"/>
  <c r="C21" i="18"/>
  <c r="E5" i="18"/>
  <c r="G5" i="18"/>
  <c r="C5" i="18"/>
  <c r="E200" i="18"/>
  <c r="G200" i="18"/>
  <c r="E192" i="18"/>
  <c r="G192" i="18"/>
  <c r="E184" i="18"/>
  <c r="G184" i="18"/>
  <c r="E176" i="18"/>
  <c r="G176" i="18"/>
  <c r="C11" i="18"/>
  <c r="E11" i="18"/>
  <c r="E9" i="18"/>
  <c r="G9" i="18"/>
  <c r="G197" i="18"/>
  <c r="C197" i="18"/>
  <c r="E197" i="18"/>
  <c r="G189" i="18"/>
  <c r="E189" i="18"/>
  <c r="G181" i="18"/>
  <c r="E181" i="18"/>
  <c r="F64" i="18"/>
  <c r="C56" i="18"/>
  <c r="E56" i="18"/>
  <c r="G56" i="18"/>
  <c r="G54" i="18"/>
  <c r="G51" i="18"/>
  <c r="F47" i="18"/>
  <c r="C39" i="18"/>
  <c r="E39" i="18"/>
  <c r="E37" i="18"/>
  <c r="G37" i="18"/>
  <c r="F34" i="18"/>
  <c r="F32" i="18"/>
  <c r="E30" i="18"/>
  <c r="E26" i="18"/>
  <c r="G26" i="18"/>
  <c r="G24" i="18"/>
  <c r="C24" i="18"/>
  <c r="G22" i="18"/>
  <c r="C15" i="18"/>
  <c r="E15" i="18"/>
  <c r="E13" i="18"/>
  <c r="G13" i="18"/>
  <c r="F10" i="18"/>
  <c r="E7" i="18"/>
  <c r="G7" i="18"/>
  <c r="F196" i="18"/>
  <c r="E194" i="18"/>
  <c r="G194" i="18"/>
  <c r="F188" i="18"/>
  <c r="E186" i="18"/>
  <c r="G186" i="18"/>
  <c r="F180" i="18"/>
  <c r="E178" i="18"/>
  <c r="G178" i="18"/>
  <c r="D70" i="18"/>
  <c r="F68" i="18"/>
  <c r="E66" i="18"/>
  <c r="D64" i="18"/>
  <c r="D62" i="18"/>
  <c r="C60" i="18"/>
  <c r="E60" i="18"/>
  <c r="G60" i="18"/>
  <c r="G58" i="18"/>
  <c r="C58" i="18"/>
  <c r="F51" i="18"/>
  <c r="D49" i="18"/>
  <c r="D47" i="18"/>
  <c r="E43" i="18"/>
  <c r="E41" i="18"/>
  <c r="G41" i="18"/>
  <c r="F36" i="18"/>
  <c r="E34" i="18"/>
  <c r="D32" i="18"/>
  <c r="D30" i="18"/>
  <c r="G28" i="18"/>
  <c r="F22" i="18"/>
  <c r="C19" i="18"/>
  <c r="E19" i="18"/>
  <c r="E17" i="18"/>
  <c r="G17" i="18"/>
  <c r="F12" i="18"/>
  <c r="E10" i="18"/>
  <c r="F6" i="18"/>
  <c r="C4" i="18"/>
  <c r="E4" i="18"/>
  <c r="G4" i="18"/>
  <c r="F201" i="18"/>
  <c r="E199" i="18"/>
  <c r="G199" i="18"/>
  <c r="D196" i="18"/>
  <c r="F193" i="18"/>
  <c r="E191" i="18"/>
  <c r="G191" i="18"/>
  <c r="D188" i="18"/>
  <c r="F185" i="18"/>
  <c r="E183" i="18"/>
  <c r="G183" i="18"/>
  <c r="D180" i="18"/>
  <c r="F177" i="18"/>
  <c r="E175" i="18"/>
  <c r="G175" i="18"/>
  <c r="E172" i="18"/>
  <c r="F172" i="18"/>
  <c r="G172" i="18"/>
  <c r="G174" i="18"/>
  <c r="E173" i="18"/>
  <c r="E174" i="18"/>
  <c r="C3" i="18"/>
  <c r="G3" i="18"/>
  <c r="F3" i="18"/>
  <c r="F6" i="12"/>
  <c r="C11" i="12"/>
  <c r="D5" i="12"/>
  <c r="F9" i="12"/>
  <c r="G9" i="12"/>
  <c r="D9" i="12"/>
  <c r="F10" i="12"/>
  <c r="G10" i="12"/>
  <c r="E9" i="12"/>
  <c r="G11" i="12"/>
  <c r="E10" i="12"/>
  <c r="F11" i="12"/>
  <c r="D10" i="12"/>
  <c r="E11" i="12"/>
  <c r="E6" i="12"/>
  <c r="G4" i="12"/>
  <c r="D6" i="12"/>
  <c r="F4" i="12"/>
  <c r="E4" i="12"/>
  <c r="G5" i="12"/>
  <c r="D4" i="12"/>
  <c r="G3" i="12"/>
  <c r="F5" i="12"/>
  <c r="E5" i="12"/>
  <c r="F3" i="12"/>
  <c r="E3" i="12"/>
  <c r="D3" i="12"/>
  <c r="C6" i="17"/>
  <c r="G6" i="17"/>
  <c r="D15" i="17"/>
  <c r="G11" i="17"/>
  <c r="C15" i="17"/>
  <c r="C11" i="17"/>
  <c r="F14" i="17"/>
  <c r="E14" i="17"/>
  <c r="D14" i="17"/>
  <c r="F11" i="17"/>
  <c r="G15" i="17"/>
  <c r="D11" i="17"/>
  <c r="G13" i="17"/>
  <c r="F10" i="17"/>
  <c r="E12" i="17"/>
  <c r="E10" i="17"/>
  <c r="G12" i="17"/>
  <c r="C10" i="17"/>
  <c r="F12" i="17"/>
  <c r="F13" i="17"/>
  <c r="D12" i="17"/>
  <c r="E13" i="17"/>
  <c r="E6" i="17"/>
  <c r="C5" i="17"/>
  <c r="G4" i="17"/>
  <c r="G7" i="17"/>
  <c r="F4" i="17"/>
  <c r="C4" i="17"/>
  <c r="E4" i="17"/>
  <c r="F7" i="17"/>
  <c r="G5" i="17"/>
  <c r="F5" i="17"/>
  <c r="F23" i="16"/>
  <c r="C10" i="16"/>
  <c r="G14" i="16"/>
  <c r="G16" i="16"/>
  <c r="D14" i="16"/>
  <c r="G10" i="16"/>
  <c r="F16" i="16"/>
  <c r="C14" i="16"/>
  <c r="D10" i="16"/>
  <c r="E23" i="16"/>
  <c r="F12" i="16"/>
  <c r="F10" i="16"/>
  <c r="D23" i="16"/>
  <c r="G24" i="16"/>
  <c r="G22" i="16"/>
  <c r="C16" i="16"/>
  <c r="F11" i="16"/>
  <c r="F24" i="16"/>
  <c r="D22" i="16"/>
  <c r="E11" i="16"/>
  <c r="E9" i="16"/>
  <c r="G5" i="16"/>
  <c r="C24" i="16"/>
  <c r="C22" i="16"/>
  <c r="E13" i="16"/>
  <c r="D11" i="16"/>
  <c r="C5" i="16"/>
  <c r="G23" i="16"/>
  <c r="E22" i="16"/>
  <c r="C21" i="16"/>
  <c r="E14" i="16"/>
  <c r="C13" i="16"/>
  <c r="G11" i="16"/>
  <c r="F8" i="16"/>
  <c r="F5" i="16"/>
  <c r="E24" i="16"/>
  <c r="G21" i="16"/>
  <c r="E16" i="16"/>
  <c r="G13" i="16"/>
  <c r="E12" i="16"/>
  <c r="G9" i="16"/>
  <c r="E8" i="16"/>
  <c r="E5" i="16"/>
  <c r="F21" i="16"/>
  <c r="F13" i="16"/>
  <c r="F9" i="16"/>
  <c r="D8" i="15"/>
  <c r="G13" i="15"/>
  <c r="F12" i="15"/>
  <c r="E12" i="15"/>
  <c r="D12" i="15"/>
  <c r="F172" i="15"/>
  <c r="F163" i="15"/>
  <c r="F160" i="15"/>
  <c r="F147" i="15"/>
  <c r="F144" i="15"/>
  <c r="F128" i="15"/>
  <c r="F115" i="15"/>
  <c r="F104" i="15"/>
  <c r="G100" i="15"/>
  <c r="F90" i="15"/>
  <c r="F81" i="15"/>
  <c r="F68" i="15"/>
  <c r="F17" i="15"/>
  <c r="F8" i="15"/>
  <c r="F124" i="15"/>
  <c r="F111" i="15"/>
  <c r="F100" i="15"/>
  <c r="F76" i="15"/>
  <c r="D11" i="15"/>
  <c r="E8" i="15"/>
  <c r="F171" i="15"/>
  <c r="F159" i="15"/>
  <c r="F143" i="15"/>
  <c r="F127" i="15"/>
  <c r="G120" i="15"/>
  <c r="F83" i="15"/>
  <c r="G52" i="15"/>
  <c r="E171" i="15"/>
  <c r="F168" i="15"/>
  <c r="E159" i="15"/>
  <c r="G152" i="15"/>
  <c r="E143" i="15"/>
  <c r="G136" i="15"/>
  <c r="E127" i="15"/>
  <c r="F120" i="15"/>
  <c r="G116" i="15"/>
  <c r="F106" i="15"/>
  <c r="F97" i="15"/>
  <c r="F92" i="15"/>
  <c r="E83" i="15"/>
  <c r="G72" i="15"/>
  <c r="F67" i="15"/>
  <c r="F59" i="15"/>
  <c r="F52" i="15"/>
  <c r="F13" i="15"/>
  <c r="F155" i="15"/>
  <c r="F152" i="15"/>
  <c r="F139" i="15"/>
  <c r="F136" i="15"/>
  <c r="F116" i="15"/>
  <c r="E92" i="15"/>
  <c r="G88" i="15"/>
  <c r="F79" i="15"/>
  <c r="G9" i="15"/>
  <c r="G164" i="15"/>
  <c r="E155" i="15"/>
  <c r="G148" i="15"/>
  <c r="G132" i="15"/>
  <c r="E116" i="15"/>
  <c r="G113" i="15"/>
  <c r="F88" i="15"/>
  <c r="F18" i="15"/>
  <c r="F9" i="15"/>
  <c r="E139" i="15"/>
  <c r="F164" i="15"/>
  <c r="F151" i="15"/>
  <c r="F148" i="15"/>
  <c r="F132" i="15"/>
  <c r="F113" i="15"/>
  <c r="F95" i="15"/>
  <c r="E39" i="15"/>
  <c r="D9" i="15"/>
  <c r="E60" i="15"/>
  <c r="C21" i="15"/>
  <c r="E21" i="15"/>
  <c r="E101" i="15"/>
  <c r="E78" i="15"/>
  <c r="G78" i="15"/>
  <c r="E64" i="15"/>
  <c r="C32" i="15"/>
  <c r="E32" i="15"/>
  <c r="E23" i="15"/>
  <c r="G23" i="15"/>
  <c r="C14" i="15"/>
  <c r="E14" i="15"/>
  <c r="F14" i="15"/>
  <c r="G14" i="15"/>
  <c r="G173" i="15"/>
  <c r="E172" i="15"/>
  <c r="G169" i="15"/>
  <c r="E168" i="15"/>
  <c r="G165" i="15"/>
  <c r="E164" i="15"/>
  <c r="G161" i="15"/>
  <c r="E160" i="15"/>
  <c r="G157" i="15"/>
  <c r="E156" i="15"/>
  <c r="G153" i="15"/>
  <c r="E152" i="15"/>
  <c r="G149" i="15"/>
  <c r="E148" i="15"/>
  <c r="G145" i="15"/>
  <c r="E144" i="15"/>
  <c r="G141" i="15"/>
  <c r="E140" i="15"/>
  <c r="G137" i="15"/>
  <c r="E136" i="15"/>
  <c r="G133" i="15"/>
  <c r="E132" i="15"/>
  <c r="G129" i="15"/>
  <c r="E128" i="15"/>
  <c r="G125" i="15"/>
  <c r="E120" i="15"/>
  <c r="F118" i="15"/>
  <c r="E111" i="15"/>
  <c r="G109" i="15"/>
  <c r="E104" i="15"/>
  <c r="F102" i="15"/>
  <c r="E95" i="15"/>
  <c r="G93" i="15"/>
  <c r="E88" i="15"/>
  <c r="F86" i="15"/>
  <c r="E79" i="15"/>
  <c r="G77" i="15"/>
  <c r="E68" i="15"/>
  <c r="E66" i="15"/>
  <c r="G66" i="15"/>
  <c r="F63" i="15"/>
  <c r="F61" i="15"/>
  <c r="E59" i="15"/>
  <c r="G51" i="15"/>
  <c r="C51" i="15"/>
  <c r="C36" i="15"/>
  <c r="E36" i="15"/>
  <c r="E34" i="15"/>
  <c r="G34" i="15"/>
  <c r="F22" i="15"/>
  <c r="E20" i="15"/>
  <c r="E110" i="15"/>
  <c r="G110" i="15"/>
  <c r="E85" i="15"/>
  <c r="F161" i="15"/>
  <c r="F157" i="15"/>
  <c r="F153" i="15"/>
  <c r="F149" i="15"/>
  <c r="F145" i="15"/>
  <c r="F141" i="15"/>
  <c r="F137" i="15"/>
  <c r="F133" i="15"/>
  <c r="F129" i="15"/>
  <c r="F125" i="15"/>
  <c r="F123" i="15"/>
  <c r="E122" i="15"/>
  <c r="G122" i="15"/>
  <c r="E113" i="15"/>
  <c r="F109" i="15"/>
  <c r="F107" i="15"/>
  <c r="E106" i="15"/>
  <c r="G106" i="15"/>
  <c r="E97" i="15"/>
  <c r="F93" i="15"/>
  <c r="F91" i="15"/>
  <c r="E90" i="15"/>
  <c r="G90" i="15"/>
  <c r="E81" i="15"/>
  <c r="F77" i="15"/>
  <c r="F75" i="15"/>
  <c r="E74" i="15"/>
  <c r="G74" i="15"/>
  <c r="E72" i="15"/>
  <c r="E70" i="15"/>
  <c r="G70" i="15"/>
  <c r="F65" i="15"/>
  <c r="E63" i="15"/>
  <c r="F33" i="15"/>
  <c r="C18" i="15"/>
  <c r="E18" i="15"/>
  <c r="G18" i="15"/>
  <c r="E11" i="15"/>
  <c r="F11" i="15"/>
  <c r="G11" i="15"/>
  <c r="E117" i="15"/>
  <c r="E94" i="15"/>
  <c r="G94" i="15"/>
  <c r="E62" i="15"/>
  <c r="G62" i="15"/>
  <c r="F173" i="15"/>
  <c r="F169" i="15"/>
  <c r="F165" i="15"/>
  <c r="G174" i="15"/>
  <c r="E173" i="15"/>
  <c r="G170" i="15"/>
  <c r="E169" i="15"/>
  <c r="G166" i="15"/>
  <c r="E165" i="15"/>
  <c r="G162" i="15"/>
  <c r="E161" i="15"/>
  <c r="G158" i="15"/>
  <c r="E157" i="15"/>
  <c r="G154" i="15"/>
  <c r="E153" i="15"/>
  <c r="G150" i="15"/>
  <c r="E149" i="15"/>
  <c r="G146" i="15"/>
  <c r="E145" i="15"/>
  <c r="G142" i="15"/>
  <c r="E141" i="15"/>
  <c r="G138" i="15"/>
  <c r="E137" i="15"/>
  <c r="G134" i="15"/>
  <c r="E133" i="15"/>
  <c r="G130" i="15"/>
  <c r="E129" i="15"/>
  <c r="G126" i="15"/>
  <c r="E123" i="15"/>
  <c r="G121" i="15"/>
  <c r="F114" i="15"/>
  <c r="G112" i="15"/>
  <c r="E107" i="15"/>
  <c r="G105" i="15"/>
  <c r="F98" i="15"/>
  <c r="G96" i="15"/>
  <c r="E91" i="15"/>
  <c r="G89" i="15"/>
  <c r="F82" i="15"/>
  <c r="G80" i="15"/>
  <c r="E75" i="15"/>
  <c r="G73" i="15"/>
  <c r="F71" i="15"/>
  <c r="E61" i="15"/>
  <c r="G61" i="15"/>
  <c r="G59" i="15"/>
  <c r="F39" i="15"/>
  <c r="E22" i="15"/>
  <c r="G22" i="15"/>
  <c r="G20" i="15"/>
  <c r="C20" i="15"/>
  <c r="G17" i="15"/>
  <c r="F170" i="15"/>
  <c r="F166" i="15"/>
  <c r="F146" i="15"/>
  <c r="F142" i="15"/>
  <c r="F138" i="15"/>
  <c r="F134" i="15"/>
  <c r="F130" i="15"/>
  <c r="F126" i="15"/>
  <c r="E125" i="15"/>
  <c r="F121" i="15"/>
  <c r="F119" i="15"/>
  <c r="E118" i="15"/>
  <c r="G118" i="15"/>
  <c r="F112" i="15"/>
  <c r="E109" i="15"/>
  <c r="F105" i="15"/>
  <c r="F103" i="15"/>
  <c r="E102" i="15"/>
  <c r="G102" i="15"/>
  <c r="F96" i="15"/>
  <c r="E93" i="15"/>
  <c r="F89" i="15"/>
  <c r="F87" i="15"/>
  <c r="E86" i="15"/>
  <c r="G86" i="15"/>
  <c r="F80" i="15"/>
  <c r="E77" i="15"/>
  <c r="F73" i="15"/>
  <c r="E71" i="15"/>
  <c r="E65" i="15"/>
  <c r="G65" i="15"/>
  <c r="G63" i="15"/>
  <c r="G60" i="15"/>
  <c r="E33" i="15"/>
  <c r="G33" i="15"/>
  <c r="G21" i="15"/>
  <c r="E19" i="15"/>
  <c r="G19" i="15"/>
  <c r="F174" i="15"/>
  <c r="F162" i="15"/>
  <c r="F158" i="15"/>
  <c r="F154" i="15"/>
  <c r="F150" i="15"/>
  <c r="E162" i="15"/>
  <c r="E158" i="15"/>
  <c r="E154" i="15"/>
  <c r="E150" i="15"/>
  <c r="E146" i="15"/>
  <c r="E142" i="15"/>
  <c r="E138" i="15"/>
  <c r="E134" i="15"/>
  <c r="E130" i="15"/>
  <c r="E126" i="15"/>
  <c r="G124" i="15"/>
  <c r="E119" i="15"/>
  <c r="G117" i="15"/>
  <c r="E112" i="15"/>
  <c r="F110" i="15"/>
  <c r="G108" i="15"/>
  <c r="E103" i="15"/>
  <c r="G101" i="15"/>
  <c r="E96" i="15"/>
  <c r="F94" i="15"/>
  <c r="G92" i="15"/>
  <c r="E87" i="15"/>
  <c r="G85" i="15"/>
  <c r="E80" i="15"/>
  <c r="F78" i="15"/>
  <c r="G76" i="15"/>
  <c r="E69" i="15"/>
  <c r="G69" i="15"/>
  <c r="G67" i="15"/>
  <c r="G64" i="15"/>
  <c r="F62" i="15"/>
  <c r="F60" i="15"/>
  <c r="C52" i="15"/>
  <c r="E52" i="15"/>
  <c r="G32" i="15"/>
  <c r="F23" i="15"/>
  <c r="F21" i="15"/>
  <c r="D19" i="15"/>
  <c r="E121" i="15"/>
  <c r="F117" i="15"/>
  <c r="E114" i="15"/>
  <c r="G114" i="15"/>
  <c r="E105" i="15"/>
  <c r="F101" i="15"/>
  <c r="E98" i="15"/>
  <c r="G98" i="15"/>
  <c r="E89" i="15"/>
  <c r="F85" i="15"/>
  <c r="E82" i="15"/>
  <c r="G82" i="15"/>
  <c r="E73" i="15"/>
  <c r="G71" i="15"/>
  <c r="F64" i="15"/>
  <c r="G39" i="15"/>
  <c r="C39" i="15"/>
  <c r="F32" i="15"/>
  <c r="D23" i="15"/>
  <c r="D21" i="15"/>
  <c r="C19" i="15"/>
  <c r="C17" i="15"/>
  <c r="E17" i="15"/>
  <c r="E13" i="15"/>
  <c r="C12" i="15"/>
  <c r="G10" i="15"/>
  <c r="E9" i="15"/>
  <c r="C8" i="15"/>
  <c r="D13" i="15"/>
  <c r="F10" i="15"/>
  <c r="E10" i="15"/>
  <c r="D10" i="15"/>
  <c r="E29" i="14"/>
  <c r="F26" i="14"/>
  <c r="D29" i="14"/>
  <c r="E26" i="14"/>
  <c r="G32" i="14"/>
  <c r="E30" i="14"/>
  <c r="D28" i="14"/>
  <c r="D25" i="14"/>
  <c r="F32" i="14"/>
  <c r="G27" i="14"/>
  <c r="F27" i="14"/>
  <c r="G24" i="14"/>
  <c r="G31" i="14"/>
  <c r="E27" i="14"/>
  <c r="F24" i="14"/>
  <c r="G28" i="14"/>
  <c r="D27" i="14"/>
  <c r="G25" i="14"/>
  <c r="E24" i="14"/>
  <c r="F31" i="14"/>
  <c r="E31" i="14"/>
  <c r="F28" i="14"/>
  <c r="F25" i="14"/>
  <c r="G12" i="14"/>
  <c r="E22" i="14"/>
  <c r="C21" i="14"/>
  <c r="C15" i="14"/>
  <c r="E20" i="14"/>
  <c r="E14" i="14"/>
  <c r="E18" i="14"/>
  <c r="E12" i="14"/>
  <c r="C17" i="14"/>
  <c r="D14" i="14"/>
  <c r="E11" i="14"/>
  <c r="E16" i="14"/>
  <c r="D13" i="14"/>
  <c r="C23" i="14"/>
  <c r="F19" i="14"/>
  <c r="F15" i="14"/>
  <c r="G11" i="14"/>
  <c r="D10" i="14"/>
  <c r="D23" i="14"/>
  <c r="G21" i="14"/>
  <c r="E19" i="14"/>
  <c r="G17" i="14"/>
  <c r="E15" i="14"/>
  <c r="G13" i="14"/>
  <c r="F11" i="14"/>
  <c r="D11" i="14"/>
  <c r="G9" i="14"/>
  <c r="F22" i="14"/>
  <c r="G20" i="14"/>
  <c r="F18" i="14"/>
  <c r="G16" i="14"/>
  <c r="F14" i="14"/>
  <c r="C9" i="14"/>
  <c r="G23" i="14"/>
  <c r="D22" i="14"/>
  <c r="D18" i="14"/>
  <c r="F10" i="14"/>
  <c r="G6" i="14"/>
  <c r="F23" i="14"/>
  <c r="G19" i="14"/>
  <c r="C18" i="14"/>
  <c r="G15" i="14"/>
  <c r="C14" i="14"/>
  <c r="E10" i="14"/>
  <c r="E6" i="14"/>
  <c r="F20" i="14"/>
  <c r="F16" i="14"/>
  <c r="F12" i="14"/>
  <c r="F6" i="14"/>
  <c r="F21" i="14"/>
  <c r="D20" i="14"/>
  <c r="F17" i="14"/>
  <c r="D16" i="14"/>
  <c r="F13" i="14"/>
  <c r="D12" i="14"/>
  <c r="F9" i="14"/>
  <c r="D6" i="14"/>
  <c r="E21" i="14"/>
  <c r="E17" i="14"/>
  <c r="E9" i="14"/>
  <c r="C29" i="13"/>
  <c r="G27" i="13"/>
  <c r="D30" i="13"/>
  <c r="F27" i="13"/>
  <c r="E27" i="13"/>
  <c r="F28" i="13"/>
  <c r="D27" i="13"/>
  <c r="E28" i="13"/>
  <c r="E9" i="13"/>
  <c r="E18" i="13"/>
  <c r="E14" i="13"/>
  <c r="D9" i="13"/>
  <c r="F13" i="13"/>
  <c r="G11" i="13"/>
  <c r="E13" i="13"/>
  <c r="G10" i="13"/>
  <c r="G15" i="13"/>
  <c r="D13" i="13"/>
  <c r="F10" i="13"/>
  <c r="F17" i="13"/>
  <c r="C13" i="13"/>
  <c r="E10" i="13"/>
  <c r="C26" i="13"/>
  <c r="G25" i="13"/>
  <c r="E17" i="13"/>
  <c r="G14" i="13"/>
  <c r="D10" i="13"/>
  <c r="G6" i="13"/>
  <c r="D17" i="13"/>
  <c r="F14" i="13"/>
  <c r="F25" i="13"/>
  <c r="F15" i="13"/>
  <c r="D14" i="13"/>
  <c r="F11" i="13"/>
  <c r="F6" i="13"/>
  <c r="G26" i="13"/>
  <c r="E25" i="13"/>
  <c r="G16" i="13"/>
  <c r="E15" i="13"/>
  <c r="G12" i="13"/>
  <c r="E11" i="13"/>
  <c r="E6" i="13"/>
  <c r="F26" i="13"/>
  <c r="D25" i="13"/>
  <c r="F16" i="13"/>
  <c r="D15" i="13"/>
  <c r="F12" i="13"/>
  <c r="D11" i="13"/>
  <c r="D6" i="13"/>
  <c r="E26" i="13"/>
  <c r="E16" i="13"/>
  <c r="E12" i="13"/>
  <c r="G9" i="13"/>
  <c r="E3" i="13"/>
  <c r="D3" i="13"/>
  <c r="F4" i="13"/>
  <c r="E4" i="13"/>
  <c r="C3" i="13"/>
  <c r="G5" i="13"/>
  <c r="D4" i="13"/>
  <c r="C5" i="13"/>
  <c r="F5" i="13"/>
  <c r="E5" i="13"/>
  <c r="G3" i="13"/>
  <c r="D48" i="11"/>
  <c r="E48" i="11"/>
  <c r="G56" i="11"/>
  <c r="F56" i="11"/>
  <c r="E56" i="11"/>
  <c r="G54" i="11"/>
  <c r="E53" i="11"/>
  <c r="G50" i="11"/>
  <c r="E49" i="11"/>
  <c r="G46" i="11"/>
  <c r="E45" i="11"/>
  <c r="C44" i="11"/>
  <c r="G41" i="11"/>
  <c r="F46" i="11"/>
  <c r="D45" i="11"/>
  <c r="F41" i="11"/>
  <c r="E54" i="11"/>
  <c r="G51" i="11"/>
  <c r="E50" i="11"/>
  <c r="G47" i="11"/>
  <c r="E46" i="11"/>
  <c r="E41" i="11"/>
  <c r="D54" i="11"/>
  <c r="F51" i="11"/>
  <c r="D50" i="11"/>
  <c r="F47" i="11"/>
  <c r="D46" i="11"/>
  <c r="D41" i="11"/>
  <c r="E51" i="11"/>
  <c r="G48" i="11"/>
  <c r="E47" i="11"/>
  <c r="G34" i="11"/>
  <c r="E3" i="11"/>
  <c r="F34" i="11"/>
  <c r="G8" i="11"/>
  <c r="E34" i="11"/>
  <c r="F16" i="11"/>
  <c r="G11" i="11"/>
  <c r="D7" i="11"/>
  <c r="D36" i="11"/>
  <c r="E11" i="11"/>
  <c r="F11" i="11"/>
  <c r="D19" i="11"/>
  <c r="D11" i="11"/>
  <c r="D32" i="11"/>
  <c r="D24" i="11"/>
  <c r="F26" i="11"/>
  <c r="D23" i="11"/>
  <c r="E39" i="11"/>
  <c r="D26" i="11"/>
  <c r="G13" i="11"/>
  <c r="G21" i="11"/>
  <c r="F13" i="11"/>
  <c r="F6" i="11"/>
  <c r="D28" i="11"/>
  <c r="G24" i="11"/>
  <c r="F21" i="11"/>
  <c r="G16" i="11"/>
  <c r="F10" i="11"/>
  <c r="D39" i="11"/>
  <c r="G35" i="11"/>
  <c r="D34" i="11"/>
  <c r="E31" i="11"/>
  <c r="G18" i="11"/>
  <c r="D16" i="11"/>
  <c r="F8" i="11"/>
  <c r="G5" i="11"/>
  <c r="F40" i="11"/>
  <c r="F35" i="11"/>
  <c r="D31" i="11"/>
  <c r="E26" i="11"/>
  <c r="E23" i="11"/>
  <c r="D20" i="11"/>
  <c r="F18" i="11"/>
  <c r="G10" i="11"/>
  <c r="D8" i="11"/>
  <c r="F5" i="11"/>
  <c r="E40" i="11"/>
  <c r="G37" i="11"/>
  <c r="D35" i="11"/>
  <c r="G32" i="11"/>
  <c r="F30" i="11"/>
  <c r="F27" i="11"/>
  <c r="G19" i="11"/>
  <c r="D18" i="11"/>
  <c r="D15" i="11"/>
  <c r="E10" i="11"/>
  <c r="E7" i="11"/>
  <c r="D4" i="11"/>
  <c r="G27" i="11"/>
  <c r="F37" i="11"/>
  <c r="F32" i="11"/>
  <c r="E27" i="11"/>
  <c r="F22" i="11"/>
  <c r="F19" i="11"/>
  <c r="D10" i="11"/>
  <c r="E32" i="11"/>
  <c r="G29" i="11"/>
  <c r="D27" i="11"/>
  <c r="E19" i="11"/>
  <c r="F14" i="11"/>
  <c r="G3" i="11"/>
  <c r="E29" i="11"/>
  <c r="E21" i="11"/>
  <c r="E13" i="11"/>
  <c r="E5" i="11"/>
  <c r="D40" i="11"/>
  <c r="E37" i="11"/>
  <c r="G38" i="11"/>
  <c r="D37" i="11"/>
  <c r="G30" i="11"/>
  <c r="D29" i="11"/>
  <c r="E24" i="11"/>
  <c r="G22" i="11"/>
  <c r="D21" i="11"/>
  <c r="E16" i="11"/>
  <c r="G14" i="11"/>
  <c r="D13" i="11"/>
  <c r="E8" i="11"/>
  <c r="G6" i="11"/>
  <c r="D5" i="11"/>
  <c r="F3" i="11"/>
  <c r="C40" i="11"/>
  <c r="G9" i="11"/>
  <c r="F38" i="11"/>
  <c r="G33" i="11"/>
  <c r="G25" i="11"/>
  <c r="E38" i="11"/>
  <c r="G36" i="11"/>
  <c r="F33" i="11"/>
  <c r="E30" i="11"/>
  <c r="G28" i="11"/>
  <c r="F25" i="11"/>
  <c r="E22" i="11"/>
  <c r="G20" i="11"/>
  <c r="F17" i="11"/>
  <c r="E14" i="11"/>
  <c r="G12" i="11"/>
  <c r="F9" i="11"/>
  <c r="E6" i="11"/>
  <c r="G4" i="11"/>
  <c r="D3" i="11"/>
  <c r="G39" i="11"/>
  <c r="D38" i="11"/>
  <c r="F36" i="11"/>
  <c r="E33" i="11"/>
  <c r="G31" i="11"/>
  <c r="D30" i="11"/>
  <c r="F28" i="11"/>
  <c r="E25" i="11"/>
  <c r="G23" i="11"/>
  <c r="D22" i="11"/>
  <c r="F20" i="11"/>
  <c r="E17" i="11"/>
  <c r="G15" i="11"/>
  <c r="D14" i="11"/>
  <c r="F12" i="11"/>
  <c r="E9" i="11"/>
  <c r="G7" i="11"/>
  <c r="D6" i="11"/>
  <c r="F4" i="11"/>
  <c r="F39" i="11"/>
  <c r="E36" i="11"/>
  <c r="D33" i="11"/>
  <c r="F31" i="11"/>
  <c r="E28" i="11"/>
  <c r="D25" i="11"/>
  <c r="F23" i="11"/>
  <c r="E20" i="11"/>
  <c r="D17" i="11"/>
  <c r="F15" i="11"/>
  <c r="E12" i="11"/>
  <c r="D9" i="11"/>
  <c r="F7" i="11"/>
  <c r="E4" i="11"/>
  <c r="D211" i="10"/>
  <c r="D225" i="10"/>
  <c r="D31" i="10"/>
  <c r="D15" i="10"/>
  <c r="D12" i="10"/>
  <c r="D38" i="10"/>
  <c r="D20" i="10"/>
  <c r="D10" i="10"/>
  <c r="D47" i="10"/>
  <c r="D28" i="10"/>
  <c r="D19" i="10"/>
  <c r="D36" i="10"/>
  <c r="D11" i="10"/>
  <c r="D27" i="10"/>
  <c r="D18" i="10"/>
  <c r="D7" i="10"/>
  <c r="D26" i="10"/>
  <c r="D44" i="10"/>
  <c r="D35" i="10"/>
  <c r="D212" i="10"/>
  <c r="D43" i="10"/>
  <c r="D34" i="10"/>
  <c r="D14" i="10"/>
  <c r="D4" i="10"/>
  <c r="D9" i="10"/>
  <c r="D49" i="10"/>
  <c r="D41" i="10"/>
  <c r="D33" i="10"/>
  <c r="D25" i="10"/>
  <c r="D17" i="10"/>
  <c r="D6" i="10"/>
  <c r="D5" i="10"/>
  <c r="D45" i="10"/>
  <c r="G11" i="27"/>
  <c r="D10" i="27"/>
  <c r="G9" i="27"/>
  <c r="E11" i="27"/>
  <c r="F9" i="27"/>
  <c r="G10" i="27"/>
  <c r="E9" i="27"/>
  <c r="F10" i="27"/>
  <c r="D9" i="27"/>
  <c r="E10" i="27"/>
  <c r="C8" i="27"/>
  <c r="D8" i="27"/>
  <c r="E8" i="27"/>
  <c r="F8" i="27"/>
  <c r="E3" i="27"/>
  <c r="G3" i="27"/>
  <c r="D5" i="27"/>
  <c r="E5" i="27"/>
  <c r="C3" i="27"/>
  <c r="F5" i="27"/>
  <c r="D3" i="27"/>
  <c r="G5" i="27"/>
  <c r="G10" i="26"/>
  <c r="F10" i="26"/>
  <c r="E10" i="26"/>
  <c r="D10" i="26"/>
  <c r="C10" i="26"/>
  <c r="G12" i="26"/>
  <c r="F12" i="26"/>
  <c r="E12" i="26"/>
  <c r="D12" i="26"/>
  <c r="C12" i="26"/>
  <c r="G3" i="26"/>
  <c r="F3" i="26"/>
  <c r="E3" i="26"/>
  <c r="D3" i="26"/>
  <c r="C3" i="26"/>
  <c r="G4" i="26"/>
  <c r="F4" i="26"/>
  <c r="E4" i="26"/>
  <c r="D4" i="26"/>
  <c r="G5" i="26"/>
  <c r="F5" i="26"/>
  <c r="E5" i="26"/>
  <c r="D5" i="26"/>
  <c r="D20" i="24"/>
  <c r="D8" i="24"/>
  <c r="E53" i="24"/>
  <c r="G50" i="24"/>
  <c r="E49" i="24"/>
  <c r="G46" i="24"/>
  <c r="E45" i="24"/>
  <c r="G42" i="24"/>
  <c r="E41" i="24"/>
  <c r="G38" i="24"/>
  <c r="E37" i="24"/>
  <c r="G34" i="24"/>
  <c r="E33" i="24"/>
  <c r="G30" i="24"/>
  <c r="E29" i="24"/>
  <c r="G26" i="24"/>
  <c r="E25" i="24"/>
  <c r="G22" i="24"/>
  <c r="G18" i="24"/>
  <c r="G14" i="24"/>
  <c r="G10" i="24"/>
  <c r="G6" i="24"/>
  <c r="F34" i="24"/>
  <c r="F26" i="24"/>
  <c r="F22" i="24"/>
  <c r="F14" i="24"/>
  <c r="F6" i="24"/>
  <c r="F42" i="24"/>
  <c r="F38" i="24"/>
  <c r="F30" i="24"/>
  <c r="F18" i="24"/>
  <c r="F10" i="24"/>
  <c r="G51" i="24"/>
  <c r="E50" i="24"/>
  <c r="G47" i="24"/>
  <c r="E46" i="24"/>
  <c r="G43" i="24"/>
  <c r="E42" i="24"/>
  <c r="G39" i="24"/>
  <c r="E38" i="24"/>
  <c r="G35" i="24"/>
  <c r="E34" i="24"/>
  <c r="G31" i="24"/>
  <c r="E30" i="24"/>
  <c r="G27" i="24"/>
  <c r="E26" i="24"/>
  <c r="G23" i="24"/>
  <c r="E22" i="24"/>
  <c r="G19" i="24"/>
  <c r="E18" i="24"/>
  <c r="G15" i="24"/>
  <c r="E14" i="24"/>
  <c r="G11" i="24"/>
  <c r="E10" i="24"/>
  <c r="G7" i="24"/>
  <c r="E6" i="24"/>
  <c r="F47" i="24"/>
  <c r="D46" i="24"/>
  <c r="F39" i="24"/>
  <c r="D38" i="24"/>
  <c r="F31" i="24"/>
  <c r="F27" i="24"/>
  <c r="D26" i="24"/>
  <c r="F23" i="24"/>
  <c r="D22" i="24"/>
  <c r="F19" i="24"/>
  <c r="D18" i="24"/>
  <c r="F15" i="24"/>
  <c r="D14" i="24"/>
  <c r="F11" i="24"/>
  <c r="D10" i="24"/>
  <c r="D6" i="24"/>
  <c r="F50" i="24"/>
  <c r="F46" i="24"/>
  <c r="F51" i="24"/>
  <c r="D50" i="24"/>
  <c r="F43" i="24"/>
  <c r="D42" i="24"/>
  <c r="F35" i="24"/>
  <c r="D34" i="24"/>
  <c r="D30" i="24"/>
  <c r="G37" i="25"/>
  <c r="G33" i="25"/>
  <c r="G21" i="25"/>
  <c r="F39" i="25"/>
  <c r="D38" i="25"/>
  <c r="D39" i="25"/>
  <c r="G25" i="25"/>
  <c r="F25" i="25"/>
  <c r="F17" i="25"/>
  <c r="D16" i="25"/>
  <c r="F13" i="25"/>
  <c r="F9" i="25"/>
  <c r="D8" i="25"/>
  <c r="F21" i="25"/>
  <c r="D20" i="25"/>
  <c r="G38" i="25"/>
  <c r="E37" i="25"/>
  <c r="G34" i="25"/>
  <c r="E33" i="25"/>
  <c r="G30" i="25"/>
  <c r="E29" i="25"/>
  <c r="G26" i="25"/>
  <c r="E25" i="25"/>
  <c r="G22" i="25"/>
  <c r="E21" i="25"/>
  <c r="G18" i="25"/>
  <c r="E17" i="25"/>
  <c r="G14" i="25"/>
  <c r="E13" i="25"/>
  <c r="G10" i="25"/>
  <c r="E9" i="25"/>
  <c r="G6" i="25"/>
  <c r="G29" i="25"/>
  <c r="F33" i="25"/>
  <c r="F34" i="25"/>
  <c r="D33" i="25"/>
  <c r="F26" i="25"/>
  <c r="D25" i="25"/>
  <c r="F22" i="25"/>
  <c r="D21" i="25"/>
  <c r="F14" i="25"/>
  <c r="D13" i="25"/>
  <c r="F10" i="25"/>
  <c r="D9" i="25"/>
  <c r="F6" i="25"/>
  <c r="F37" i="25"/>
  <c r="F29" i="25"/>
  <c r="F38" i="25"/>
  <c r="D37" i="25"/>
  <c r="F30" i="25"/>
  <c r="D29" i="25"/>
  <c r="F18" i="25"/>
  <c r="D17" i="25"/>
  <c r="G39" i="25"/>
  <c r="E38" i="25"/>
  <c r="E34" i="25"/>
  <c r="E30" i="25"/>
  <c r="E26" i="25"/>
  <c r="G23" i="25"/>
  <c r="E22" i="25"/>
  <c r="E18" i="25"/>
  <c r="E14" i="25"/>
  <c r="E10" i="25"/>
  <c r="F23" i="25"/>
  <c r="E23" i="25"/>
  <c r="G3" i="25"/>
  <c r="F3" i="25"/>
  <c r="E3" i="25"/>
  <c r="D3" i="25"/>
  <c r="G4" i="25"/>
  <c r="F4" i="25"/>
  <c r="E4" i="25"/>
  <c r="D4" i="25"/>
  <c r="G5" i="25"/>
  <c r="F5" i="25"/>
  <c r="E5" i="25"/>
  <c r="D5" i="25"/>
  <c r="G3" i="24"/>
  <c r="F3" i="24"/>
  <c r="E3" i="24"/>
  <c r="D3" i="24"/>
  <c r="G4" i="24"/>
  <c r="F4" i="24"/>
  <c r="E4" i="24"/>
  <c r="D4" i="24"/>
  <c r="G5" i="24"/>
  <c r="F5" i="24"/>
  <c r="E5" i="24"/>
  <c r="D5" i="24"/>
  <c r="G3" i="17"/>
  <c r="F3" i="17"/>
  <c r="E3" i="17"/>
  <c r="D3" i="17"/>
  <c r="G3" i="16"/>
  <c r="F3" i="16"/>
  <c r="E3" i="16"/>
  <c r="D3" i="16"/>
  <c r="G3" i="15"/>
  <c r="F3" i="15"/>
  <c r="E3" i="15"/>
  <c r="D3" i="15"/>
  <c r="G4" i="15"/>
  <c r="F4" i="15"/>
  <c r="E4" i="15"/>
  <c r="D4" i="15"/>
  <c r="G5" i="15"/>
  <c r="F5" i="15"/>
  <c r="E5" i="15"/>
  <c r="D5" i="15"/>
  <c r="G3" i="14"/>
  <c r="F3" i="14"/>
  <c r="E3" i="14"/>
  <c r="D3" i="14"/>
  <c r="G4" i="14"/>
  <c r="F4" i="14"/>
  <c r="E4" i="14"/>
  <c r="D4" i="14"/>
  <c r="G5" i="14"/>
  <c r="F5" i="14"/>
  <c r="E5" i="14"/>
  <c r="D5" i="14"/>
  <c r="G3" i="10"/>
  <c r="F3" i="10"/>
  <c r="E3" i="10"/>
  <c r="G7" i="10"/>
  <c r="F7" i="10"/>
  <c r="E7" i="10"/>
  <c r="G6" i="10"/>
  <c r="F6" i="10"/>
  <c r="E6" i="10"/>
  <c r="G5" i="10"/>
  <c r="F5" i="10"/>
  <c r="E5" i="10"/>
  <c r="G4" i="10"/>
  <c r="F4" i="10"/>
  <c r="E4" i="10"/>
  <c r="G50" i="10"/>
  <c r="F50" i="10"/>
  <c r="E50" i="10"/>
  <c r="G49" i="10"/>
  <c r="F49" i="10"/>
  <c r="E49" i="10"/>
  <c r="G48" i="10"/>
  <c r="F48" i="10"/>
  <c r="E48" i="10"/>
  <c r="G47" i="10"/>
  <c r="F47" i="10"/>
  <c r="E47" i="10"/>
  <c r="G46" i="10"/>
  <c r="E46" i="10"/>
  <c r="G45" i="10"/>
  <c r="E45" i="10"/>
  <c r="G44" i="10"/>
  <c r="E44" i="10"/>
  <c r="G43" i="10"/>
  <c r="E43" i="10"/>
  <c r="G42" i="10"/>
  <c r="E42" i="10"/>
  <c r="G41" i="10"/>
  <c r="E41" i="10"/>
  <c r="G40" i="10"/>
  <c r="E40" i="10"/>
  <c r="G39" i="10"/>
  <c r="E39" i="10"/>
  <c r="G38" i="10"/>
  <c r="F38" i="10"/>
  <c r="E38" i="10"/>
  <c r="G37" i="10"/>
  <c r="F37" i="10"/>
  <c r="E37" i="10"/>
  <c r="G36" i="10"/>
  <c r="F36" i="10"/>
  <c r="E36" i="10"/>
  <c r="G35" i="10"/>
  <c r="F35" i="10"/>
  <c r="E35" i="10"/>
  <c r="G34" i="10"/>
  <c r="F34" i="10"/>
  <c r="E34" i="10"/>
  <c r="G33" i="10"/>
  <c r="F33" i="10"/>
  <c r="E33" i="10"/>
  <c r="G32" i="10"/>
  <c r="F32" i="10"/>
  <c r="E32" i="10"/>
  <c r="G31" i="10"/>
  <c r="F31" i="10"/>
  <c r="E31" i="10"/>
  <c r="G30" i="10"/>
  <c r="F30" i="10"/>
  <c r="E30" i="10"/>
  <c r="G29" i="10"/>
  <c r="F29" i="10"/>
  <c r="E29" i="10"/>
  <c r="G28" i="10"/>
  <c r="F28" i="10"/>
  <c r="E28" i="10"/>
  <c r="G27" i="10"/>
  <c r="F27" i="10"/>
  <c r="E27" i="10"/>
  <c r="G26" i="10"/>
  <c r="F26" i="10"/>
  <c r="E26" i="10"/>
  <c r="G25" i="10"/>
  <c r="F25" i="10"/>
  <c r="E25" i="10"/>
  <c r="G24" i="10"/>
  <c r="F24" i="10"/>
  <c r="E24" i="10"/>
  <c r="G23" i="10"/>
  <c r="F23" i="10"/>
  <c r="E23" i="10"/>
  <c r="G22" i="10"/>
  <c r="F22" i="10"/>
  <c r="E22" i="10"/>
  <c r="G21" i="10"/>
  <c r="F21" i="10"/>
  <c r="E21" i="10"/>
  <c r="G20" i="10"/>
  <c r="F20" i="10"/>
  <c r="E20" i="10"/>
  <c r="G19" i="10"/>
  <c r="F19" i="10"/>
  <c r="E19" i="10"/>
  <c r="G18" i="10"/>
  <c r="F18" i="10"/>
  <c r="E18" i="10"/>
  <c r="G17" i="10"/>
  <c r="F17" i="10"/>
  <c r="E17" i="10"/>
  <c r="G16" i="10"/>
  <c r="F16" i="10"/>
  <c r="E16" i="10"/>
  <c r="G15" i="10"/>
  <c r="F15" i="10"/>
  <c r="E15" i="10"/>
  <c r="G14" i="10"/>
  <c r="F14" i="10"/>
  <c r="E14" i="10"/>
  <c r="G13" i="10"/>
  <c r="F13" i="10"/>
  <c r="E13" i="10"/>
  <c r="G12" i="10"/>
  <c r="F12" i="10"/>
  <c r="E12" i="10"/>
  <c r="G11" i="10"/>
  <c r="F11" i="10"/>
  <c r="E11" i="10"/>
  <c r="G10" i="10"/>
  <c r="F10" i="10"/>
  <c r="E10" i="10"/>
  <c r="G9" i="10"/>
  <c r="F9" i="10"/>
  <c r="E9" i="10"/>
  <c r="G8" i="10"/>
  <c r="F8" i="10"/>
  <c r="E8" i="10"/>
  <c r="G251" i="10"/>
  <c r="F251" i="10"/>
  <c r="E251" i="10"/>
  <c r="G250" i="10"/>
  <c r="F250" i="10"/>
  <c r="E250" i="10"/>
  <c r="G249" i="10"/>
  <c r="F249" i="10"/>
  <c r="E249" i="10"/>
  <c r="G248" i="10"/>
  <c r="F248" i="10"/>
  <c r="E248" i="10"/>
  <c r="G229" i="10"/>
  <c r="F229" i="10"/>
  <c r="E229" i="10"/>
  <c r="G228" i="10"/>
  <c r="F228" i="10"/>
  <c r="E228" i="10"/>
  <c r="G227" i="10"/>
  <c r="F227" i="10"/>
  <c r="E227" i="10"/>
  <c r="G225" i="10"/>
  <c r="F225" i="10"/>
  <c r="E225" i="10"/>
  <c r="G218" i="10"/>
  <c r="F218" i="10"/>
  <c r="E218" i="10"/>
  <c r="G217" i="10"/>
  <c r="F217" i="10"/>
  <c r="E217" i="10"/>
  <c r="G216" i="10"/>
  <c r="F216" i="10"/>
  <c r="E216" i="10"/>
  <c r="G215" i="10"/>
  <c r="F215" i="10"/>
  <c r="E215" i="10"/>
  <c r="G214" i="10"/>
  <c r="F214" i="10"/>
  <c r="E214" i="10"/>
  <c r="G212" i="10"/>
  <c r="F212" i="10"/>
  <c r="E212" i="10"/>
  <c r="G211" i="10"/>
  <c r="F211" i="10"/>
  <c r="E211" i="10"/>
  <c r="G210" i="10"/>
  <c r="F210" i="10"/>
  <c r="E210" i="10"/>
  <c r="G209" i="10"/>
  <c r="F209" i="10"/>
  <c r="E209" i="10"/>
  <c r="G208" i="10"/>
  <c r="F208" i="10"/>
  <c r="E208" i="10"/>
  <c r="G207" i="10"/>
  <c r="F207" i="10"/>
  <c r="E207" i="10"/>
  <c r="G206" i="10"/>
  <c r="F206" i="10"/>
  <c r="E206" i="10"/>
  <c r="G205" i="10"/>
  <c r="F205" i="10"/>
  <c r="E205" i="10"/>
</calcChain>
</file>

<file path=xl/sharedStrings.xml><?xml version="1.0" encoding="utf-8"?>
<sst xmlns="http://schemas.openxmlformats.org/spreadsheetml/2006/main" count="5275" uniqueCount="1994">
  <si>
    <t>Version</t>
  </si>
  <si>
    <t>Updated By</t>
  </si>
  <si>
    <t>Methods Affected
by Change</t>
  </si>
  <si>
    <t>Revision Description</t>
  </si>
  <si>
    <t>API Method Name (Link to Request &amp; Response Examples with Data Structure)</t>
  </si>
  <si>
    <t>Method
Version</t>
  </si>
  <si>
    <t>Method Description</t>
  </si>
  <si>
    <t xml:space="preserve">Method URL </t>
  </si>
  <si>
    <t>Get Authentication Token</t>
  </si>
  <si>
    <r>
      <rPr>
        <sz val="11"/>
        <color rgb="FF000000"/>
        <rFont val="Calibri"/>
        <family val="2"/>
      </rPr>
      <t>Method to acquire an authentication (bearer) token, using the scope (always "</t>
    </r>
    <r>
      <rPr>
        <b/>
        <sz val="11"/>
        <color rgb="FF000000"/>
        <rFont val="Calibri"/>
        <family val="2"/>
      </rPr>
      <t>standardapiaccess</t>
    </r>
    <r>
      <rPr>
        <sz val="11"/>
        <color rgb="FF000000"/>
        <rFont val="Calibri"/>
        <family val="2"/>
      </rPr>
      <t>"), along with the provided clientID  and Client secret</t>
    </r>
  </si>
  <si>
    <t>CheckConnection</t>
  </si>
  <si>
    <r>
      <rPr>
        <sz val="11"/>
        <color rgb="FF000000"/>
        <rFont val="Calibri"/>
        <family val="2"/>
      </rPr>
      <t>Simple ping method used to check connectivity between Vision+ API server and client with</t>
    </r>
    <r>
      <rPr>
        <b/>
        <sz val="11"/>
        <color rgb="FF000000"/>
        <rFont val="Calibri"/>
        <family val="2"/>
      </rPr>
      <t xml:space="preserve"> no parameters</t>
    </r>
    <r>
      <rPr>
        <sz val="11"/>
        <color rgb="FF000000"/>
        <rFont val="Calibri"/>
        <family val="2"/>
      </rPr>
      <t>. As with all methods, if authentication token is missing or invalid, an error will be returned. If the authentication token is valid and the connection is successful, a success true will be returned.</t>
    </r>
  </si>
  <si>
    <t>CreateReferenceWithAllData</t>
  </si>
  <si>
    <t xml:space="preserve">As one of the base methods of the Vision+ API, this method is used to create a property, create tenancy on property and add one or more applicants to be referenced in that property, for systems that gather and provide all required applicant data up front. </t>
  </si>
  <si>
    <t>CreateReferenceWithInputFromApplicant</t>
  </si>
  <si>
    <t>As another base methods of the Vision+ API, this method is used to create a property, create tenancy on property and add one or more applicants to be referenced in that property, for systems that require the applicant to fill in their own data. 
On submission, an email will be sent to any Applicant in the application, with details on how to log on to the Vision+ Portal and complete the required referencing data.</t>
  </si>
  <si>
    <t>GetApplicantReferenceStatus</t>
  </si>
  <si>
    <t>This method is used to check the Applicant referencing status of one or more Applicants.</t>
  </si>
  <si>
    <t>GetAgentActiveProducts</t>
  </si>
  <si>
    <t>This method is used to get the list of products currently available to the agent to use in referencing applications. Using an invalid product code or a product the agent is not authorised for will cause the reference application request to fail and return an error.</t>
  </si>
  <si>
    <t>GetApplicantReferenceReports</t>
  </si>
  <si>
    <t>This method provides the applicant available assessment reports as a base64 encoded string, which must be saved as PDF file. An interim report will be available if the appliants referencing application is in progress, and a final report will be avaible when the applicants reference application status is completed.</t>
  </si>
  <si>
    <t>PostApplicantReferenceDocument</t>
  </si>
  <si>
    <t>This method is used to upload documents to support the applicant assessment process. Such as identification, proof of income, rent receipts etc.</t>
  </si>
  <si>
    <t>ResendApplicantReferenceLink</t>
  </si>
  <si>
    <t>Used in conjunction with the references created with the CreateReferenceWithInputFromApplicant call, This method is used to resend the applicant referencing link to the applicant, to complete the required referencing data. This is not required for reference applications started with the CreateReferenceWithAllData call.</t>
  </si>
  <si>
    <t>​/api​/workflow​/StandardIntegration​/ResendApplicantReferenceLink</t>
  </si>
  <si>
    <t>PostApplicantReferenceNote</t>
  </si>
  <si>
    <t xml:space="preserve">This method is used to add notes to the applicant assessment. The note field supports free text and can be used to record additional data. </t>
  </si>
  <si>
    <t>​/api​/workflow​/StandardIntegration​/PostApplicantReferenceNote</t>
  </si>
  <si>
    <t>AddApplicantToTenancy</t>
  </si>
  <si>
    <t>This method is used to add an additional applicant to a tenancy application. It has a applicant type parameter that denotes whether the applicant will be sent a link to fill out the data themselves or that the data will be provided by the client system.</t>
  </si>
  <si>
    <t>​/api​/workflow​/StandardIntegration​/AddApplicantToTenancy</t>
  </si>
  <si>
    <t>AmendApplicantType</t>
  </si>
  <si>
    <t>CancelApplicantFromTenancy</t>
  </si>
  <si>
    <t>This method is used to get cancel a specific applicant from a tenancy application associated with the authenticated agent.</t>
  </si>
  <si>
    <t>​/api​/workflow​/StandardIntegration​/CancelApplicantFromTenancy</t>
  </si>
  <si>
    <t>CancelTenancy</t>
  </si>
  <si>
    <t>This method is used to cancel a tenancy application associated with the authenticated agent.</t>
  </si>
  <si>
    <t>​/api​/workflow​/StandardIntegration​/CancelTenancy</t>
  </si>
  <si>
    <t>AmendTenancyDetails</t>
  </si>
  <si>
    <t>This method is used to amend a tenancy referencing application associated with the authenticated agent.</t>
  </si>
  <si>
    <t>​/api​/workflow​/StandardIntegration​/AmendTenancyDetails</t>
  </si>
  <si>
    <t>AmendApplicantProductType</t>
  </si>
  <si>
    <t>This method is used to amend the product type used for a specific applicant. This is restricted by the current agent active products and only for applicants associated with the authenticated agent.</t>
  </si>
  <si>
    <t>​/api​/workflow​/StandardIntegration​/AmendProductType</t>
  </si>
  <si>
    <t>CreateCompanyReferenceWithAllData</t>
  </si>
  <si>
    <t xml:space="preserve">As one of the base methods of the Vision+ API, this method is used to create a company reference with a property, create tenancy on property and add one or more applicants to be referenced in that property, for systems that gather and provide all required company data up front. </t>
  </si>
  <si>
    <t>​/api​/workflow​/StandardIntegration​/CreateCompanyReferenceWithAllData</t>
  </si>
  <si>
    <t>CreateCompanyReferenceWithInputFromApplicant</t>
  </si>
  <si>
    <t xml:space="preserve">As another base methods of the Vision+ API, this method is used to create a company reference with a property, create tenancy on property and add one or more applicants to be referenced in that property, for systems that require the applicant to fill in their own data. 
On submission, an email will be sent to any Applicant in the application, with details on how to log on to the Vision+ Portal and complete the required referencing data. </t>
  </si>
  <si>
    <t>​/api​/workflow​/StandardIntegration​/CreateCompanyReferenceWithInputFromApplicant</t>
  </si>
  <si>
    <t>Entity Relationship Model</t>
  </si>
  <si>
    <t>Methods Used</t>
  </si>
  <si>
    <t>ID</t>
  </si>
  <si>
    <t>Vision+ API
Field
Name</t>
  </si>
  <si>
    <t>Field
Type</t>
  </si>
  <si>
    <t>API Max Field
Length</t>
  </si>
  <si>
    <t>Field 
Validations</t>
  </si>
  <si>
    <t>Field
Description</t>
  </si>
  <si>
    <t>Request</t>
  </si>
  <si>
    <t>Response</t>
  </si>
  <si>
    <t>Agent and Tenancy Data</t>
  </si>
  <si>
    <t>tenancyID</t>
  </si>
  <si>
    <t>string</t>
  </si>
  <si>
    <r>
      <t xml:space="preserve">TenancyID is a unique key value for an Agent Property with Active referencing requests linked to one or more Applicants. An Agent Property may have one or more TenancyID's with simultaneous Applicant reference requests.
TenancyID is created through API methods:
</t>
    </r>
    <r>
      <rPr>
        <b/>
        <sz val="10"/>
        <color theme="1"/>
        <rFont val="Calibri"/>
        <family val="2"/>
        <scheme val="minor"/>
      </rPr>
      <t>CreateReferenceWithAllData
CreateReferenceWithInputFromApplicant</t>
    </r>
    <r>
      <rPr>
        <sz val="10"/>
        <color theme="1"/>
        <rFont val="Calibri"/>
        <family val="2"/>
        <scheme val="minor"/>
      </rPr>
      <t xml:space="preserve">
</t>
    </r>
    <r>
      <rPr>
        <b/>
        <sz val="10"/>
        <color theme="1"/>
        <rFont val="Calibri"/>
        <family val="2"/>
        <scheme val="minor"/>
      </rPr>
      <t>CreateCompanyReferenceWithAllData
CreateCompanyReferenceWithInputFromApplicant</t>
    </r>
  </si>
  <si>
    <t>X</t>
  </si>
  <si>
    <t>applicantID</t>
  </si>
  <si>
    <t>M</t>
  </si>
  <si>
    <t>agentCode</t>
  </si>
  <si>
    <t>AgentCode is the Unique Key provided to the Agent when onboarding as a Barbon Customer.
An AgentID may be linked to many Properties being managed by that Agent and Each property may be linked to 1 or more TenancyID's.</t>
  </si>
  <si>
    <t>Product</t>
  </si>
  <si>
    <t>Product is a return value for Product description for product(s) available and enabled for the API Authenticated Agent. This includes Referencing Products (Ultimate, Express etc..) and Other services such as Insurance products (Rent on Time, Rent Guarantee etc…) and Media and Utilities.</t>
  </si>
  <si>
    <t>rentGuarantee</t>
  </si>
  <si>
    <t>enum - Rent Guarantee</t>
  </si>
  <si>
    <t>Valid Values 1-4 (See enum definition)</t>
  </si>
  <si>
    <t xml:space="preserve">Rent guarantee is an indicator that determines which RG option if any  the agent requires </t>
  </si>
  <si>
    <t>tenancyTermMonths</t>
  </si>
  <si>
    <t>integer</t>
  </si>
  <si>
    <t>The term of the Tenancy in months (whole months only)</t>
  </si>
  <si>
    <t>monthlyRental</t>
  </si>
  <si>
    <t>number (double)</t>
  </si>
  <si>
    <t xml:space="preserve">	number($double)
pattern: ^\d*.\d{0,2}$</t>
  </si>
  <si>
    <t>The monthly rental cost</t>
  </si>
  <si>
    <t>lettingType</t>
  </si>
  <si>
    <t>enum - Letting Type</t>
  </si>
  <si>
    <t>Valid Values 1-3 (See enum definition)</t>
  </si>
  <si>
    <t>The type of the letting, i.e. rent only or fully managed</t>
  </si>
  <si>
    <t>estimatedMoveInDate</t>
  </si>
  <si>
    <t>string ($date-time)</t>
  </si>
  <si>
    <t>DD/MM/YYYY</t>
  </si>
  <si>
    <t>Estimated date of tenancy start (move in)</t>
  </si>
  <si>
    <t>propertyType</t>
  </si>
  <si>
    <t>enum - Property Type</t>
  </si>
  <si>
    <t>Valid Values 1-6 (See enum definition)</t>
  </si>
  <si>
    <t xml:space="preserve">The Type of property </t>
  </si>
  <si>
    <t>propertyConstructionPeriod</t>
  </si>
  <si>
    <t>enum - Property Construction Period</t>
  </si>
  <si>
    <t>Valid Values 1-9 (See enum definition)</t>
  </si>
  <si>
    <t>The time period in which the property was built</t>
  </si>
  <si>
    <t>numberOfBedrooms</t>
  </si>
  <si>
    <t>The count of bedrooms in the property</t>
  </si>
  <si>
    <t>noOfAdultOccupants</t>
  </si>
  <si>
    <t>Number of Adult occupants (18 or over)</t>
  </si>
  <si>
    <t>noOfChildOccupants</t>
  </si>
  <si>
    <t>Number of Child Occupants (under 18)</t>
  </si>
  <si>
    <t>Tenancy Address</t>
  </si>
  <si>
    <t>houseNumber</t>
  </si>
  <si>
    <t xml:space="preserve">The number of the property </t>
  </si>
  <si>
    <t>houseName</t>
  </si>
  <si>
    <t>The name of the property</t>
  </si>
  <si>
    <t>addressLine1</t>
  </si>
  <si>
    <t>The first line of the property address</t>
  </si>
  <si>
    <t>addressLine2</t>
  </si>
  <si>
    <t>The second line of the property address</t>
  </si>
  <si>
    <t>town</t>
  </si>
  <si>
    <t>The town in which the property exists</t>
  </si>
  <si>
    <t>postcode</t>
  </si>
  <si>
    <t>the postcode of the property</t>
  </si>
  <si>
    <t>ukCountryCode</t>
  </si>
  <si>
    <t>enum - UK Country List</t>
  </si>
  <si>
    <t xml:space="preserve">The UK country Code </t>
  </si>
  <si>
    <t>Applicant Data (Tenant / Guarantor)</t>
  </si>
  <si>
    <t>Tenant Name and Contact Data</t>
  </si>
  <si>
    <t>ApplicantStatus</t>
  </si>
  <si>
    <t>OutcomeStatus</t>
  </si>
  <si>
    <t>tenantTypeId</t>
  </si>
  <si>
    <t>enum - Tenant Type</t>
  </si>
  <si>
    <t>The Type of the Tenant, e.g. lead or Guarantor</t>
  </si>
  <si>
    <t>referenceType</t>
  </si>
  <si>
    <t>enum - Reference Type</t>
  </si>
  <si>
    <t>Valid Values 1-2 (See enum definition)</t>
  </si>
  <si>
    <t>The Type of reference, e.g Full or Express</t>
  </si>
  <si>
    <t>rightToRent</t>
  </si>
  <si>
    <t>boolean</t>
  </si>
  <si>
    <t>title</t>
  </si>
  <si>
    <t>enum - Title</t>
  </si>
  <si>
    <t>Valid Values 1-7 (See enum definition)</t>
  </si>
  <si>
    <t>The persons title, e.g. Mr, Mrs, etc.</t>
  </si>
  <si>
    <t>otherTitle</t>
  </si>
  <si>
    <t>If other is chosen for title, this is a text field to enter the specific title</t>
  </si>
  <si>
    <t>firstName</t>
  </si>
  <si>
    <t>pattern: ^[a-zA-Z0-9\-' ]*$</t>
  </si>
  <si>
    <t>First name, validated against the RegEx pattern</t>
  </si>
  <si>
    <t>middleName</t>
  </si>
  <si>
    <t>Middle name, validated against the RegEx pattern</t>
  </si>
  <si>
    <t>surname</t>
  </si>
  <si>
    <t>Surname name, validated against the RegEx pattern</t>
  </si>
  <si>
    <t>shareOfRent</t>
  </si>
  <si>
    <t>pattern: ^\d*.\d{0,2}$</t>
  </si>
  <si>
    <t>GBP value of the applicants share of the rent</t>
  </si>
  <si>
    <t>dateOfBirth</t>
  </si>
  <si>
    <t>The date of birth, formatted DD-MM-YYYY</t>
  </si>
  <si>
    <t>companyName</t>
  </si>
  <si>
    <t>Name of the company</t>
  </si>
  <si>
    <t>companyRegistrationNumber</t>
  </si>
  <si>
    <t>Registration number of the company</t>
  </si>
  <si>
    <t>incorporationDate</t>
  </si>
  <si>
    <t>Incorperation date of the company, formatted DD-MM-YYYY</t>
  </si>
  <si>
    <t>telephoneCountryID</t>
  </si>
  <si>
    <t>enum -Country/Location Code</t>
  </si>
  <si>
    <t>Valid Values 1-239 (See enum definition)</t>
  </si>
  <si>
    <t>The country/location code of the phone number</t>
  </si>
  <si>
    <t>contactTelephoneNo</t>
  </si>
  <si>
    <t>pattern: ^(\d{11})$</t>
  </si>
  <si>
    <t xml:space="preserve">The telephone number </t>
  </si>
  <si>
    <t>emailAddress</t>
  </si>
  <si>
    <t>string ($email)</t>
  </si>
  <si>
    <t>pattern: ^(?!.*\.\.)(?!.*\\_\\_)(?!.*\-\-)[a-zA-Z0-9][-a-zA-Z0-9._]+[a-zA-Z0-9]@([-a-zA-Z0-9]+.)+[a-zA-Z]{2,5}$</t>
  </si>
  <si>
    <t>The email address</t>
  </si>
  <si>
    <t>mobileCountryId</t>
  </si>
  <si>
    <t>The country/location code of the mobile phone number</t>
  </si>
  <si>
    <t>mobileNumber</t>
  </si>
  <si>
    <t>The mobile phone number</t>
  </si>
  <si>
    <t>companyPositionId</t>
  </si>
  <si>
    <t>enum - Company Position</t>
  </si>
  <si>
    <t>The position / role at the company</t>
  </si>
  <si>
    <t>position</t>
  </si>
  <si>
    <t>If Other is chosen for position, this is a text field to enter the specific position</t>
  </si>
  <si>
    <t>isCompanyEmployee</t>
  </si>
  <si>
    <t>Is a company employee</t>
  </si>
  <si>
    <t>nationality</t>
  </si>
  <si>
    <t>enum - Nationality</t>
  </si>
  <si>
    <t>Valid Values 1-231 (See enum definition)</t>
  </si>
  <si>
    <t>The nationality, from the nationality enum list</t>
  </si>
  <si>
    <t>niNumber</t>
  </si>
  <si>
    <t>pattern: ^[a-zA-Z]{2}(?:\d){6}[a-zA-Z]{1}$</t>
  </si>
  <si>
    <t>NI Number, matched to RegEx pattern</t>
  </si>
  <si>
    <t>residentStatus</t>
  </si>
  <si>
    <t xml:space="preserve">enum - resident Status	</t>
  </si>
  <si>
    <t>Denotes the resident status e.g. UK resident</t>
  </si>
  <si>
    <t>additionalInformation</t>
  </si>
  <si>
    <t>Free text field for additional information</t>
  </si>
  <si>
    <t>isAdvanceRent</t>
  </si>
  <si>
    <t>Denotes whether rent is paid in advance</t>
  </si>
  <si>
    <t>Alias Data</t>
  </si>
  <si>
    <t>lastName</t>
  </si>
  <si>
    <t>nameChangeDate</t>
  </si>
  <si>
    <t>Date the name was changed, formatted DD/MM/YYYY</t>
  </si>
  <si>
    <t>Tenant Address Data</t>
  </si>
  <si>
    <t>country</t>
  </si>
  <si>
    <t>The Country code from the enum list, e.g. France</t>
  </si>
  <si>
    <t>isUKAddress</t>
  </si>
  <si>
    <t>Denotes if the address is in the UK</t>
  </si>
  <si>
    <t>addressTypeId</t>
  </si>
  <si>
    <t>enum - address Type</t>
  </si>
  <si>
    <t>Whether the address is current or previous, chosen from enum list</t>
  </si>
  <si>
    <t>monthMovedIn</t>
  </si>
  <si>
    <t>enum - month</t>
  </si>
  <si>
    <t>Valid Values 1-12 (Jan - Dec)</t>
  </si>
  <si>
    <t>Month the property was moved into, chosen from enum list</t>
  </si>
  <si>
    <t>yearMovedIn</t>
  </si>
  <si>
    <t>Valid Values 1900 - Current Year</t>
  </si>
  <si>
    <t>Year the property was moved into, formatted YYYY</t>
  </si>
  <si>
    <t>Tenant Residential Data</t>
  </si>
  <si>
    <t>currentResidentialStatus</t>
  </si>
  <si>
    <t>enum - residentStatus</t>
  </si>
  <si>
    <t>The current residential status, e.g. UK Resident</t>
  </si>
  <si>
    <t>currentRentAmount</t>
  </si>
  <si>
    <t>The current rent amount in GBP</t>
  </si>
  <si>
    <t>landlordName</t>
  </si>
  <si>
    <t>Full name of the Landlord</t>
  </si>
  <si>
    <t>landlordContactCountryId</t>
  </si>
  <si>
    <t>The country/location code of the landlord contact phone number</t>
  </si>
  <si>
    <t>landlordContactNumber</t>
  </si>
  <si>
    <t>The Landlords contact Telephone number</t>
  </si>
  <si>
    <t>landlordMobileCountryId</t>
  </si>
  <si>
    <t>The country/location code of the landlord mobile phone number</t>
  </si>
  <si>
    <t>landlordMobileNumber</t>
  </si>
  <si>
    <t>the landlords mobile Telephone number</t>
  </si>
  <si>
    <t>landlordEmail</t>
  </si>
  <si>
    <t>The landlords email address</t>
  </si>
  <si>
    <t>House Number</t>
  </si>
  <si>
    <t>House Name</t>
  </si>
  <si>
    <t>Adverse Data</t>
  </si>
  <si>
    <t>submittedisAdverseCredit</t>
  </si>
  <si>
    <t>Boolean for is adverse credit</t>
  </si>
  <si>
    <t>submittedisCCJ</t>
  </si>
  <si>
    <t>Boolean for is County court judgment</t>
  </si>
  <si>
    <t>submittedisBankruptcy</t>
  </si>
  <si>
    <t>Boolean for is bankruptcy</t>
  </si>
  <si>
    <t>SubmittedisInsolvency</t>
  </si>
  <si>
    <t>Boolean for is Insolvency</t>
  </si>
  <si>
    <t>submittedisOtherAdverseCredit</t>
  </si>
  <si>
    <t>Boolean for is other Adverse credit</t>
  </si>
  <si>
    <t>submittedOtherAdverseCreditDesc</t>
  </si>
  <si>
    <t>If submittedisOtherAdverseCredit is True, the free text field for adverse credit</t>
  </si>
  <si>
    <t>Applicant Income Data (Tenant / Guarantor)</t>
  </si>
  <si>
    <t>Income Type</t>
  </si>
  <si>
    <t>incomeTypeID</t>
  </si>
  <si>
    <t>enum - Income Type</t>
  </si>
  <si>
    <t>Valid Values 1,2,3,5,6,7,8 (See enum definition)</t>
  </si>
  <si>
    <t>The Income Type, e.g savings or employed</t>
  </si>
  <si>
    <t>incomeTermID</t>
  </si>
  <si>
    <t>enum - Income Term</t>
  </si>
  <si>
    <t>Income term, e.g monthly or weekly</t>
  </si>
  <si>
    <t>Employed</t>
  </si>
  <si>
    <t>countryOfEmployment</t>
  </si>
  <si>
    <t>The Country of employment, from the enum list, e.g. France</t>
  </si>
  <si>
    <t>employersName</t>
  </si>
  <si>
    <t>Name of the company the person is employed by</t>
  </si>
  <si>
    <t>jobTitle</t>
  </si>
  <si>
    <t>pattern: ^[A-Za-z ']+$</t>
  </si>
  <si>
    <t>Job title at the company the person is employed by</t>
  </si>
  <si>
    <t>startDateofEmployment</t>
  </si>
  <si>
    <t xml:space="preserve"> DD/MM/YYYY</t>
  </si>
  <si>
    <t>Start date of employment, formatted DD/MM/YYYY</t>
  </si>
  <si>
    <t>employmentGrossAnnualIncome</t>
  </si>
  <si>
    <t>Gross annual income in GBP</t>
  </si>
  <si>
    <t>employmentBonuses</t>
  </si>
  <si>
    <t>Denotes if bonuses are recieved from the company the person is employed by</t>
  </si>
  <si>
    <t>employmentOvertimeReceived</t>
  </si>
  <si>
    <t>Denotes if overtime is recieved from the company the person is employed by</t>
  </si>
  <si>
    <t>employmentBonusTerm</t>
  </si>
  <si>
    <t>employmentAvgBonusIncome</t>
  </si>
  <si>
    <t>Average bonus income in GBP</t>
  </si>
  <si>
    <t>employmentOvertimeTerm</t>
  </si>
  <si>
    <t>employmentOvertimeAvgIncome</t>
  </si>
  <si>
    <t>Average overtime income in GBP</t>
  </si>
  <si>
    <t>employmentEmployeeNumber</t>
  </si>
  <si>
    <t>Employee number from the company the person is employed by</t>
  </si>
  <si>
    <t>paymentScheduleId</t>
  </si>
  <si>
    <t xml:space="preserve">The schedule of the payments </t>
  </si>
  <si>
    <t>employmentRefereeName</t>
  </si>
  <si>
    <t>The fulll name of the employment referee</t>
  </si>
  <si>
    <t>employmentRefereeContactCountryID</t>
  </si>
  <si>
    <t>The country/location code of the employment referee contact phone number</t>
  </si>
  <si>
    <t>employmentRefereeContactNumber</t>
  </si>
  <si>
    <t>The emplyment referee contact phone number</t>
  </si>
  <si>
    <t>employmentRefereeMobileCountryID</t>
  </si>
  <si>
    <t>The country/location code of the employment referee mobile phone number</t>
  </si>
  <si>
    <t>employmentRefereeMobileNumber</t>
  </si>
  <si>
    <t>The employment referee mobile phone number</t>
  </si>
  <si>
    <t>employmentRefereeEmail</t>
  </si>
  <si>
    <t>The email address of the referee</t>
  </si>
  <si>
    <t>employmentRefereePosition</t>
  </si>
  <si>
    <t>The position of the employment referee in the company</t>
  </si>
  <si>
    <t>city</t>
  </si>
  <si>
    <t>postCode</t>
  </si>
  <si>
    <t>employmentTypeId</t>
  </si>
  <si>
    <t xml:space="preserve">enum - employmentTypeId	</t>
  </si>
  <si>
    <t>Employment Type from the enum lists, e.g. permenant full time</t>
  </si>
  <si>
    <t>employmentZeroHourContract</t>
  </si>
  <si>
    <t>Denotes if emplyed on a zero hour contract</t>
  </si>
  <si>
    <t>Self Employed</t>
  </si>
  <si>
    <t>tradingTypeId</t>
  </si>
  <si>
    <t>enum - tradingTypeId</t>
  </si>
  <si>
    <t>Valid Values  (See enum definition)</t>
  </si>
  <si>
    <t>The trading type of the self employed person</t>
  </si>
  <si>
    <t>startDateOfSelfEmployment</t>
  </si>
  <si>
    <t>Start date of self employment, formatted DD/MM/YYYY</t>
  </si>
  <si>
    <t>selfEmployedAnnualIncome</t>
  </si>
  <si>
    <t>The self employed annual income in GBP</t>
  </si>
  <si>
    <t>taxReturnSubmitted</t>
  </si>
  <si>
    <t>Denotes whether a tax return is submitted</t>
  </si>
  <si>
    <t>doesApplicantUseAccountant</t>
  </si>
  <si>
    <t>Denotes whether an accountacy firm is used</t>
  </si>
  <si>
    <t>accountantCompanyName</t>
  </si>
  <si>
    <t>The name of the accountancy company</t>
  </si>
  <si>
    <t>accountantContactName</t>
  </si>
  <si>
    <t>The Fulll name of the accountant company's contact</t>
  </si>
  <si>
    <t>accountantContactNoCountryId</t>
  </si>
  <si>
    <t>The country/location code of the Accountant contact phone number</t>
  </si>
  <si>
    <t>accountantContactNumber</t>
  </si>
  <si>
    <t>The Accountant contact phone number</t>
  </si>
  <si>
    <t>accountantMobileNoCountryId</t>
  </si>
  <si>
    <t>The country/location code of the Accountant mobile phone number</t>
  </si>
  <si>
    <t>accountantMobileNumber</t>
  </si>
  <si>
    <t>The Accountant mobile phone number</t>
  </si>
  <si>
    <t>accountantEmailAddress</t>
  </si>
  <si>
    <t>The Accountant email address</t>
  </si>
  <si>
    <t>accountantContactPosition</t>
  </si>
  <si>
    <t>The account contact's position in the company</t>
  </si>
  <si>
    <t>Pension</t>
  </si>
  <si>
    <t>pensionProvider</t>
  </si>
  <si>
    <t>Name of Pension Provider</t>
  </si>
  <si>
    <t>netMonthlyIncome</t>
  </si>
  <si>
    <t>number ($double)</t>
  </si>
  <si>
    <t>Amount of Net monthly income in GBP</t>
  </si>
  <si>
    <t>startDateOfPension</t>
  </si>
  <si>
    <t>Start date of pension, formated DD/MM/YYYY</t>
  </si>
  <si>
    <t>Investment</t>
  </si>
  <si>
    <t>investmentSchemeOrCompany</t>
  </si>
  <si>
    <t>Name of the investment scheme or company</t>
  </si>
  <si>
    <t>investmentAmount</t>
  </si>
  <si>
    <t>Amount of investment in GBP</t>
  </si>
  <si>
    <t>Savings</t>
  </si>
  <si>
    <t>Savings Amount</t>
  </si>
  <si>
    <t>Amount of savings in GBP</t>
  </si>
  <si>
    <t>Unemployed</t>
  </si>
  <si>
    <t>applicantBenefitsReceived</t>
  </si>
  <si>
    <t>Denotes if benefits are recieved</t>
  </si>
  <si>
    <t>taxCredit</t>
  </si>
  <si>
    <t>Denotes if is tax credit</t>
  </si>
  <si>
    <t>taxCreditTerm</t>
  </si>
  <si>
    <t>taxCreditAmount</t>
  </si>
  <si>
    <t>Amount of tax credit in GBP</t>
  </si>
  <si>
    <t>carerAllowance</t>
  </si>
  <si>
    <t>Denotes if carer allowance is received</t>
  </si>
  <si>
    <t>carerAllowanceTerm</t>
  </si>
  <si>
    <t>carerAllowanceAmount</t>
  </si>
  <si>
    <t>Amount of carer allowance in GBP</t>
  </si>
  <si>
    <t>childBenefit</t>
  </si>
  <si>
    <t>Denotes if child benfit is received</t>
  </si>
  <si>
    <t>childBenefitTerm</t>
  </si>
  <si>
    <t>childBenefitAmount</t>
  </si>
  <si>
    <t>Amount of child benefit in GBP</t>
  </si>
  <si>
    <t>disabilityBenefit</t>
  </si>
  <si>
    <t>Denotes if disablity Benefit is Recieved</t>
  </si>
  <si>
    <t>disabilityBenefitTerm</t>
  </si>
  <si>
    <t>disabilityBenefitAmount</t>
  </si>
  <si>
    <t>Amount of disablity benefit in GBP</t>
  </si>
  <si>
    <t>fosterAllowance</t>
  </si>
  <si>
    <t>Denotes if foster allowance is recieved</t>
  </si>
  <si>
    <t>fosterAllowanceTerm</t>
  </si>
  <si>
    <t>fosterAllowanceAmount</t>
  </si>
  <si>
    <t>Amount of foster allowance in GBP</t>
  </si>
  <si>
    <t>guardianAllowance</t>
  </si>
  <si>
    <t>Denotes if guardian allowance is recieved</t>
  </si>
  <si>
    <t>guardianAllowanceTerm</t>
  </si>
  <si>
    <t>guardianAllowanceAmount</t>
  </si>
  <si>
    <t>Amount of Guardian Allowance in GBP</t>
  </si>
  <si>
    <t>childMaintenance</t>
  </si>
  <si>
    <t>Denotes if Child maintenance is received</t>
  </si>
  <si>
    <t>childMaintenanceTerm</t>
  </si>
  <si>
    <t>childMaintenanceAmount</t>
  </si>
  <si>
    <t>Amount of child maintenance in GBP</t>
  </si>
  <si>
    <t>housingBenefit</t>
  </si>
  <si>
    <t>Denotes if shousing benefit is received</t>
  </si>
  <si>
    <t>housingBenefitTerm</t>
  </si>
  <si>
    <t>housingBenefitAmount</t>
  </si>
  <si>
    <t>Amount of housing benefit in GBP</t>
  </si>
  <si>
    <t>employmentSupport</t>
  </si>
  <si>
    <t>Denotes if employment support is received</t>
  </si>
  <si>
    <t>employmentSupportTerm</t>
  </si>
  <si>
    <t>employmentSupportAmount</t>
  </si>
  <si>
    <t>Amount of employment support amount in GBP</t>
  </si>
  <si>
    <t>universalCredit</t>
  </si>
  <si>
    <t>Denotes if universal is received</t>
  </si>
  <si>
    <t>universalCreditTerm</t>
  </si>
  <si>
    <t>universalCreditAmount</t>
  </si>
  <si>
    <t>Amount of universal credit in GBP</t>
  </si>
  <si>
    <t>Applicant Bank Data (Tenant / Guarantor)</t>
  </si>
  <si>
    <t>Bank Details</t>
  </si>
  <si>
    <t>bankName</t>
  </si>
  <si>
    <t>Name of the bank/building society</t>
  </si>
  <si>
    <t>bankAccountHolderName</t>
  </si>
  <si>
    <t>Name of the account holder for the bank/building society</t>
  </si>
  <si>
    <t>bankSortCode</t>
  </si>
  <si>
    <t>Sort code of the bank/building society account</t>
  </si>
  <si>
    <t>bankAccountNumber</t>
  </si>
  <si>
    <t>Account Number of the bank/building society account</t>
  </si>
  <si>
    <t>Additional Fields</t>
  </si>
  <si>
    <t>notes</t>
  </si>
  <si>
    <t>Free text notes field</t>
  </si>
  <si>
    <t>applicantIds</t>
  </si>
  <si>
    <t>fileStream</t>
  </si>
  <si>
    <t>string - binary</t>
  </si>
  <si>
    <t xml:space="preserve">binary encoded filestream </t>
  </si>
  <si>
    <t>documentTypeId</t>
  </si>
  <si>
    <t>enum - Document Type</t>
  </si>
  <si>
    <t xml:space="preserve">Reference Document Type </t>
  </si>
  <si>
    <t>submittedAdverseCredit</t>
  </si>
  <si>
    <t>Adverse credit confirmation</t>
  </si>
  <si>
    <t>x</t>
  </si>
  <si>
    <t>submittedCCJ</t>
  </si>
  <si>
    <t>Submitted CCJ confirmation</t>
  </si>
  <si>
    <t>submittedBankruptcy</t>
  </si>
  <si>
    <t>Submitted Bankruptcy confirmation</t>
  </si>
  <si>
    <t>isInsolvency</t>
  </si>
  <si>
    <t>Is Insolvancy</t>
  </si>
  <si>
    <t>submittedOtherAdverseCredit</t>
  </si>
  <si>
    <t>Submitted addtional adverse credit</t>
  </si>
  <si>
    <t>Description of addtional adverse credit</t>
  </si>
  <si>
    <t>savingsAmount</t>
  </si>
  <si>
    <t>The amount of savings in GBP, to the nearest whole number</t>
  </si>
  <si>
    <t>propertyTenancyId</t>
  </si>
  <si>
    <t>The ID of the property tenancy</t>
  </si>
  <si>
    <t>isSentTenantLink</t>
  </si>
  <si>
    <t>linkedApplicantID</t>
  </si>
  <si>
    <t>scope</t>
  </si>
  <si>
    <t>string - constant</t>
  </si>
  <si>
    <t>Scope of the API Authentication, must always be: "standardapiaccess"</t>
  </si>
  <si>
    <t>client_id</t>
  </si>
  <si>
    <t>Client ID Authentication credentials provided to you on customer setup</t>
  </si>
  <si>
    <t>client_secret</t>
  </si>
  <si>
    <t>Client Secret Authentication credentials provided to you on customer setup</t>
  </si>
  <si>
    <t>Employment Conditional Mandatory - if IncomeType =</t>
  </si>
  <si>
    <t>1. Employed</t>
  </si>
  <si>
    <t>2. Self Employed</t>
  </si>
  <si>
    <t>3. Pension</t>
  </si>
  <si>
    <t>4. Investment</t>
  </si>
  <si>
    <t>5. Savings</t>
  </si>
  <si>
    <t>6. Unemployed</t>
  </si>
  <si>
    <t>Enum Field</t>
  </si>
  <si>
    <t>RentGuarantee</t>
  </si>
  <si>
    <t>Description</t>
  </si>
  <si>
    <t>Rent guarantee is a product option in Vision+ that provides a guaranteed payment of rent. The options for the rent guarantee are in the table</t>
  </si>
  <si>
    <t>Value ID</t>
  </si>
  <si>
    <t>Value Name</t>
  </si>
  <si>
    <t>Value Description</t>
  </si>
  <si>
    <t>Yes, Annual</t>
  </si>
  <si>
    <t>Yes, Monthly</t>
  </si>
  <si>
    <t>Tenant Evict Only</t>
  </si>
  <si>
    <t>No</t>
  </si>
  <si>
    <t>Title</t>
  </si>
  <si>
    <t>This is the name prefix for the tenant. If Other is chosen, a free text field is required to be filled in</t>
  </si>
  <si>
    <t>Mr</t>
  </si>
  <si>
    <t>Mrs</t>
  </si>
  <si>
    <t>Miss</t>
  </si>
  <si>
    <t>Dr</t>
  </si>
  <si>
    <t>Ms</t>
  </si>
  <si>
    <t>Other</t>
  </si>
  <si>
    <t>Free text field become mandatory</t>
  </si>
  <si>
    <t>Mx</t>
  </si>
  <si>
    <t>PropertyConstructionPeriod</t>
  </si>
  <si>
    <t>This is a range of years denoting the period in which the property was built</t>
  </si>
  <si>
    <t>Pre 1850</t>
  </si>
  <si>
    <t>1850 – 1899</t>
  </si>
  <si>
    <t>1900 – 1919</t>
  </si>
  <si>
    <t>1920 – 1945</t>
  </si>
  <si>
    <t>1946 – 1979</t>
  </si>
  <si>
    <t>1980 – 1990</t>
  </si>
  <si>
    <t>1991 – 2000</t>
  </si>
  <si>
    <t>2001 – 2010</t>
  </si>
  <si>
    <t>2011 +</t>
  </si>
  <si>
    <t>Other name that the tenant has been known by</t>
  </si>
  <si>
    <t>Other Name</t>
  </si>
  <si>
    <t>Another Name</t>
  </si>
  <si>
    <t>The standard month options</t>
  </si>
  <si>
    <t>January</t>
  </si>
  <si>
    <t>February</t>
  </si>
  <si>
    <t>March</t>
  </si>
  <si>
    <t>April</t>
  </si>
  <si>
    <t>May</t>
  </si>
  <si>
    <t>June</t>
  </si>
  <si>
    <t>July</t>
  </si>
  <si>
    <t>August</t>
  </si>
  <si>
    <t>September</t>
  </si>
  <si>
    <t>October</t>
  </si>
  <si>
    <t>November</t>
  </si>
  <si>
    <t>December</t>
  </si>
  <si>
    <t xml:space="preserve">TermType </t>
  </si>
  <si>
    <t>Daily</t>
  </si>
  <si>
    <t>Weekly</t>
  </si>
  <si>
    <t>Two Weekly</t>
  </si>
  <si>
    <t>Four Weekly</t>
  </si>
  <si>
    <t xml:space="preserve">Monthly </t>
  </si>
  <si>
    <t>Quarterly</t>
  </si>
  <si>
    <t>Annually</t>
  </si>
  <si>
    <t>Payment schedule details the period length of term for payment schedule</t>
  </si>
  <si>
    <t>Monthly</t>
  </si>
  <si>
    <t>Yearly</t>
  </si>
  <si>
    <t xml:space="preserve">The type of property let </t>
  </si>
  <si>
    <t xml:space="preserve">Let Only </t>
  </si>
  <si>
    <t xml:space="preserve">Fully Managed </t>
  </si>
  <si>
    <t xml:space="preserve">Rent Collect </t>
  </si>
  <si>
    <t>The type of tenant</t>
  </si>
  <si>
    <t>LeadTenant</t>
  </si>
  <si>
    <t>Tenant</t>
  </si>
  <si>
    <t>Guarantor</t>
  </si>
  <si>
    <t>Tenant - Company</t>
  </si>
  <si>
    <t>The type of employment the tenant has</t>
  </si>
  <si>
    <t>Permanent-Full Time</t>
  </si>
  <si>
    <t>Permanent-Part Time</t>
  </si>
  <si>
    <t>Temporary-Full Time</t>
  </si>
  <si>
    <t>Temporary -Part Time</t>
  </si>
  <si>
    <t>The trading type of the tenants company</t>
  </si>
  <si>
    <t>The type of tenant reference available to the agent.</t>
  </si>
  <si>
    <t>Full Reference</t>
  </si>
  <si>
    <t>Express Reference</t>
  </si>
  <si>
    <t>Nonreference</t>
  </si>
  <si>
    <t xml:space="preserve">The residential statement of the tenant </t>
  </si>
  <si>
    <t>UK Resident</t>
  </si>
  <si>
    <t>Overseas</t>
  </si>
  <si>
    <t>The position of the tenant in the tenants company</t>
  </si>
  <si>
    <t>An Active Company Director</t>
  </si>
  <si>
    <t>Secretary</t>
  </si>
  <si>
    <t>Power of Attorney</t>
  </si>
  <si>
    <t xml:space="preserve">Address Type, whether current or previous </t>
  </si>
  <si>
    <t>Current</t>
  </si>
  <si>
    <t>Previous</t>
  </si>
  <si>
    <t>The type of income the tenant has</t>
  </si>
  <si>
    <t>Student</t>
  </si>
  <si>
    <t>Investments</t>
  </si>
  <si>
    <t xml:space="preserve">The tenants income status </t>
  </si>
  <si>
    <t>Current Income</t>
  </si>
  <si>
    <t>Future Income</t>
  </si>
  <si>
    <t>Additional Income</t>
  </si>
  <si>
    <t>Secondary</t>
  </si>
  <si>
    <t>Submitted</t>
  </si>
  <si>
    <t>Graded</t>
  </si>
  <si>
    <t>Removed</t>
  </si>
  <si>
    <t>The various types of document that the API will allow to be uploaded for supporting the tenant referencing journey.</t>
  </si>
  <si>
    <t>Driving license</t>
  </si>
  <si>
    <t>Utility bill</t>
  </si>
  <si>
    <t>Council Tax bill</t>
  </si>
  <si>
    <t>Home service provider bill</t>
  </si>
  <si>
    <t>TV license</t>
  </si>
  <si>
    <t>Home insurance policy schedule</t>
  </si>
  <si>
    <t>Mortgage statement</t>
  </si>
  <si>
    <t>Tenancy agreement</t>
  </si>
  <si>
    <t>Letter from the employer</t>
  </si>
  <si>
    <t>Local housing allowance or housing benefit</t>
  </si>
  <si>
    <t>Bank or credit card statement</t>
  </si>
  <si>
    <t>Tenancy Agreement</t>
  </si>
  <si>
    <t>Proof of Payment 1</t>
  </si>
  <si>
    <t>Proof of Payment 2</t>
  </si>
  <si>
    <t>Proof of Payment 3</t>
  </si>
  <si>
    <t>Proof of Payment 4</t>
  </si>
  <si>
    <t>Proof of Payment 5</t>
  </si>
  <si>
    <t>Proof of Payment 6</t>
  </si>
  <si>
    <t>Payslip 1</t>
  </si>
  <si>
    <t>Payslip 2</t>
  </si>
  <si>
    <t>Payslip 3</t>
  </si>
  <si>
    <t>Bank Statement 1</t>
  </si>
  <si>
    <t>Bank Statement 2</t>
  </si>
  <si>
    <t>Bank Statement 3</t>
  </si>
  <si>
    <t>Bank Statement 4</t>
  </si>
  <si>
    <t>Bank Statement 5</t>
  </si>
  <si>
    <t>Bank Statement 6</t>
  </si>
  <si>
    <t>HMRC SA100</t>
  </si>
  <si>
    <t>SA 302</t>
  </si>
  <si>
    <t>Month Bank Statement 1</t>
  </si>
  <si>
    <t>Month Bank Statement 2</t>
  </si>
  <si>
    <t>Month Bank Statement 3</t>
  </si>
  <si>
    <t>P60</t>
  </si>
  <si>
    <t>Pension Statement</t>
  </si>
  <si>
    <t>Bank Statement</t>
  </si>
  <si>
    <t>Savings Statement</t>
  </si>
  <si>
    <t>Last Bank Statement</t>
  </si>
  <si>
    <t>Investments Portfolio</t>
  </si>
  <si>
    <t>Bonds</t>
  </si>
  <si>
    <t>Tax Return</t>
  </si>
  <si>
    <t>Additional</t>
  </si>
  <si>
    <t>Final Report</t>
  </si>
  <si>
    <t>Application Form</t>
  </si>
  <si>
    <t>Interim Report</t>
  </si>
  <si>
    <t>Consent</t>
  </si>
  <si>
    <t>Current drivers license</t>
  </si>
  <si>
    <t>Birth certificate</t>
  </si>
  <si>
    <t>Adoption certificate</t>
  </si>
  <si>
    <t>Benefits document/screenshot from within the last 3 months</t>
  </si>
  <si>
    <t>Disclose and Barring Certificate from within the last 3 months</t>
  </si>
  <si>
    <t>A letter of attestation from your employer/education institution/a professional person</t>
  </si>
  <si>
    <t>Front of residence permit</t>
  </si>
  <si>
    <t>Back of residence permit</t>
  </si>
  <si>
    <t>Passport</t>
  </si>
  <si>
    <t>Travel document</t>
  </si>
  <si>
    <t>UK Country ID</t>
  </si>
  <si>
    <t>The UK country ID</t>
  </si>
  <si>
    <t>England</t>
  </si>
  <si>
    <t>Scotland</t>
  </si>
  <si>
    <t>Wales</t>
  </si>
  <si>
    <t>Northern Ireland</t>
  </si>
  <si>
    <t>Property Type</t>
  </si>
  <si>
    <t>The type of the property</t>
  </si>
  <si>
    <t>Detached</t>
  </si>
  <si>
    <t>Semi-Detached</t>
  </si>
  <si>
    <t>Flat</t>
  </si>
  <si>
    <t>Terraced</t>
  </si>
  <si>
    <t>Bungalow</t>
  </si>
  <si>
    <t>Other </t>
  </si>
  <si>
    <t>Country/Location Code</t>
  </si>
  <si>
    <t xml:space="preserve">Cyprus </t>
  </si>
  <si>
    <t xml:space="preserve">United Kingdom </t>
  </si>
  <si>
    <t xml:space="preserve">India </t>
  </si>
  <si>
    <t xml:space="preserve">USA </t>
  </si>
  <si>
    <t xml:space="preserve">Andorra </t>
  </si>
  <si>
    <t xml:space="preserve">United Arab Emirates </t>
  </si>
  <si>
    <t xml:space="preserve">Afghanistan </t>
  </si>
  <si>
    <t xml:space="preserve">Antigua and Barbuda </t>
  </si>
  <si>
    <t xml:space="preserve">Anguilla </t>
  </si>
  <si>
    <t xml:space="preserve">Albania </t>
  </si>
  <si>
    <t xml:space="preserve">Armenia </t>
  </si>
  <si>
    <t xml:space="preserve">Netherlands Antilles </t>
  </si>
  <si>
    <t xml:space="preserve">Angola </t>
  </si>
  <si>
    <t xml:space="preserve">Antarctica </t>
  </si>
  <si>
    <t xml:space="preserve">Argentina </t>
  </si>
  <si>
    <t xml:space="preserve">American Samoa </t>
  </si>
  <si>
    <t xml:space="preserve">Austria </t>
  </si>
  <si>
    <t xml:space="preserve">Australia </t>
  </si>
  <si>
    <t xml:space="preserve">Aruba </t>
  </si>
  <si>
    <t xml:space="preserve">Azerbaijan </t>
  </si>
  <si>
    <t xml:space="preserve">Bosnia and Herzegovina </t>
  </si>
  <si>
    <t xml:space="preserve">Barbados </t>
  </si>
  <si>
    <t xml:space="preserve">Bangladesh </t>
  </si>
  <si>
    <t xml:space="preserve">Belgium </t>
  </si>
  <si>
    <t xml:space="preserve">Burkina Faso </t>
  </si>
  <si>
    <t xml:space="preserve">Bulgaria </t>
  </si>
  <si>
    <t xml:space="preserve">Bahrain </t>
  </si>
  <si>
    <t xml:space="preserve">Burundi </t>
  </si>
  <si>
    <t xml:space="preserve">Benin </t>
  </si>
  <si>
    <t xml:space="preserve">Bermuda </t>
  </si>
  <si>
    <t xml:space="preserve">Brunei Darussalam </t>
  </si>
  <si>
    <t xml:space="preserve">Bolivia </t>
  </si>
  <si>
    <t xml:space="preserve">Brazil </t>
  </si>
  <si>
    <t xml:space="preserve">Bahamas </t>
  </si>
  <si>
    <t xml:space="preserve">Bhutan </t>
  </si>
  <si>
    <t xml:space="preserve">Bouvet Island </t>
  </si>
  <si>
    <t xml:space="preserve">Botswana </t>
  </si>
  <si>
    <t xml:space="preserve">Belarus </t>
  </si>
  <si>
    <t xml:space="preserve">Belize </t>
  </si>
  <si>
    <t xml:space="preserve">Canada </t>
  </si>
  <si>
    <t xml:space="preserve">Cocos Islands </t>
  </si>
  <si>
    <t xml:space="preserve">Central African Republic </t>
  </si>
  <si>
    <t xml:space="preserve">Congo </t>
  </si>
  <si>
    <t xml:space="preserve">Switzerland </t>
  </si>
  <si>
    <t xml:space="preserve">Cote Ivoire </t>
  </si>
  <si>
    <t xml:space="preserve">Cook Islands </t>
  </si>
  <si>
    <t xml:space="preserve">Chile </t>
  </si>
  <si>
    <t xml:space="preserve">Cameroon </t>
  </si>
  <si>
    <t xml:space="preserve">China </t>
  </si>
  <si>
    <t xml:space="preserve">Colombia </t>
  </si>
  <si>
    <t xml:space="preserve">Costa Rica </t>
  </si>
  <si>
    <t xml:space="preserve">Cuba </t>
  </si>
  <si>
    <t xml:space="preserve">Cape Verde </t>
  </si>
  <si>
    <t xml:space="preserve">Christmas Island </t>
  </si>
  <si>
    <t xml:space="preserve">Czech Republic </t>
  </si>
  <si>
    <t xml:space="preserve">Germany </t>
  </si>
  <si>
    <t xml:space="preserve">Djibouti </t>
  </si>
  <si>
    <t xml:space="preserve">Denmark </t>
  </si>
  <si>
    <t xml:space="preserve">Dominica </t>
  </si>
  <si>
    <t xml:space="preserve">Dominican Republic </t>
  </si>
  <si>
    <t xml:space="preserve">Algeria </t>
  </si>
  <si>
    <t xml:space="preserve">Ecuador </t>
  </si>
  <si>
    <t xml:space="preserve">Estonia </t>
  </si>
  <si>
    <t xml:space="preserve">Egypt </t>
  </si>
  <si>
    <t xml:space="preserve">Western Sahara </t>
  </si>
  <si>
    <t xml:space="preserve">Eritrea </t>
  </si>
  <si>
    <t xml:space="preserve">Spain </t>
  </si>
  <si>
    <t xml:space="preserve">Ethiopia </t>
  </si>
  <si>
    <t xml:space="preserve">Finland </t>
  </si>
  <si>
    <t xml:space="preserve">Fiji </t>
  </si>
  <si>
    <t xml:space="preserve">Falkland Islands Malvinas </t>
  </si>
  <si>
    <t xml:space="preserve">Micronesia Federated States </t>
  </si>
  <si>
    <t xml:space="preserve">Faro Islands </t>
  </si>
  <si>
    <t xml:space="preserve">France </t>
  </si>
  <si>
    <t xml:space="preserve">Gabon </t>
  </si>
  <si>
    <t xml:space="preserve">Grenada </t>
  </si>
  <si>
    <t xml:space="preserve">Georgia </t>
  </si>
  <si>
    <t xml:space="preserve">French Guiana </t>
  </si>
  <si>
    <t xml:space="preserve">Ghana </t>
  </si>
  <si>
    <t xml:space="preserve">Gibraltar </t>
  </si>
  <si>
    <t xml:space="preserve">Greenland </t>
  </si>
  <si>
    <t xml:space="preserve">Gambia </t>
  </si>
  <si>
    <t xml:space="preserve">Guinea </t>
  </si>
  <si>
    <t xml:space="preserve">Guadeloupe </t>
  </si>
  <si>
    <t xml:space="preserve">Equatorial Guinea </t>
  </si>
  <si>
    <t xml:space="preserve">Greece </t>
  </si>
  <si>
    <t xml:space="preserve">South Georgia </t>
  </si>
  <si>
    <t xml:space="preserve">Guatemala </t>
  </si>
  <si>
    <t xml:space="preserve">Guam </t>
  </si>
  <si>
    <t xml:space="preserve">Guinea Bissau </t>
  </si>
  <si>
    <t xml:space="preserve">Guyana </t>
  </si>
  <si>
    <t xml:space="preserve">Hong Kong </t>
  </si>
  <si>
    <t xml:space="preserve">Heard and McDonald Islands </t>
  </si>
  <si>
    <t xml:space="preserve">Honduras </t>
  </si>
  <si>
    <t xml:space="preserve">Croatia </t>
  </si>
  <si>
    <t xml:space="preserve">Haiti </t>
  </si>
  <si>
    <t xml:space="preserve">Hungary </t>
  </si>
  <si>
    <t xml:space="preserve">Indonesia </t>
  </si>
  <si>
    <t xml:space="preserve">Ireland </t>
  </si>
  <si>
    <t xml:space="preserve">Israel </t>
  </si>
  <si>
    <t xml:space="preserve">British Indian Ocean Territory </t>
  </si>
  <si>
    <t xml:space="preserve">Iraq </t>
  </si>
  <si>
    <t xml:space="preserve">Iran </t>
  </si>
  <si>
    <t xml:space="preserve">Iceland </t>
  </si>
  <si>
    <t xml:space="preserve">Italy </t>
  </si>
  <si>
    <t xml:space="preserve">Jamaica </t>
  </si>
  <si>
    <t xml:space="preserve">Jordan </t>
  </si>
  <si>
    <t xml:space="preserve">Japan </t>
  </si>
  <si>
    <t xml:space="preserve">Kenya </t>
  </si>
  <si>
    <t xml:space="preserve">Kyrgyzstan </t>
  </si>
  <si>
    <t xml:space="preserve">Cambodia </t>
  </si>
  <si>
    <t xml:space="preserve">Kiribati </t>
  </si>
  <si>
    <t xml:space="preserve">Comoros </t>
  </si>
  <si>
    <t xml:space="preserve">Saint Kitts and Nevis </t>
  </si>
  <si>
    <t xml:space="preserve">Korea Dem People’s Republic </t>
  </si>
  <si>
    <t xml:space="preserve">Korea Republic of </t>
  </si>
  <si>
    <t xml:space="preserve">Kuwait </t>
  </si>
  <si>
    <t xml:space="preserve">Cayman Islands </t>
  </si>
  <si>
    <t xml:space="preserve">Kazakhstan </t>
  </si>
  <si>
    <t xml:space="preserve">Lao Peoples Dem Republic </t>
  </si>
  <si>
    <t xml:space="preserve">Lebanon </t>
  </si>
  <si>
    <t xml:space="preserve">Saint Lucia </t>
  </si>
  <si>
    <t xml:space="preserve">Liechtenstein </t>
  </si>
  <si>
    <t xml:space="preserve">Sri Lanka </t>
  </si>
  <si>
    <t xml:space="preserve">Liberia </t>
  </si>
  <si>
    <t xml:space="preserve">Lesotho </t>
  </si>
  <si>
    <t xml:space="preserve">Lithuania </t>
  </si>
  <si>
    <t xml:space="preserve">Luxembourg </t>
  </si>
  <si>
    <t xml:space="preserve">Latvia </t>
  </si>
  <si>
    <t xml:space="preserve">Libyan Arab Jamahiriya </t>
  </si>
  <si>
    <t xml:space="preserve">Morocco </t>
  </si>
  <si>
    <t xml:space="preserve">Monaco </t>
  </si>
  <si>
    <t xml:space="preserve">Moldova Republic of </t>
  </si>
  <si>
    <t xml:space="preserve">Madagascar </t>
  </si>
  <si>
    <t xml:space="preserve">Marshall Islands </t>
  </si>
  <si>
    <t xml:space="preserve">Macedonia </t>
  </si>
  <si>
    <t xml:space="preserve">Mali </t>
  </si>
  <si>
    <t xml:space="preserve">Myanmar </t>
  </si>
  <si>
    <t xml:space="preserve">Mongolia </t>
  </si>
  <si>
    <t xml:space="preserve">Macau </t>
  </si>
  <si>
    <t xml:space="preserve">Northern Mariana Islands </t>
  </si>
  <si>
    <t xml:space="preserve">Martinique </t>
  </si>
  <si>
    <t xml:space="preserve">Mauritania </t>
  </si>
  <si>
    <t xml:space="preserve">Montserrat </t>
  </si>
  <si>
    <t xml:space="preserve">Malta </t>
  </si>
  <si>
    <t xml:space="preserve">Mauritius </t>
  </si>
  <si>
    <t xml:space="preserve">Maldives </t>
  </si>
  <si>
    <t xml:space="preserve">Malawi </t>
  </si>
  <si>
    <t xml:space="preserve">Mexico </t>
  </si>
  <si>
    <t xml:space="preserve">Malaysia </t>
  </si>
  <si>
    <t xml:space="preserve">Mozambique </t>
  </si>
  <si>
    <t xml:space="preserve">Namibia </t>
  </si>
  <si>
    <t xml:space="preserve">New Caledonia </t>
  </si>
  <si>
    <t xml:space="preserve">Niger </t>
  </si>
  <si>
    <t xml:space="preserve">Norfolk Island </t>
  </si>
  <si>
    <t xml:space="preserve">Nigeria </t>
  </si>
  <si>
    <t xml:space="preserve">Nicaragua </t>
  </si>
  <si>
    <t xml:space="preserve">Netherlands </t>
  </si>
  <si>
    <t xml:space="preserve">Norway </t>
  </si>
  <si>
    <t xml:space="preserve">Nepal </t>
  </si>
  <si>
    <t xml:space="preserve">Nauru </t>
  </si>
  <si>
    <t xml:space="preserve">Niue </t>
  </si>
  <si>
    <t xml:space="preserve">New Zealand </t>
  </si>
  <si>
    <t xml:space="preserve">Oman </t>
  </si>
  <si>
    <t xml:space="preserve">Panama </t>
  </si>
  <si>
    <t xml:space="preserve">Peru </t>
  </si>
  <si>
    <t xml:space="preserve">French Polynesia </t>
  </si>
  <si>
    <t xml:space="preserve">Papua New Guinea </t>
  </si>
  <si>
    <t xml:space="preserve">Philippines </t>
  </si>
  <si>
    <t xml:space="preserve">Pakistan </t>
  </si>
  <si>
    <t xml:space="preserve">Poland </t>
  </si>
  <si>
    <t xml:space="preserve">St Pierre And Miquelon </t>
  </si>
  <si>
    <t xml:space="preserve">Pitcairn </t>
  </si>
  <si>
    <t xml:space="preserve">Puerto Rico </t>
  </si>
  <si>
    <t xml:space="preserve">Portugal </t>
  </si>
  <si>
    <t xml:space="preserve">Palau </t>
  </si>
  <si>
    <t xml:space="preserve">Paraguay </t>
  </si>
  <si>
    <t xml:space="preserve">Qatar </t>
  </si>
  <si>
    <t xml:space="preserve">Reunion </t>
  </si>
  <si>
    <t xml:space="preserve">Romania </t>
  </si>
  <si>
    <t xml:space="preserve">Russian Federation </t>
  </si>
  <si>
    <t xml:space="preserve">Rwanda </t>
  </si>
  <si>
    <t xml:space="preserve">Saudi Arabia </t>
  </si>
  <si>
    <t xml:space="preserve">Solomon Islands </t>
  </si>
  <si>
    <t xml:space="preserve">Seychelles </t>
  </si>
  <si>
    <t xml:space="preserve">Sudan </t>
  </si>
  <si>
    <t xml:space="preserve">Sweden </t>
  </si>
  <si>
    <t xml:space="preserve">Singapore </t>
  </si>
  <si>
    <t xml:space="preserve">St Helena </t>
  </si>
  <si>
    <t xml:space="preserve">Slovenia </t>
  </si>
  <si>
    <t xml:space="preserve">Svalbard Jan Mayen Islands </t>
  </si>
  <si>
    <t xml:space="preserve">Sierra Leone </t>
  </si>
  <si>
    <t xml:space="preserve">San Marino </t>
  </si>
  <si>
    <t xml:space="preserve">Senegal </t>
  </si>
  <si>
    <t xml:space="preserve">Somalia </t>
  </si>
  <si>
    <t xml:space="preserve">Suriname </t>
  </si>
  <si>
    <t xml:space="preserve">Sao Tome and Principe </t>
  </si>
  <si>
    <t xml:space="preserve">El Salvador </t>
  </si>
  <si>
    <t xml:space="preserve">Syrian Arab Republic </t>
  </si>
  <si>
    <t xml:space="preserve">Swaziland </t>
  </si>
  <si>
    <t xml:space="preserve">Turks And Caicos Islands </t>
  </si>
  <si>
    <t xml:space="preserve">Chad </t>
  </si>
  <si>
    <t xml:space="preserve">French Southern Territories </t>
  </si>
  <si>
    <t xml:space="preserve">Togo </t>
  </si>
  <si>
    <t xml:space="preserve">Thailand </t>
  </si>
  <si>
    <t xml:space="preserve">Tajikistan </t>
  </si>
  <si>
    <t xml:space="preserve">Tokelau </t>
  </si>
  <si>
    <t xml:space="preserve">Turkmenistan </t>
  </si>
  <si>
    <t xml:space="preserve">Tunisia </t>
  </si>
  <si>
    <t xml:space="preserve">Tonga </t>
  </si>
  <si>
    <t xml:space="preserve">East Timor </t>
  </si>
  <si>
    <t xml:space="preserve">Turkey </t>
  </si>
  <si>
    <t xml:space="preserve">Trinidad and Tobago </t>
  </si>
  <si>
    <t xml:space="preserve">Tuvalu </t>
  </si>
  <si>
    <t xml:space="preserve">Taiwan </t>
  </si>
  <si>
    <t xml:space="preserve">Tanzania United Republic of </t>
  </si>
  <si>
    <t xml:space="preserve">Ukraine </t>
  </si>
  <si>
    <t xml:space="preserve">Uganda </t>
  </si>
  <si>
    <t xml:space="preserve">United States </t>
  </si>
  <si>
    <t xml:space="preserve">Uruguay </t>
  </si>
  <si>
    <t xml:space="preserve">Uzbekistan </t>
  </si>
  <si>
    <t xml:space="preserve">Saint Vincent The Grenadines </t>
  </si>
  <si>
    <t xml:space="preserve">Venezuela </t>
  </si>
  <si>
    <t xml:space="preserve">Vietnam </t>
  </si>
  <si>
    <t xml:space="preserve">Vanuatu </t>
  </si>
  <si>
    <t xml:space="preserve">Wallis And Futuna Islands </t>
  </si>
  <si>
    <t xml:space="preserve">Samoa </t>
  </si>
  <si>
    <t xml:space="preserve">Yemen </t>
  </si>
  <si>
    <t xml:space="preserve">Mayotte </t>
  </si>
  <si>
    <t xml:space="preserve">Yugoslavia </t>
  </si>
  <si>
    <t xml:space="preserve">South Africa </t>
  </si>
  <si>
    <t xml:space="preserve">Zambia </t>
  </si>
  <si>
    <t xml:space="preserve">Zaire </t>
  </si>
  <si>
    <t xml:space="preserve">Zimbabwe </t>
  </si>
  <si>
    <t>Afghan</t>
  </si>
  <si>
    <t>Albanian</t>
  </si>
  <si>
    <t>Algerian</t>
  </si>
  <si>
    <t>American</t>
  </si>
  <si>
    <t>Andorran</t>
  </si>
  <si>
    <t>Angolan</t>
  </si>
  <si>
    <t>Anguillan</t>
  </si>
  <si>
    <t>Citizen of Antigua and Barbuda</t>
  </si>
  <si>
    <t>Argentine</t>
  </si>
  <si>
    <t>Armenian</t>
  </si>
  <si>
    <t>Australian</t>
  </si>
  <si>
    <t>Austrian</t>
  </si>
  <si>
    <t>Azerbaijani</t>
  </si>
  <si>
    <t>Bahamian</t>
  </si>
  <si>
    <t>Bahraini</t>
  </si>
  <si>
    <t>Bangladeshi</t>
  </si>
  <si>
    <t>Barbadian</t>
  </si>
  <si>
    <t>Belarusian</t>
  </si>
  <si>
    <t>Belgian</t>
  </si>
  <si>
    <t>Belizean</t>
  </si>
  <si>
    <t>Beninese</t>
  </si>
  <si>
    <t>Bermudian</t>
  </si>
  <si>
    <t>Bhutanese</t>
  </si>
  <si>
    <t>Bolivian</t>
  </si>
  <si>
    <t>Citizen of Bosnia and Herzegovina</t>
  </si>
  <si>
    <t>Botswanan</t>
  </si>
  <si>
    <t>Brazilian</t>
  </si>
  <si>
    <t>British</t>
  </si>
  <si>
    <t>British Virgin Islander</t>
  </si>
  <si>
    <t>Bruneian</t>
  </si>
  <si>
    <t>Bulgarian</t>
  </si>
  <si>
    <t>Burkinan</t>
  </si>
  <si>
    <t>Burmese</t>
  </si>
  <si>
    <t>Burundian</t>
  </si>
  <si>
    <t>Cambodian</t>
  </si>
  <si>
    <t>Cameroonian</t>
  </si>
  <si>
    <t>Canadian</t>
  </si>
  <si>
    <t>Cape Verdean</t>
  </si>
  <si>
    <t>Cayman Islander</t>
  </si>
  <si>
    <t>Central African</t>
  </si>
  <si>
    <t>Chadian</t>
  </si>
  <si>
    <t>Chilean</t>
  </si>
  <si>
    <t>Chinese</t>
  </si>
  <si>
    <t>Colombian</t>
  </si>
  <si>
    <t>Comoran</t>
  </si>
  <si>
    <t>Congolese</t>
  </si>
  <si>
    <t>Cook Islander</t>
  </si>
  <si>
    <t>Costa Rican</t>
  </si>
  <si>
    <t>Croatian</t>
  </si>
  <si>
    <t>Cuban</t>
  </si>
  <si>
    <t>Cymraes</t>
  </si>
  <si>
    <t>Cymro</t>
  </si>
  <si>
    <t>Cypriot</t>
  </si>
  <si>
    <t>Czech</t>
  </si>
  <si>
    <t>Danish</t>
  </si>
  <si>
    <t>Djiboutian</t>
  </si>
  <si>
    <t>Dominican</t>
  </si>
  <si>
    <t>Citizen of the Dominican Republic</t>
  </si>
  <si>
    <t>Dutch</t>
  </si>
  <si>
    <t>East Timorese</t>
  </si>
  <si>
    <t>Ecuadorean</t>
  </si>
  <si>
    <t>Egyptian</t>
  </si>
  <si>
    <t>Emirati</t>
  </si>
  <si>
    <t>English</t>
  </si>
  <si>
    <t>Equatorial Guinean</t>
  </si>
  <si>
    <t>Eritrean</t>
  </si>
  <si>
    <t>Estonian</t>
  </si>
  <si>
    <t>Ethiopian</t>
  </si>
  <si>
    <t>Faroese</t>
  </si>
  <si>
    <t>Fijian</t>
  </si>
  <si>
    <t>Filipino</t>
  </si>
  <si>
    <t>French</t>
  </si>
  <si>
    <t>Gabonese</t>
  </si>
  <si>
    <t>Gambian</t>
  </si>
  <si>
    <t>Georgian</t>
  </si>
  <si>
    <t>German</t>
  </si>
  <si>
    <t>Ghanaian</t>
  </si>
  <si>
    <t>Gibraltarian</t>
  </si>
  <si>
    <t>Greek</t>
  </si>
  <si>
    <t>Greenlandic</t>
  </si>
  <si>
    <t>Grenadian</t>
  </si>
  <si>
    <t>Guamanian</t>
  </si>
  <si>
    <t>Guatemalan</t>
  </si>
  <si>
    <t>Citizen of Guinea-Bissau</t>
  </si>
  <si>
    <t>Guinean</t>
  </si>
  <si>
    <t>Guyanese</t>
  </si>
  <si>
    <t>Haitian</t>
  </si>
  <si>
    <t>Honduran</t>
  </si>
  <si>
    <t>Hong Konger</t>
  </si>
  <si>
    <t>Hungarian</t>
  </si>
  <si>
    <t>Icelandic</t>
  </si>
  <si>
    <t>Indian</t>
  </si>
  <si>
    <t>Indonesian</t>
  </si>
  <si>
    <t>Iranian</t>
  </si>
  <si>
    <t>Iraqi</t>
  </si>
  <si>
    <t>Irish</t>
  </si>
  <si>
    <t>Israeli</t>
  </si>
  <si>
    <t>Italian</t>
  </si>
  <si>
    <t>Ivorian</t>
  </si>
  <si>
    <t>Jamaican</t>
  </si>
  <si>
    <t>Japanese</t>
  </si>
  <si>
    <t>Jordanian</t>
  </si>
  <si>
    <t>Kazakh</t>
  </si>
  <si>
    <t>Kenyan</t>
  </si>
  <si>
    <t>Kittitian</t>
  </si>
  <si>
    <t>Citizen of Kiribati</t>
  </si>
  <si>
    <t>Kosovan</t>
  </si>
  <si>
    <t>Kuwaiti</t>
  </si>
  <si>
    <t>Kyrgyz</t>
  </si>
  <si>
    <t>Lao</t>
  </si>
  <si>
    <t>Latvian</t>
  </si>
  <si>
    <t>Lebanese</t>
  </si>
  <si>
    <t>Liberian</t>
  </si>
  <si>
    <t>Libyan</t>
  </si>
  <si>
    <t>Liechtenstein citizen</t>
  </si>
  <si>
    <t>Lithuanian</t>
  </si>
  <si>
    <t>Luxembourger</t>
  </si>
  <si>
    <t>Macanese</t>
  </si>
  <si>
    <t>Macedonian (FYRO)</t>
  </si>
  <si>
    <t>Malagasy</t>
  </si>
  <si>
    <t>Malawian</t>
  </si>
  <si>
    <t>Malaysian</t>
  </si>
  <si>
    <t>Maldivian</t>
  </si>
  <si>
    <t>Malian</t>
  </si>
  <si>
    <t>Maltese</t>
  </si>
  <si>
    <t>Marshallese</t>
  </si>
  <si>
    <t>Martiniquais</t>
  </si>
  <si>
    <t>Mauritanian</t>
  </si>
  <si>
    <t>Mauritian</t>
  </si>
  <si>
    <t>Mexican</t>
  </si>
  <si>
    <t>Micronesian</t>
  </si>
  <si>
    <t>Moldovan</t>
  </si>
  <si>
    <t>Monegasque</t>
  </si>
  <si>
    <t>Mongolian</t>
  </si>
  <si>
    <t>Montenegrin</t>
  </si>
  <si>
    <t>Montserratian</t>
  </si>
  <si>
    <t>Moroccan</t>
  </si>
  <si>
    <t>Mosotho</t>
  </si>
  <si>
    <t>Mozambican</t>
  </si>
  <si>
    <t>Namibian</t>
  </si>
  <si>
    <t>Nauruan</t>
  </si>
  <si>
    <t>Nepalese</t>
  </si>
  <si>
    <t>New Zealander</t>
  </si>
  <si>
    <t>Nicaraguan</t>
  </si>
  <si>
    <t>Nigerian</t>
  </si>
  <si>
    <t>Nigerien</t>
  </si>
  <si>
    <t>Niuean</t>
  </si>
  <si>
    <t>North Korean</t>
  </si>
  <si>
    <t>Northern Irish</t>
  </si>
  <si>
    <t>Norwegian</t>
  </si>
  <si>
    <t>Omani</t>
  </si>
  <si>
    <t>Pakistani</t>
  </si>
  <si>
    <t>Palauan</t>
  </si>
  <si>
    <t>Palestinian</t>
  </si>
  <si>
    <t>Panamanian</t>
  </si>
  <si>
    <t>Papua New Guinean</t>
  </si>
  <si>
    <t>Paraguayan</t>
  </si>
  <si>
    <t>Peruvian</t>
  </si>
  <si>
    <t>Pitcairn Islander</t>
  </si>
  <si>
    <t>Polish</t>
  </si>
  <si>
    <t>Portuguese</t>
  </si>
  <si>
    <t>Prydeinig</t>
  </si>
  <si>
    <t>Puerto Rican</t>
  </si>
  <si>
    <t>Qatari</t>
  </si>
  <si>
    <t>Romanian</t>
  </si>
  <si>
    <t>Russian</t>
  </si>
  <si>
    <t>Rwandan</t>
  </si>
  <si>
    <t>Salvadorean</t>
  </si>
  <si>
    <t>Sammarinese</t>
  </si>
  <si>
    <t>Samoan</t>
  </si>
  <si>
    <t>Sao Tomean</t>
  </si>
  <si>
    <t>Saudi Arabian</t>
  </si>
  <si>
    <t>Scottish</t>
  </si>
  <si>
    <t>Senegalese</t>
  </si>
  <si>
    <t>Serbian</t>
  </si>
  <si>
    <t>Citizen of Seychelles</t>
  </si>
  <si>
    <t>Sierra Leonean</t>
  </si>
  <si>
    <t>Singaporean</t>
  </si>
  <si>
    <t>Slovak</t>
  </si>
  <si>
    <t>Slovenian</t>
  </si>
  <si>
    <t>Solomon Islander</t>
  </si>
  <si>
    <t>Somali</t>
  </si>
  <si>
    <t>South African</t>
  </si>
  <si>
    <t>South Korean</t>
  </si>
  <si>
    <t>South Sudanese</t>
  </si>
  <si>
    <t>Spanish</t>
  </si>
  <si>
    <t>Sri Lankan</t>
  </si>
  <si>
    <t>St Helenian</t>
  </si>
  <si>
    <t>St Lucian</t>
  </si>
  <si>
    <t>Stateless</t>
  </si>
  <si>
    <t>Sudanese</t>
  </si>
  <si>
    <t>Surinamese</t>
  </si>
  <si>
    <t>Swazi</t>
  </si>
  <si>
    <t>Swedish</t>
  </si>
  <si>
    <t>Swiss</t>
  </si>
  <si>
    <t>Syrian</t>
  </si>
  <si>
    <t>Taiwanese</t>
  </si>
  <si>
    <t>Tajik</t>
  </si>
  <si>
    <t>Tanzanian</t>
  </si>
  <si>
    <t>Thai</t>
  </si>
  <si>
    <t>Togolese</t>
  </si>
  <si>
    <t>Tongan</t>
  </si>
  <si>
    <t>Trinidadian</t>
  </si>
  <si>
    <t>Tristanian</t>
  </si>
  <si>
    <t>Tunisian</t>
  </si>
  <si>
    <t>Turkish</t>
  </si>
  <si>
    <t>Turkmen</t>
  </si>
  <si>
    <t>Turks and Caicos Islander</t>
  </si>
  <si>
    <t>Tuvaluan</t>
  </si>
  <si>
    <t>Ugandan</t>
  </si>
  <si>
    <t>Ukrainian</t>
  </si>
  <si>
    <t>Uruguayan</t>
  </si>
  <si>
    <t>Uzbek</t>
  </si>
  <si>
    <t>Vatican citizen</t>
  </si>
  <si>
    <t>Citizen of Vanuatu</t>
  </si>
  <si>
    <t>Venezuelan</t>
  </si>
  <si>
    <t>Vietnamese</t>
  </si>
  <si>
    <t>Vincentian</t>
  </si>
  <si>
    <t>Wallisian</t>
  </si>
  <si>
    <t>Welsh</t>
  </si>
  <si>
    <t>Yemeni</t>
  </si>
  <si>
    <t>Zambian</t>
  </si>
  <si>
    <t>Zimbabwean</t>
  </si>
  <si>
    <t>Antarctician</t>
  </si>
  <si>
    <t>Aruban</t>
  </si>
  <si>
    <t>Finnish</t>
  </si>
  <si>
    <t>British Islands</t>
  </si>
  <si>
    <t>British Overseas Territories</t>
  </si>
  <si>
    <t>Not Specified</t>
  </si>
  <si>
    <t>American Islander</t>
  </si>
  <si>
    <t>Zairian</t>
  </si>
  <si>
    <t xml:space="preserve"> CreateReferenceWithAllData Example JSON</t>
  </si>
  <si>
    <t>Vision+ API Field Name</t>
  </si>
  <si>
    <t>Mandatory Field</t>
  </si>
  <si>
    <t>Field Type</t>
  </si>
  <si>
    <t>Field Description</t>
  </si>
  <si>
    <t>{</t>
  </si>
  <si>
    <t xml:space="preserve">  "agentCode": "string",</t>
  </si>
  <si>
    <t xml:space="preserve">  "rentGuarantee": 1,</t>
  </si>
  <si>
    <t xml:space="preserve">  "monthlyRental": 0,</t>
  </si>
  <si>
    <t xml:space="preserve">  "lettingType": 1,</t>
  </si>
  <si>
    <t xml:space="preserve">  "propertyType": 1,</t>
  </si>
  <si>
    <t xml:space="preserve">  "numberOfBedrooms": 0,</t>
  </si>
  <si>
    <t xml:space="preserve">  "noOfAdultOccupants": 0,</t>
  </si>
  <si>
    <t xml:space="preserve">  "noOfChildOccupants": 0,</t>
  </si>
  <si>
    <t xml:space="preserve">  "propertyAddress": {</t>
  </si>
  <si>
    <t xml:space="preserve">    "ukCountryCode": 1</t>
  </si>
  <si>
    <t xml:space="preserve">  },</t>
  </si>
  <si>
    <t xml:space="preserve">  "tenants": [</t>
  </si>
  <si>
    <t xml:space="preserve">    {</t>
  </si>
  <si>
    <t xml:space="preserve">      "tenantTypeId": 1,</t>
  </si>
  <si>
    <t xml:space="preserve">      "referenceType": 1,</t>
  </si>
  <si>
    <t xml:space="preserve">      "rightToRent": true,</t>
  </si>
  <si>
    <t xml:space="preserve">      "title": 1,</t>
  </si>
  <si>
    <t xml:space="preserve">      "firstName": "string",</t>
  </si>
  <si>
    <t xml:space="preserve">      "middleName": "string",</t>
  </si>
  <si>
    <t xml:space="preserve">        {</t>
  </si>
  <si>
    <t xml:space="preserve">        }</t>
  </si>
  <si>
    <t xml:space="preserve">      ],</t>
  </si>
  <si>
    <t xml:space="preserve">      }</t>
  </si>
  <si>
    <t xml:space="preserve">    }</t>
  </si>
  <si>
    <t xml:space="preserve">  ]</t>
  </si>
  <si>
    <t>}</t>
  </si>
  <si>
    <t xml:space="preserve"> CreateReferenceWithInputFromApplicant Example JSON</t>
  </si>
  <si>
    <t xml:space="preserve"> GetApplicantReferenceStatus Example JSON</t>
  </si>
  <si>
    <t>Request Example</t>
  </si>
  <si>
    <t xml:space="preserve">  "scope": "standardapiaccess",</t>
  </si>
  <si>
    <t xml:space="preserve">  "client_id": "1234-clientID",</t>
  </si>
  <si>
    <t xml:space="preserve">  "client_secret": "xxxxxxxxxxxxxxxxxxx"</t>
  </si>
  <si>
    <t>Bearer Token</t>
  </si>
  <si>
    <t xml:space="preserve">   "applicantIds": "string,string,string"</t>
  </si>
  <si>
    <t xml:space="preserve"> GetAgentActiveProducts Example JSON</t>
  </si>
  <si>
    <t xml:space="preserve">    "agentCode": "TEST87621"</t>
  </si>
  <si>
    <t>GetApplicantReferenceReports Example JSON</t>
  </si>
  <si>
    <t>ResendApplicantReferenceLink Example JSON</t>
  </si>
  <si>
    <t>PostApplicantReferenceDocument Example JSON</t>
  </si>
  <si>
    <t xml:space="preserve">  "applicantID": 0,</t>
  </si>
  <si>
    <t xml:space="preserve">  "filestream": "XXYYZZY",</t>
  </si>
  <si>
    <t>PostApplicantReferenceNote Example JSON</t>
  </si>
  <si>
    <t xml:space="preserve"> AddApplicantToTenancy Example JSON</t>
  </si>
  <si>
    <t xml:space="preserve">  "propertyTenancyId": 0,</t>
  </si>
  <si>
    <t xml:space="preserve">  ],</t>
  </si>
  <si>
    <t xml:space="preserve">  "isSentTenantLink": false,</t>
  </si>
  <si>
    <t xml:space="preserve">  "tenantTypeId": 1,</t>
  </si>
  <si>
    <t xml:space="preserve">  "referenceType": 1,</t>
  </si>
  <si>
    <t xml:space="preserve">  "rightToRent": true,</t>
  </si>
  <si>
    <t xml:space="preserve">  "title": 1,</t>
  </si>
  <si>
    <t xml:space="preserve">  "otherTitle": "string",</t>
  </si>
  <si>
    <t xml:space="preserve">  "firstName": "string",</t>
  </si>
  <si>
    <t xml:space="preserve">  "middleName": "string",</t>
  </si>
  <si>
    <t xml:space="preserve">  "surname": "string",</t>
  </si>
  <si>
    <t xml:space="preserve">  "shareOfRent": 0,</t>
  </si>
  <si>
    <t xml:space="preserve">  "telephoneCountryID": 1,</t>
  </si>
  <si>
    <t xml:space="preserve">  "contactTelephoneNo": "string",</t>
  </si>
  <si>
    <t xml:space="preserve">  "emailAddress": "string",</t>
  </si>
  <si>
    <t xml:space="preserve">  "dateOfBirth": "2023-01-03T14:03:12.243Z",</t>
  </si>
  <si>
    <t xml:space="preserve">  "mobileCountryId": 1,</t>
  </si>
  <si>
    <t xml:space="preserve">  "mobileNumber": "string",</t>
  </si>
  <si>
    <t xml:space="preserve">  "nationality": 1,</t>
  </si>
  <si>
    <t xml:space="preserve">  "niNumber": "string",</t>
  </si>
  <si>
    <t xml:space="preserve">  "residentStatus": 1,</t>
  </si>
  <si>
    <t xml:space="preserve">  "additionalInformation": "string",</t>
  </si>
  <si>
    <t xml:space="preserve">  "isAdvanceRent": true,</t>
  </si>
  <si>
    <t xml:space="preserve">  "otherNames": [</t>
  </si>
  <si>
    <t xml:space="preserve">      "lastName": "string",</t>
  </si>
  <si>
    <t xml:space="preserve">      "nameChangeDate": "2023-01-03T14:03:12.243Z"</t>
  </si>
  <si>
    <t xml:space="preserve">  "addressOtherDetailsViewModel": [</t>
  </si>
  <si>
    <t xml:space="preserve">      "addresses": [</t>
  </si>
  <si>
    <t xml:space="preserve">          "houseNumber": "string",</t>
  </si>
  <si>
    <t xml:space="preserve">          "houseName": "string",</t>
  </si>
  <si>
    <t xml:space="preserve">          "addressLine1": "string",</t>
  </si>
  <si>
    <t xml:space="preserve">          "addressLine2": "string",</t>
  </si>
  <si>
    <t xml:space="preserve">          "town": "string",</t>
  </si>
  <si>
    <t xml:space="preserve">          "postcode": "string",</t>
  </si>
  <si>
    <t xml:space="preserve">          "country": 1,</t>
  </si>
  <si>
    <t xml:space="preserve">          "isUKAddress": true,</t>
  </si>
  <si>
    <t xml:space="preserve">          "addressTypeId": 1,</t>
  </si>
  <si>
    <t xml:space="preserve">          "monthMovedIn": 1,</t>
  </si>
  <si>
    <t xml:space="preserve">          "yearMovedIn": 0</t>
  </si>
  <si>
    <t xml:space="preserve">      "residentialDetails": {</t>
  </si>
  <si>
    <t xml:space="preserve">        "currentResidentialStatus": 1,</t>
  </si>
  <si>
    <t xml:space="preserve">        "currentRentAmount": 0,</t>
  </si>
  <si>
    <t xml:space="preserve">        "landlordName": "string",</t>
  </si>
  <si>
    <t xml:space="preserve">        "landlordContactCountryId": 1,</t>
  </si>
  <si>
    <t xml:space="preserve">        "landlordContactNumber": "string",</t>
  </si>
  <si>
    <t xml:space="preserve">        "landlordMobileCountryId": 1,</t>
  </si>
  <si>
    <t xml:space="preserve">        "landlordMobileNumber": "string",</t>
  </si>
  <si>
    <t xml:space="preserve">        "landlordEmail": "string",</t>
  </si>
  <si>
    <t xml:space="preserve">        "landlordAddress": {</t>
  </si>
  <si>
    <t xml:space="preserve">          "postcode": "string"</t>
  </si>
  <si>
    <t xml:space="preserve">      },</t>
  </si>
  <si>
    <t xml:space="preserve">      "adverseCreditDetails": {</t>
  </si>
  <si>
    <t xml:space="preserve">        "submittedisAdverseCredit": true,</t>
  </si>
  <si>
    <t xml:space="preserve">        "submittedisCCJ": true,</t>
  </si>
  <si>
    <t xml:space="preserve">        "submittedisBankruptcy": true,</t>
  </si>
  <si>
    <t xml:space="preserve">        "submittedisInsolvency": true,</t>
  </si>
  <si>
    <t xml:space="preserve">        "submittedisOtherAdverseCredit": true,</t>
  </si>
  <si>
    <t xml:space="preserve">        "submittedOtherAdverseCreditDesc": "string"</t>
  </si>
  <si>
    <t xml:space="preserve">  "referencingTenantIncomeViewModel": [</t>
  </si>
  <si>
    <t xml:space="preserve">      "incomeTypeID": 1,</t>
  </si>
  <si>
    <t xml:space="preserve">      "incomeTermID": 1,</t>
  </si>
  <si>
    <t xml:space="preserve">      "employed": {</t>
  </si>
  <si>
    <t xml:space="preserve">        "countryOfEmployment": 1,</t>
  </si>
  <si>
    <t xml:space="preserve">        "employersName": "string",</t>
  </si>
  <si>
    <t xml:space="preserve">        "jobTitle": "string",</t>
  </si>
  <si>
    <t xml:space="preserve">        "startDateofEmployment": "2023-01-03T14:03:12.243Z",</t>
  </si>
  <si>
    <t xml:space="preserve">        "employmentGrossAnnualIncome": 0,</t>
  </si>
  <si>
    <t xml:space="preserve">        "employmentBonuses": true,</t>
  </si>
  <si>
    <t xml:space="preserve">        "employmentOvertimeReceived": true,</t>
  </si>
  <si>
    <t xml:space="preserve">        "employmentBonusTerm": 1,</t>
  </si>
  <si>
    <t xml:space="preserve">        "employmentAvgBonusIncome": 0,</t>
  </si>
  <si>
    <t xml:space="preserve">        "employmentOvertimeTerm": 1,</t>
  </si>
  <si>
    <t xml:space="preserve">        "employmentOvertimeAvgIncome": 0,</t>
  </si>
  <si>
    <t xml:space="preserve">        "employmentEmployeeNumber": "string",</t>
  </si>
  <si>
    <t xml:space="preserve">        "paymentScheduleId": 1,</t>
  </si>
  <si>
    <t xml:space="preserve">        "employmentRefereeName": "string",</t>
  </si>
  <si>
    <t xml:space="preserve">        "employmentRefereeContactCountryID": 1,</t>
  </si>
  <si>
    <t xml:space="preserve">        "employmentRefereeContactNumber": "string",</t>
  </si>
  <si>
    <t xml:space="preserve">        "employmentRefereeMobileCountryID": 1,</t>
  </si>
  <si>
    <t xml:space="preserve">        "employmentRefereeMobileNumber": "string",</t>
  </si>
  <si>
    <t xml:space="preserve">        "employmentRefereeEmail": "string",</t>
  </si>
  <si>
    <t xml:space="preserve">        "employmentRefereePosition": "string",</t>
  </si>
  <si>
    <t xml:space="preserve">        "addressLine1": "string",</t>
  </si>
  <si>
    <t xml:space="preserve">        "addressLine2": "string",</t>
  </si>
  <si>
    <t xml:space="preserve">        "city": "string",</t>
  </si>
  <si>
    <t xml:space="preserve">        "postCode": "string",</t>
  </si>
  <si>
    <t xml:space="preserve">        "employmentTypeId": 1,</t>
  </si>
  <si>
    <t xml:space="preserve">        "employmentZeroHourContract": true</t>
  </si>
  <si>
    <t xml:space="preserve">      "selfEmployed": {</t>
  </si>
  <si>
    <t xml:space="preserve">        "tradingTypeId": 1,</t>
  </si>
  <si>
    <t xml:space="preserve">        "startDateOfSelfEmployment": "2023-01-03T14:03:12.243Z",</t>
  </si>
  <si>
    <t xml:space="preserve">        "selfEmployedAnnualIncome": 0,</t>
  </si>
  <si>
    <t xml:space="preserve">        "taxReturnSubmitted": true,</t>
  </si>
  <si>
    <t xml:space="preserve">        "doesApplicantUseAccountant": true,</t>
  </si>
  <si>
    <t xml:space="preserve">        "accountantCompanyName": "string",</t>
  </si>
  <si>
    <t xml:space="preserve">        "accountantContactName": "string",</t>
  </si>
  <si>
    <t xml:space="preserve">        "accountantContactNoCountryId": 1,</t>
  </si>
  <si>
    <t xml:space="preserve">        "accountantContactNumber": "string",</t>
  </si>
  <si>
    <t xml:space="preserve">        "accountantMobileNoCountryId": 1,</t>
  </si>
  <si>
    <t xml:space="preserve">        "accountantMobileNumber": "string",</t>
  </si>
  <si>
    <t xml:space="preserve">        "accountantEmailAddress": "string",</t>
  </si>
  <si>
    <t xml:space="preserve">        "accountantContactPosition": "string"</t>
  </si>
  <si>
    <t xml:space="preserve">      "pension": {</t>
  </si>
  <si>
    <t xml:space="preserve">        "pensionProvider": "string",</t>
  </si>
  <si>
    <t xml:space="preserve">        "netMonthlyIncome": 0,</t>
  </si>
  <si>
    <t xml:space="preserve">        "startDateOfPension": "2023-01-03T14:03:12.243Z"</t>
  </si>
  <si>
    <t xml:space="preserve">      "investment": {</t>
  </si>
  <si>
    <t xml:space="preserve">        "investmentSchemeOrCompany": "string",</t>
  </si>
  <si>
    <t xml:space="preserve">        "investmentAmount": 0</t>
  </si>
  <si>
    <t xml:space="preserve">      "saving": {</t>
  </si>
  <si>
    <t xml:space="preserve">        "savingsAmount": 0</t>
  </si>
  <si>
    <t xml:space="preserve">      "unemployed": {</t>
  </si>
  <si>
    <t xml:space="preserve">        "applicantBenefitsReceived": true,</t>
  </si>
  <si>
    <t xml:space="preserve">        "taxCredit": true,</t>
  </si>
  <si>
    <t xml:space="preserve">        "taxCreditTerm": 1,</t>
  </si>
  <si>
    <t xml:space="preserve">        "taxCreditAmount": 0,</t>
  </si>
  <si>
    <t xml:space="preserve">        "carerAllowance": true,</t>
  </si>
  <si>
    <t xml:space="preserve">        "carerAllowanceTerm": 1,</t>
  </si>
  <si>
    <t xml:space="preserve">        "carerAllowanceAmount": 0,</t>
  </si>
  <si>
    <t xml:space="preserve">        "childBenefit": true,</t>
  </si>
  <si>
    <t xml:space="preserve">        "childBenefitTerm": 1,</t>
  </si>
  <si>
    <t xml:space="preserve">        "childBenefitAmount": 0,</t>
  </si>
  <si>
    <t xml:space="preserve">        "disabilityBenefit": true,</t>
  </si>
  <si>
    <t xml:space="preserve">        "disabilityBenefitTerm": 1,</t>
  </si>
  <si>
    <t xml:space="preserve">        "disabilityBenefitAmount": 0,</t>
  </si>
  <si>
    <t xml:space="preserve">        "fosterAllowance": true,</t>
  </si>
  <si>
    <t xml:space="preserve">        "fosterAllowanceTerm": 1,</t>
  </si>
  <si>
    <t xml:space="preserve">        "fosterAllowanceAmount": 0,</t>
  </si>
  <si>
    <t xml:space="preserve">        "guardianAllowance": true,</t>
  </si>
  <si>
    <t xml:space="preserve">        "guardianAllowanceTerm": 1,</t>
  </si>
  <si>
    <t xml:space="preserve">        "guardianAllowanceAmount": 0,</t>
  </si>
  <si>
    <t xml:space="preserve">        "childMaintenance": true,</t>
  </si>
  <si>
    <t xml:space="preserve">        "childMaintenanceTerm": 1,</t>
  </si>
  <si>
    <t xml:space="preserve">        "childMaintenanceAmount": 0,</t>
  </si>
  <si>
    <t xml:space="preserve">        "housingBenefit": true,</t>
  </si>
  <si>
    <t xml:space="preserve">        "housingBenefitTerm": 1,</t>
  </si>
  <si>
    <t xml:space="preserve">        "housingBenefitAmount": 0,</t>
  </si>
  <si>
    <t xml:space="preserve">        "employmentSupport": true,</t>
  </si>
  <si>
    <t xml:space="preserve">        "employmentSupportTerm": 1,</t>
  </si>
  <si>
    <t xml:space="preserve">        "employmentSupportAmount": 0,</t>
  </si>
  <si>
    <t xml:space="preserve">        "universalCredit": true,</t>
  </si>
  <si>
    <t xml:space="preserve">        "universalCreditTerm": 1,</t>
  </si>
  <si>
    <t xml:space="preserve">        "universalCreditAmount": 0</t>
  </si>
  <si>
    <t xml:space="preserve">  "bankDetails": {</t>
  </si>
  <si>
    <t xml:space="preserve">    "bankName": "string",</t>
  </si>
  <si>
    <t xml:space="preserve">    "bankAccountHolderName": "string",</t>
  </si>
  <si>
    <t xml:space="preserve">    "bankSortCode": "string",</t>
  </si>
  <si>
    <t xml:space="preserve">    "bankAccountNumber": "string"</t>
  </si>
  <si>
    <t xml:space="preserve">  }</t>
  </si>
  <si>
    <t xml:space="preserve"> CancelApplicantFromTenancy Example JSON</t>
  </si>
  <si>
    <t xml:space="preserve"> CancelTenancy Example JSON</t>
  </si>
  <si>
    <t xml:space="preserve"> AmendTenancyDetails Example JSON</t>
  </si>
  <si>
    <t xml:space="preserve"> AmendApplicantProductType Example JSON</t>
  </si>
  <si>
    <t>CreateCompanyReferenceWithAllData Example JSON</t>
  </si>
  <si>
    <t xml:space="preserve">  "agentCode": "9999",</t>
  </si>
  <si>
    <t xml:space="preserve">  "tenancyTermMonths": 36,</t>
  </si>
  <si>
    <t xml:space="preserve">  "estimatedMoveInDate": "2023-01-12T10:17:58.443Z",</t>
  </si>
  <si>
    <t xml:space="preserve">  "propertyConstructionPeriod": 5,</t>
  </si>
  <si>
    <t xml:space="preserve">    "houseNumber": "22",</t>
  </si>
  <si>
    <t xml:space="preserve">    "houseName": "Sherline 2",</t>
  </si>
  <si>
    <t xml:space="preserve">    "addressLine1": "Hopes road",</t>
  </si>
  <si>
    <t xml:space="preserve">    "addressLine2": "",</t>
  </si>
  <si>
    <t xml:space="preserve">    "town": "Duston",</t>
  </si>
  <si>
    <t xml:space="preserve">    "postcode": "NW8 9LX",</t>
  </si>
  <si>
    <t xml:space="preserve">  "contactDetails": {</t>
  </si>
  <si>
    <t xml:space="preserve">    "companyRegistrationNumber": "string",</t>
  </si>
  <si>
    <t xml:space="preserve">    "companyName": "string",</t>
  </si>
  <si>
    <t xml:space="preserve">    "incorporationDate": "2022-12-28T10:18:44.576Z",</t>
  </si>
  <si>
    <t xml:space="preserve">    "title": 1,</t>
  </si>
  <si>
    <t xml:space="preserve">    "otherTitle": "",</t>
  </si>
  <si>
    <t xml:space="preserve">    "firstName": "Ajay",</t>
  </si>
  <si>
    <t xml:space="preserve">    "middleName": "",</t>
  </si>
  <si>
    <t xml:space="preserve">    "surname": "Ayar",</t>
  </si>
  <si>
    <t xml:space="preserve">    "companyPositionId": 1,</t>
  </si>
  <si>
    <t xml:space="preserve">    "telephoneCountryID": 1,</t>
  </si>
  <si>
    <t xml:space="preserve">    "contactTelephoneNo": "01212121212",</t>
  </si>
  <si>
    <t xml:space="preserve">    "emailAddress": "nivah98024@chnlog.com",</t>
  </si>
  <si>
    <t xml:space="preserve">    "shareOfRent": 1000,</t>
  </si>
  <si>
    <t xml:space="preserve">    "dateOfBirth": "2022-12-28T10:18:44.576Z",</t>
  </si>
  <si>
    <t xml:space="preserve">    "mobileCountryId": 1,</t>
  </si>
  <si>
    <t xml:space="preserve">    "mobileNumber": "01212121212",</t>
  </si>
  <si>
    <t xml:space="preserve">    "isAdvanceRent": true,</t>
  </si>
  <si>
    <t xml:space="preserve">    "isCompanyEmployee": true,</t>
  </si>
  <si>
    <t xml:space="preserve">    "companyAddress": {</t>
  </si>
  <si>
    <t xml:space="preserve">      "houseNumber": "12",</t>
  </si>
  <si>
    <t xml:space="preserve">      "houseName": "Sherlink",</t>
  </si>
  <si>
    <t xml:space="preserve">      "addressLine1": "Road street",</t>
  </si>
  <si>
    <t xml:space="preserve">      "addressLine2": "",</t>
  </si>
  <si>
    <t xml:space="preserve">      "town": "Washington",</t>
  </si>
  <si>
    <t xml:space="preserve">      "postcode": "BA13 3BN",</t>
  </si>
  <si>
    <t xml:space="preserve">      "ukCountryCode": 1</t>
  </si>
  <si>
    <t>CreateCompanyReferenceWithInputFromApplicant Example JSON</t>
  </si>
  <si>
    <t xml:space="preserve">  "estimatedMoveInDate": "2023-01-15T10:17:58.443Z",</t>
  </si>
  <si>
    <t xml:space="preserve">    "houseNumber": "1",</t>
  </si>
  <si>
    <t xml:space="preserve">    "houseName": "Antantila",</t>
  </si>
  <si>
    <t xml:space="preserve">    "addressLine1": "Trans Rian Road",</t>
  </si>
  <si>
    <t xml:space="preserve">    "town": "Boston",</t>
  </si>
  <si>
    <t xml:space="preserve">    "postcode": "BA13 3BN",</t>
  </si>
  <si>
    <t xml:space="preserve">    "companyRegistrationNumber": "FB001212",</t>
  </si>
  <si>
    <t xml:space="preserve">    "companyName": "Tata Consultance",</t>
  </si>
  <si>
    <t xml:space="preserve">    "incorporationDate": "2012-12-28T10:17:58.443Z",</t>
  </si>
  <si>
    <t xml:space="preserve">    "surname": "Ahir",</t>
  </si>
  <si>
    <t xml:space="preserve">    "emailAddress": "nivah98024@xyz.com",</t>
  </si>
  <si>
    <t xml:space="preserve">    "shareOfRent": 0</t>
  </si>
  <si>
    <t>/standardapi/v1/CheckConnection</t>
  </si>
  <si>
    <t>/standardapi/v1/CreateReferenceWithAllData</t>
  </si>
  <si>
    <t>/standardapi/v1/CreateReferenceWithInputFromApplicant</t>
  </si>
  <si>
    <t>/standardapi/v1/GetApplicantReferenceStatus/{ApplicantID}</t>
  </si>
  <si>
    <t>/standardapi/v1/GetAgentActiveProducts/{AgentCode}</t>
  </si>
  <si>
    <t>/standardapi/v1/GetApplicantReferenceReports/{ApplicantID}</t>
  </si>
  <si>
    <t>/standardapi/v1/PostApplicantReferenceDocument</t>
  </si>
  <si>
    <t xml:space="preserve">  N/A - No parameters</t>
  </si>
  <si>
    <t xml:space="preserve">  "success": true,</t>
  </si>
  <si>
    <t xml:space="preserve">  "payload": "Healthy",</t>
  </si>
  <si>
    <t xml:space="preserve">  "message": null</t>
  </si>
  <si>
    <t>Swagger - /standardapi/v1/  Postman -  https://preprod-auth-service.letalliance.dev/connect/token</t>
  </si>
  <si>
    <t>success</t>
  </si>
  <si>
    <t>payload</t>
  </si>
  <si>
    <t>message</t>
  </si>
  <si>
    <t>string - Boolean</t>
  </si>
  <si>
    <t>Returns healthy when connection has worked properly</t>
  </si>
  <si>
    <t>N/A</t>
  </si>
  <si>
    <t>Use Right to rent product for this reference</t>
  </si>
  <si>
    <t>Term type details the period length of term for multiple uses such as dividend term.
Fields mapped to this enum list include:
employmentBonusTerm
employmentOvertimeTerm,
taxCreditTerm,
carerAllowanceTerm
childBenefitTerm
disabilityBenefitTerm
fosterAllowanceTerm
guardianAllowanceTerm
childMaintenanceTerm
housingBenefitTerm
universalCreditTerm</t>
  </si>
  <si>
    <t>Not valid outside internal testing</t>
  </si>
  <si>
    <t>Sole Trader/Partner</t>
  </si>
  <si>
    <t>Limited Company</t>
  </si>
  <si>
    <t xml:space="preserve">   IncomeStatus</t>
  </si>
  <si>
    <r>
      <t xml:space="preserve">The country or location - NB. includes legacy options </t>
    </r>
    <r>
      <rPr>
        <b/>
        <sz val="10"/>
        <color rgb="FFFF0000"/>
        <rFont val="Calibri"/>
        <family val="2"/>
      </rPr>
      <t xml:space="preserve">
</t>
    </r>
    <r>
      <rPr>
        <b/>
        <sz val="10"/>
        <color rgb="FFFFFFFF"/>
        <rFont val="Calibri"/>
        <family val="2"/>
      </rPr>
      <t xml:space="preserve">
Fields mapped to this enum list include:
telephoneCountryID
mobileCountryId
country
landlordContactCountryId
landlordMobileCountryId
countryOfEmployment
employmentRefereeContactCountryID
employmentRefereeMobileCountryID
accountantContactNoCountryId
accountantMobileNoCountryId
</t>
    </r>
  </si>
  <si>
    <t>The country or location - NB includes legacy options</t>
  </si>
  <si>
    <t xml:space="preserve">  "tenancyTermMonths": 12,</t>
  </si>
  <si>
    <t xml:space="preserve">  "monthlyRental": 1000,</t>
  </si>
  <si>
    <t xml:space="preserve">  "numberOfBedrooms": 4,</t>
  </si>
  <si>
    <t xml:space="preserve">  "noOfAdultOccupants": 2,</t>
  </si>
  <si>
    <t xml:space="preserve">  "noOfChildOccupants": 2,</t>
  </si>
  <si>
    <t xml:space="preserve">  "isAdvanceRent": false,</t>
  </si>
  <si>
    <t xml:space="preserve">    "postcode": "B25 8BZ",</t>
  </si>
  <si>
    <t xml:space="preserve">      "telephoneCountryID": 2,</t>
  </si>
  <si>
    <t xml:space="preserve">      "contactTelephoneNo": "01234567891",</t>
  </si>
  <si>
    <t xml:space="preserve">  "payload": {</t>
  </si>
  <si>
    <t xml:space="preserve">    "agentCode": "9999",</t>
  </si>
  <si>
    <t xml:space="preserve">    "propertyTenancyId": 85669,</t>
  </si>
  <si>
    <t xml:space="preserve">    "ReferencingApplicantList": [</t>
  </si>
  <si>
    <t xml:space="preserve">      {</t>
  </si>
  <si>
    <t xml:space="preserve">        "applicantID": 678006,</t>
  </si>
  <si>
    <t xml:space="preserve">    ]</t>
  </si>
  <si>
    <t xml:space="preserve">  "message": "Reference created successfully."</t>
  </si>
  <si>
    <t xml:space="preserve">        "applicantName": "Mr Tester McTesterson"</t>
  </si>
  <si>
    <t xml:space="preserve">The Applicants name, made up of title, firstname, middlename and surname </t>
  </si>
  <si>
    <t xml:space="preserve">  "monthlyRental": 2000,</t>
  </si>
  <si>
    <t xml:space="preserve">  "propertyConstructionPeriod": 4,</t>
  </si>
  <si>
    <t xml:space="preserve">    "houseNumber": "65000",</t>
  </si>
  <si>
    <t xml:space="preserve">    "houseName": "Oxford Street",</t>
  </si>
  <si>
    <t xml:space="preserve">    "addressLine1": "Gadlys",</t>
  </si>
  <si>
    <t xml:space="preserve">    "addressLine2": "Parkway",</t>
  </si>
  <si>
    <t xml:space="preserve">    "town": "Aberdare",</t>
  </si>
  <si>
    <t xml:space="preserve">    "postcode": "CF44 8BE",</t>
  </si>
  <si>
    <t xml:space="preserve">    "ukCountryCode": 3</t>
  </si>
  <si>
    <t xml:space="preserve">      "otherTitle": "",</t>
  </si>
  <si>
    <t xml:space="preserve">      "firstName": "Berty",</t>
  </si>
  <si>
    <t xml:space="preserve">      "middleName": "Boo",</t>
  </si>
  <si>
    <t xml:space="preserve">      "surname": "Basset",</t>
  </si>
  <si>
    <t xml:space="preserve">      "shareOfRent": 600,</t>
  </si>
  <si>
    <t xml:space="preserve">      "emailAddress": "test@testtesttest.test"</t>
  </si>
  <si>
    <t xml:space="preserve">    "propertyTenancyId": 85670,</t>
  </si>
  <si>
    <t xml:space="preserve">        "applicantID": 678007,</t>
  </si>
  <si>
    <t xml:space="preserve">        "applicantName": "Mr Berty Boo Basset"</t>
  </si>
  <si>
    <t xml:space="preserve">  "message": "Applicant link sent successfully."</t>
  </si>
  <si>
    <t xml:space="preserve">    "ApplicantList": [</t>
  </si>
  <si>
    <t xml:space="preserve">        "applicantStatus": "In Progress",</t>
  </si>
  <si>
    <t xml:space="preserve">        "outcomeStatus": ""</t>
  </si>
  <si>
    <t xml:space="preserve">        "applicantStatus": "Incomplete",</t>
  </si>
  <si>
    <t xml:space="preserve">  "message": "Success."</t>
  </si>
  <si>
    <t xml:space="preserve">  "payload": [</t>
  </si>
  <si>
    <t xml:space="preserve">      "product": "Ultimate Reference"</t>
  </si>
  <si>
    <t xml:space="preserve">    },</t>
  </si>
  <si>
    <t xml:space="preserve">      "product": "Right To Rent"</t>
  </si>
  <si>
    <t xml:space="preserve">      "product": "Express Reference"</t>
  </si>
  <si>
    <t xml:space="preserve">      "product": "Standalone RTR Check"</t>
  </si>
  <si>
    <t xml:space="preserve">      "product": "Rent Guarantee-Monthly"</t>
  </si>
  <si>
    <t xml:space="preserve">      "product": "Rent Guarantee-Annual"</t>
  </si>
  <si>
    <t xml:space="preserve">  "message": "Agent active ProductList."</t>
  </si>
  <si>
    <t xml:space="preserve">    "referenceReportList": [</t>
  </si>
  <si>
    <t xml:space="preserve">    "applicantID": 676059,</t>
  </si>
  <si>
    <t xml:space="preserve">        "documentType": "7000",</t>
  </si>
  <si>
    <t xml:space="preserve">        "documentData": "JVBERi0xLjQKJdPr6eEKMSAwIG9iago8PC9DcmVhdG9yIChDaHJvbWl1bSkKL1Byb2R1Y2VyIChTa2lhL1BERiBtODYpCi9DcmVhdGlvbkRhdGUgKEQ6MjAyMjExMTEwODQ4MDcrMDAnMDAnKQovTW9kRGF0ZSAoRDoyMDIyMTExMTA4NDgwNyswMCcwMCcpPj4KZW5kb2JqCjMgMCBvYmoKPDwvY2EgMQovQk0gL05vcm1hbD4+CmVuZG9iago0IDAgb2JqCjw8L1R5cGUgL1hPYmplY3QKL1N1YnR5cGUgL0ltYWdlCi9XaWR0aCAyMzU4Ci9IZWlnaHQgNDQ2Ci9Db2xvclNwYWNlIC9EZXZpY2VHcmF5Ci9CaXRzUGVyQ29tcG9uZW50IDgKL0ZpbHRlciAvRENURGVjb2RlCi9Db2xvclRyYW5zZm9ybSAwCi9MZW5ndGggMTEwOTM+PiBzdHJlYW0K/9j/4AAQSkZJRgABAQAAAQABAAD/2wBDABALDA4MChAODQ4SERATGCgaGBYWGDEjJR0oOjM9PDkzODdASFxOQERXRTc4UG1RV19iZ2hnPk1xeXBkeFxlZ2P/wAALCAG+CTYBAREA/8QAGwABAQADAQEBAAAAAAAAAAAAAAYBAwUCBAf/xAAlEAEAAQQCAgIDAQEBAAAAAAAAAQISFVITUQUyAzEEESEiQUL/2gAIAQEAAD8A/PwBn9SzZLP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t>
  </si>
  <si>
    <t>ggMDAwMDAgbiAKMDAwMDE5MTA5NyAwMDAwMCBuIAowMDAwMTkxNTM0IDAwMDAwIG4gCjAwMDAxOTE4OTkgMDAwMDAgbiAKMDAwMDE5MzE4MSAwMDAwMCBuIAowMDAwMTkzMzkyIDAwMDAwIG4gCjAwMDAxOTM0NTkgMDAwMDAgbiAKMDAwMDE5NDQwNCAwMDAwMCBuIAowMDAwMTk0NjAxIDAwMDAwIG4gCjAwMDAxOTQ3NzEgMDAwMDAgbiAKMDAwMDE5NTM4NiAwMDAwMCBuIAowMDAwMTk1NTQ0IDAwMDAwIG4gCjAwMDAxOTU2NzYgMDAwMDAgbiAKMDAwMDE5NTgyMyAwMDAwMCBuIAowMDAwMTk1OTgwIDAwMDAwIG4gCjAwMDAxOTY3NzYgMDAwMDAgbiAKMDAwMDE5NzM1OCAwMDAwMCBuIAowMDAwMTk3OTAzIDAwMDAwIG4gCjAwMDAxOTg0ODkgMDAwMDAgbiAKMDAwMDE5OTA5NyAwMDAwMCBuIAowMDAwMTk5NDExIDAwMDAwIG4gCjAwMDAyMDAxODkgMDAwMDAgbiAKMDAwMDIwMDUzNyAwMDAwMCBuIAowMDAwMjAwNzg3IDAwMDAwIG4gCjAwMDAyMDExNTcgMDAwMDAgbiAKMDAwMDIwMTM1MCAwMDAwMCBuIAowMDAwMjAxNDQ5IDAwMDAwIG4gCjAwMDAyMDE5MTAgMDAwMDAgbiAKMDAwMDIwMjI0OCAwMDAwMCBuIAowMDAwMjAyNzIxIDAwMDAwIG4gCjAwMDAyMDMzMDggMDAwMDAgbiAKMDAwMDIwMzYyMSAwMDAwMCBuIAowMDAwMjA0MjM4IDAwMDAwIG4gCjAwMDAyMDQ1NzUgMDAwMDAgbiAKMDAwMDIwNDkwNiAwMDAwMCBuIAowMDAwMjA1MDU4IDAwMDAwIG4gCjAwMDAyMDUyNDEgMDAwMDAgbiAKMDAwMDIwNTQwOSAwMDAwMCBuIAowMDAwMjA1NzE2IDAwMDAwIG4gCjAwMDAyMDYwNDYgMDAwMDAgbiAKMDAwMDIwNjM4NSAwMDAwMCBuIAowMDAwMjA2NTE5IDAwMDAwIG4gCjAwMDAyMDY3NTggMDAwMDAgbiAKMDAwMDIwNzAxNSAwMDAwMCBuIAowMDAwMjA3Mjg3IDAwMDAwIG4gCjAwMDAyMDc2ODQgMDAwMDAgbiAKMDAwMDIwODEyNiAwMDAwMCBuIAowMDAwMjEwMzQxIDAwMDAwIG4gCjAwMDAyMTA1MzggMDAwMDAgbiAKMDAwMDIxMDYwNSAwMDAwMCBuIAowMDAwMjExNTUwIDAwMDAwIG4gCjAwMDAyMTg1NzUgMDAwMDAgbiAKMDAwMDIxODgyMiAwMDAwMCBuIAowMDAwMjE5NTI4IDAwMDAwIG4gCjAwMDAyMjAxMDAgMDAwMDAgbiAKMDAwMDIyMDE2NyAwMDAwMCBuIAowMDAwMjIwNDEzIDAwMDAwIG4gCjAwMDAyMjE1OTkgMDAwMDAgbiAKMDAwMDIyMTY2NiAwMDAwMCBuIAowMDAwMjIxODk1IDAwMDAwIG4gCnRyYWlsZXIKPDwvU2l6ZSAzNTUKL1Jvb3QgNjEgMCBSCi9JbmZvIDEgMCBSPj4Kc3RhcnR4cmVmCjIyMjYzMAolJUVPRg=="</t>
  </si>
  <si>
    <t>Wl1bSkKL1Byb2R1Y2VyIChTa2lhL1BERiBtODYpCi9DcmVhdGlvbkRhdGUgKEQ6MjAyMjExMTEwODQ4MDcrMDAnMDAnKQovTW9kRGF0ZSAoRDoyMDIyMTExMTA4NDgwNyswMCcwMCcpPj4KZW5kb2JqCjMgMCBvYmoKPDwvY2EgMQovQk0gL05vcm1hbD4+CmVuZG9iago0IDAgb2JqCjw8L1R5cGUgL1hPYmplY3QKL1N1YnR5cGUgL0ltYWdlCi9XaWR0aCAyMzU4Ci9IZWlnaHQgNDQ2Ci9Db2xvclNwYWNlIC9EZXZpY2VHcmF5Ci9CaXRzUGVyQ29tcG9uZW50IDgKL0ZpbHRlciAvRENURGVjb2RlCi9Db2xvclRyYW5zZm9ybSAwCi9MZW5ndGggMTEwOTM+PiBzdHJlYW0K/9j/4AAQSkZJRgABAQAAAQABAAD/2wBDABALDA4MChAODQ4SERATGCgaGBYWGDEjJR0oOjM9PDkzODdASFxOQERXRTc4UG1RV19iZ2hnPk1xeXBkeFxlZ2P/wAALCAG+CTYBAREA/8QAGwABAQADAQEBAAAAAAAAAAAAAAYBAwUCBAf/xAAlEAEAAQQCAgIDAQEBAAAAAAAAAQISFVITUQUyAzEEESEiQUL/2gAIAQEAAD8A/PwBn9SzZLP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t>
  </si>
  <si>
    <t>enum - document type</t>
  </si>
  <si>
    <t>base 64 encoded string</t>
  </si>
  <si>
    <t>Report base64 encoded string, to be decoded and stored as a PDF file</t>
  </si>
  <si>
    <t>Report Type, either interim report, final report or application form. Note call will contain 1 or more documents.</t>
  </si>
  <si>
    <t xml:space="preserve">    "applicantList": [</t>
  </si>
  <si>
    <t xml:space="preserve">        "linkSentStatus": "Reference link sent."</t>
  </si>
  <si>
    <t xml:space="preserve">  "message": "All reference link sent."</t>
  </si>
  <si>
    <t/>
  </si>
  <si>
    <t>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t>
  </si>
  <si>
    <t xml:space="preserve">   [678007, 678008]</t>
  </si>
  <si>
    <t>Link sent status, confirming successful sending of link</t>
  </si>
  <si>
    <t xml:space="preserve">  "payload": "Success",</t>
  </si>
  <si>
    <t xml:space="preserve">  "message": "Document uploaded successfully."</t>
  </si>
  <si>
    <t xml:space="preserve">  "documentTypeID": 15002</t>
  </si>
  <si>
    <t>Message ID, incremental per reference.</t>
  </si>
  <si>
    <t>With Applicant Input Link Example Request</t>
  </si>
  <si>
    <t xml:space="preserve">  "isTenantFillDetails": false,</t>
  </si>
  <si>
    <t xml:space="preserve">  "residentialDetails": {</t>
  </si>
  <si>
    <t xml:space="preserve">    "currentResidentialStatus": 1,</t>
  </si>
  <si>
    <t xml:space="preserve">    "currentRentAmount": 220.5,</t>
  </si>
  <si>
    <t xml:space="preserve">    "landlordContactCountryId": 1,</t>
  </si>
  <si>
    <t xml:space="preserve">    "landlordContactNumber": "01245367891",</t>
  </si>
  <si>
    <t xml:space="preserve">    "landlordEmail": "paxoy72496@cmeinbox.com",</t>
  </si>
  <si>
    <t xml:space="preserve">    "landlordAddress": {</t>
  </si>
  <si>
    <t xml:space="preserve">      "houseNumber": "660",</t>
  </si>
  <si>
    <t xml:space="preserve">      "houseName": "Warwick",</t>
  </si>
  <si>
    <t xml:space="preserve">      "addressLine1": "111 Lee Crescent North",</t>
  </si>
  <si>
    <t xml:space="preserve">      "addressLine2": "Bridge of Don",</t>
  </si>
  <si>
    <t xml:space="preserve">      "town": "ABERDEEN",</t>
  </si>
  <si>
    <t xml:space="preserve">      "country": 1,</t>
  </si>
  <si>
    <t xml:space="preserve">      "postcode": "AB22 8FQ"</t>
  </si>
  <si>
    <t xml:space="preserve">        "employersName": "Mickey",</t>
  </si>
  <si>
    <t xml:space="preserve">        "jobTitle": "Developer",</t>
  </si>
  <si>
    <t xml:space="preserve">        "startDateofEmployment": "2000-06-11T00:00:00.0000000",</t>
  </si>
  <si>
    <t xml:space="preserve">        "employmentGrossAnnualIncome": 8000.5,</t>
  </si>
  <si>
    <t xml:space="preserve">        "employmentAvgBonusIncome": 500,</t>
  </si>
  <si>
    <t xml:space="preserve">        "employmentEmployeeNumber": "ABCD1234",</t>
  </si>
  <si>
    <t xml:space="preserve">        "employmentRefereeName": "Georgia",</t>
  </si>
  <si>
    <t xml:space="preserve">        "employmentRefereeContactNumber": "01263458971",</t>
  </si>
  <si>
    <t xml:space="preserve">        "employmentRefereeEmail": "higiso7093@themesw.com",</t>
  </si>
  <si>
    <t xml:space="preserve">        "employmentRefereePosition": "Manager",</t>
  </si>
  <si>
    <t xml:space="preserve">        "addressLine1": "3 Broadgates Avenue",</t>
  </si>
  <si>
    <t xml:space="preserve">        "addressLine2": "Acocks Green",</t>
  </si>
  <si>
    <t xml:space="preserve">        "city": "BIRMINGHAM",</t>
  </si>
  <si>
    <t xml:space="preserve">        "postCode": "B27 6PX",</t>
  </si>
  <si>
    <t xml:space="preserve">        "startDateOfSelfEmployment": "2022-10-10T00:00:00.0000000",</t>
  </si>
  <si>
    <t xml:space="preserve">        "selfEmployedAnnualIncome": 5000.5,</t>
  </si>
  <si>
    <t xml:space="preserve">        "taxReturnSubmitted": false,</t>
  </si>
  <si>
    <t xml:space="preserve">        "accountantCompanyName": "Alliance",</t>
  </si>
  <si>
    <t xml:space="preserve">        "accountantContactName": "Mickey Mouse",</t>
  </si>
  <si>
    <t xml:space="preserve">        "accountantContactNumber": "02315647891",</t>
  </si>
  <si>
    <t xml:space="preserve">        "accountantEmailAddress": "wigojed456@unicsite.com",</t>
  </si>
  <si>
    <t xml:space="preserve">        "accountantContactPosition": "CEO",</t>
  </si>
  <si>
    <t xml:space="preserve">        "accountantAddress": {</t>
  </si>
  <si>
    <t xml:space="preserve">          "houseNumber": "123",</t>
  </si>
  <si>
    <t xml:space="preserve">          "houseName": "Wimborne",</t>
  </si>
  <si>
    <t xml:space="preserve">          "addressLine1": "333 Wimborne Road",</t>
  </si>
  <si>
    <t xml:space="preserve">          "addressLine2": "Yardley",</t>
  </si>
  <si>
    <t xml:space="preserve">          "town": "BIRMINGHAM",</t>
  </si>
  <si>
    <t xml:space="preserve">          "postcode": "B25 8BZ",</t>
  </si>
  <si>
    <t xml:space="preserve">          "ukCountryCode": 1</t>
  </si>
  <si>
    <t xml:space="preserve">        "pensionProvider": "Name of Pension Provider",</t>
  </si>
  <si>
    <t xml:space="preserve">        "netMonthlyIncome": 750.9,</t>
  </si>
  <si>
    <t xml:space="preserve">        "startDateOfPension": "2023-10-05T00:00:00.0000000"</t>
  </si>
  <si>
    <t xml:space="preserve">        "investmentSchemeOrCompany": "Let Alliance",</t>
  </si>
  <si>
    <t xml:space="preserve">        "investmentAmount": 100000</t>
  </si>
  <si>
    <t xml:space="preserve">        "savingsAmount": 50000</t>
  </si>
  <si>
    <t xml:space="preserve">        "applicantBenefitsReceived": false,</t>
  </si>
  <si>
    <t xml:space="preserve">        "carerAllowance": false,</t>
  </si>
  <si>
    <t xml:space="preserve">        "disabilityBenefit": false,</t>
  </si>
  <si>
    <t xml:space="preserve">        "housingBenefit": false,</t>
  </si>
  <si>
    <t>With All data Example Request</t>
  </si>
  <si>
    <t xml:space="preserve">  "monthlyRental": 12,</t>
  </si>
  <si>
    <t xml:space="preserve">    "houseNumber": "123",</t>
  </si>
  <si>
    <t xml:space="preserve">    "houseName": "Wimborne",</t>
  </si>
  <si>
    <t xml:space="preserve">    "addressLine1": "333 Wimborne Road",</t>
  </si>
  <si>
    <t xml:space="preserve">    "addressLine2": "Yardley",</t>
  </si>
  <si>
    <t xml:space="preserve">    "town": "BIRMINGHAM",</t>
  </si>
  <si>
    <t xml:space="preserve">  "applicantsShareOfRentList": [</t>
  </si>
  <si>
    <t>V r1.0</t>
  </si>
  <si>
    <t>Initial release</t>
  </si>
  <si>
    <t>-</t>
  </si>
  <si>
    <t>Acceptable</t>
  </si>
  <si>
    <t>Not Acceptable</t>
  </si>
  <si>
    <t>enum - outcome</t>
  </si>
  <si>
    <t>V r1.1</t>
  </si>
  <si>
    <t>Lee Williams</t>
  </si>
  <si>
    <t>None - Documentation update</t>
  </si>
  <si>
    <t>Added Outcome status enum list and changed linkedApplicant ID description</t>
  </si>
  <si>
    <t>enum -  Applicant Status</t>
  </si>
  <si>
    <t xml:space="preserve">A return value for the reference grading status (using method GetApplicantReferenceStatus)
</t>
  </si>
  <si>
    <t xml:space="preserve">A return value for the tenant's status (using method GetApplicantReferenceStatus)
</t>
  </si>
  <si>
    <t>Incomplete</t>
  </si>
  <si>
    <t>Awaiting Details</t>
  </si>
  <si>
    <t>In Progress</t>
  </si>
  <si>
    <t>Complete</t>
  </si>
  <si>
    <t>Approve</t>
  </si>
  <si>
    <t>Deleted</t>
  </si>
  <si>
    <t>Details provided, reference in progress</t>
  </si>
  <si>
    <t>reference completed</t>
  </si>
  <si>
    <t>awaiting approval</t>
  </si>
  <si>
    <t>Awaiting Review</t>
  </si>
  <si>
    <t>Reference Deleted</t>
  </si>
  <si>
    <t>Not yet completed reference application</t>
  </si>
  <si>
    <t>Awaiting review</t>
  </si>
  <si>
    <t>awaiting input from applicant</t>
  </si>
  <si>
    <t>Guarantor Required</t>
  </si>
  <si>
    <t>V r1.2</t>
  </si>
  <si>
    <t>Ameded Outcome Status enum and added applicant Status enum</t>
  </si>
  <si>
    <t xml:space="preserve">  "cancellationReason": 1</t>
  </si>
  <si>
    <t>cancellationreason</t>
  </si>
  <si>
    <t>enum - cancellation reason</t>
  </si>
  <si>
    <t>Reason for cancelling the reference request</t>
  </si>
  <si>
    <t>Applicants no longer wish to proceed</t>
  </si>
  <si>
    <t>Landlord no longer wishes to proceed</t>
  </si>
  <si>
    <t>Tenancy is not going ahead</t>
  </si>
  <si>
    <t>Cancellation Reason</t>
  </si>
  <si>
    <t>V r1.3</t>
  </si>
  <si>
    <t>Extended description of Cancel Tenancy</t>
  </si>
  <si>
    <t xml:space="preserve">  "message": "Applicant Cancelled successfully."</t>
  </si>
  <si>
    <t>V r1.4</t>
  </si>
  <si>
    <t>Extended descriptions and minor wording change</t>
  </si>
  <si>
    <t>Applicant decided not to proceed</t>
  </si>
  <si>
    <t>Landlord decided not to proceed</t>
  </si>
  <si>
    <t>Tenancy no going ahead for any other reason</t>
  </si>
  <si>
    <t>V r1.5</t>
  </si>
  <si>
    <r>
      <t xml:space="preserve">ApplicantID is a unique identifier for a person / Company to be referenced. 
ApplicantID is created through API Methods:
</t>
    </r>
    <r>
      <rPr>
        <b/>
        <sz val="10"/>
        <color theme="1"/>
        <rFont val="Calibri"/>
        <family val="2"/>
        <scheme val="minor"/>
      </rPr>
      <t>CreateReferenceWithAllData
CreateReferenceWithInputFromApplicant
CreateCompanyReferenceWithAllData
CreateCompanyReferenceWithInputFromApplicant
AddApplicantToTenancy</t>
    </r>
  </si>
  <si>
    <t>Updated response for addApplicant and updated description to cancellation reason enum</t>
  </si>
  <si>
    <t>Updated ApplicantID description</t>
  </si>
  <si>
    <t xml:space="preserve">  "linkedApplicantID": [9999],</t>
  </si>
  <si>
    <t>The ID of the linked applicant, can be blank as []</t>
  </si>
  <si>
    <t>Serbia</t>
  </si>
  <si>
    <t>Name Type</t>
  </si>
  <si>
    <t>Denotes whether the Tentant link is to be sent to applicant, if true, a short payload is required if false, a full data playload is required, see request example</t>
  </si>
  <si>
    <t>invalid_client</t>
  </si>
  <si>
    <t>401   Error: Unauthorized</t>
  </si>
  <si>
    <t>Returns a 401 error if not authorised</t>
  </si>
  <si>
    <t>return value, null or success, unless there has been error</t>
  </si>
  <si>
    <t xml:space="preserve">    "errors": {</t>
  </si>
  <si>
    <t xml:space="preserve">      "AgentCode": [</t>
  </si>
  <si>
    <t xml:space="preserve">      ]</t>
  </si>
  <si>
    <r>
      <t xml:space="preserve">  "success": </t>
    </r>
    <r>
      <rPr>
        <sz val="9"/>
        <rFont val="Consolas"/>
        <family val="3"/>
      </rPr>
      <t>false,</t>
    </r>
  </si>
  <si>
    <r>
      <t xml:space="preserve">        </t>
    </r>
    <r>
      <rPr>
        <sz val="9"/>
        <rFont val="Consolas"/>
        <family val="3"/>
      </rPr>
      <t>"Error in request:  Invalid AgentCode. AgentCode should be as Authenticated Agent: 9999"</t>
    </r>
  </si>
  <si>
    <r>
      <t xml:space="preserve">    "title": </t>
    </r>
    <r>
      <rPr>
        <sz val="9"/>
        <rFont val="Consolas"/>
        <family val="3"/>
      </rPr>
      <t>"1 validation errors occurred.",</t>
    </r>
  </si>
  <si>
    <r>
      <t xml:space="preserve">    "detail": </t>
    </r>
    <r>
      <rPr>
        <sz val="9"/>
        <rFont val="Consolas"/>
        <family val="3"/>
      </rPr>
      <t>"See the errors property for details"</t>
    </r>
  </si>
  <si>
    <r>
      <t xml:space="preserve">  "message": </t>
    </r>
    <r>
      <rPr>
        <sz val="9"/>
        <rFont val="Consolas"/>
        <family val="3"/>
      </rPr>
      <t>"Error in Request. Invalid: AgentCode"</t>
    </r>
  </si>
  <si>
    <t>Returns true when successful call/connection</t>
  </si>
  <si>
    <t xml:space="preserve">      "ApplicantID": [</t>
  </si>
  <si>
    <t xml:space="preserve">  "success": false,</t>
  </si>
  <si>
    <t xml:space="preserve">        "ApplicantID not valid"</t>
  </si>
  <si>
    <t xml:space="preserve">    "title": "1 validation errors occurred.",</t>
  </si>
  <si>
    <t xml:space="preserve">    "detail": "See the errors property for details"</t>
  </si>
  <si>
    <t xml:space="preserve">  "message": "Error in Request. Invalid: ApplicantID"</t>
  </si>
  <si>
    <t>Error Title</t>
  </si>
  <si>
    <t>Error Detail</t>
  </si>
  <si>
    <t>eyJhbGciOiJSUzI1NiIsImtpZCI6IjIzNDBFOTVDMDU1M0VGNUM1Mzc0ODNBMjUyMTU1RTkyRDFGRTM3MThSUzI1NiIsInR5cCI6ImF0K2p3dCIsIng1dCI6IkkwRHBYQVZUNzF4VGRJT2lVaFZla3RILU54ZyJ9.eyJuYmYiOjE2ODU5NjExMDcsImV4cCI6MTY4NjA0NzUwNywiaXNzIjoiaHR0cHM6Ly9wcmVwcm9kLWF1dGgtc2VydmljZS5iYXJib25kZXYuY28udWsiLCJjbGllbnRfaWQiOiI0NDQyNDFfRm94dG9ucy1XZW1ibGV5IiwianRpIjoiREIwRjhGMkQwOEUyQzEwNDBCMjA1N0Y0ODg1NkRGNDciLCJpYXQiOjE2ODU5NjExMDcsInNjb3BlIjpbInN0YW5kYXJkYXBpYWNjZXNzIl19.z9phqgSvjwsbU2LeZMFmJvnDQ5fTIdhOyPZzLxJY59uJmE8ALZNEFjIrJFpQwIeBuuw8uHY8BS8czxZpW7AZtBps-Lh0qEW4GRXANWJi0rmU-Z1eEuqbmbF1z-9MSILP-OcyZeVPac8LleTh5gfHK0ycD6ioY3f-ZlsGQu7DqE7g68xMZ3UpbN617T8X93fDT67enC67m39B1-b3XrVFcIcROvIoqYQS4o8qexqLCBSgGHM726HlNWwtfSBe7gcRBU5Seij_GjtwQB9HcZf_Jwu3loElI7joJkycc2AxxyxitBrU1FFe9ZnGBAwmxY4Hiam5PsXWhR-qO1kh3M0c2Q</t>
  </si>
  <si>
    <t>V r1.6</t>
  </si>
  <si>
    <t>Error Response Normalisation</t>
  </si>
  <si>
    <t>Document QA review and error responses added</t>
  </si>
  <si>
    <t xml:space="preserve">      "EstimatedMoveInDate": [</t>
  </si>
  <si>
    <t xml:space="preserve">        "Error in Request. Invalid: EstimatedMoveInDate must be future date."</t>
  </si>
  <si>
    <t xml:space="preserve">    "title": "2 validation errors occurred.",</t>
  </si>
  <si>
    <t xml:space="preserve">  "message": "Error in Request. Invalid: AgentCode, EstimatedMoveInDate"</t>
  </si>
  <si>
    <t>Error Container</t>
  </si>
  <si>
    <t>Error Field</t>
  </si>
  <si>
    <t>Error Field Message</t>
  </si>
  <si>
    <t>Error Message</t>
  </si>
  <si>
    <t>collection</t>
  </si>
  <si>
    <t>max</t>
  </si>
  <si>
    <t xml:space="preserve">        "applicantName": "Mr Juliet Barney Clarke"</t>
  </si>
  <si>
    <t xml:space="preserve">  "payload": null</t>
  </si>
  <si>
    <r>
      <t xml:space="preserve">  "message": </t>
    </r>
    <r>
      <rPr>
        <sz val="9"/>
        <rFont val="Consolas"/>
        <family val="3"/>
      </rPr>
      <t>"Internal error"</t>
    </r>
  </si>
  <si>
    <t>Response Example: Fail - 500 internal Error (post validation)</t>
  </si>
  <si>
    <t xml:space="preserve">      "Tenants[0].AddressOtherDetailsViewModel[0].ResidentialDetails.LandlordName": [</t>
  </si>
  <si>
    <t xml:space="preserve">        "Error in Request. Invalid: Landlord Name should be empty."</t>
  </si>
  <si>
    <t xml:space="preserve">      "Tenants[0].AddressOtherDetailsViewModel[0].ResidentialDetails.LandlordEmail": [</t>
  </si>
  <si>
    <t xml:space="preserve">        "Error in Request. Invalid: Landlord Email should be empty."</t>
  </si>
  <si>
    <t xml:space="preserve">    "title": "3 validation errors occurred.",</t>
  </si>
  <si>
    <t xml:space="preserve">  "message": "Error in Request. Invalid: AgentCode, LandlordName, LandlordEmail"</t>
  </si>
  <si>
    <t xml:space="preserve">        "Error in request:  Invalid AgentCode. AgentCode should be as Authenticated Agent: 999999"</t>
  </si>
  <si>
    <t xml:space="preserve">  "message": "Error in Request. Invalid: AgentCode"</t>
  </si>
  <si>
    <t xml:space="preserve">        "Error in request:  Invalid AgentCode. AgentCode should be as Authenticated Agent: 99999"</t>
  </si>
  <si>
    <t>Response Example: Fail - 422 Validation Error</t>
  </si>
  <si>
    <t xml:space="preserve">    "InvalidApplicants": [</t>
  </si>
  <si>
    <t xml:space="preserve">    ],</t>
  </si>
  <si>
    <t xml:space="preserve">      679719,</t>
  </si>
  <si>
    <t xml:space="preserve">        "applicantID": 679718,</t>
  </si>
  <si>
    <t>Response Example: Mixed - Pass and Fail</t>
  </si>
  <si>
    <t xml:space="preserve">      679720</t>
  </si>
  <si>
    <t>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t>
  </si>
  <si>
    <t>applicantStatus</t>
  </si>
  <si>
    <t>outcomeStatus</t>
  </si>
  <si>
    <t>InvalidApplicants</t>
  </si>
  <si>
    <t>ApplicantList</t>
  </si>
  <si>
    <t>]</t>
  </si>
  <si>
    <t>},</t>
  </si>
  <si>
    <t>Invalid Applicants collection</t>
  </si>
  <si>
    <t>Valid Applicants collection</t>
  </si>
  <si>
    <r>
      <t xml:space="preserve">Comma seperated list of </t>
    </r>
    <r>
      <rPr>
        <b/>
        <sz val="10"/>
        <color rgb="FF000000"/>
        <rFont val="Calibri"/>
        <family val="2"/>
      </rPr>
      <t>applicantID</t>
    </r>
    <r>
      <rPr>
        <sz val="10"/>
        <color rgb="FF000000"/>
        <rFont val="Calibri"/>
        <family val="2"/>
      </rPr>
      <t>s as string</t>
    </r>
  </si>
  <si>
    <t>Response Example: Fail - 401 Unauthorised Error</t>
  </si>
  <si>
    <t>Response Example: Success</t>
  </si>
  <si>
    <t>invalid_scope</t>
  </si>
  <si>
    <t xml:space="preserve">Invalid client will be returned if there are any issues with the combination of client_id and client_secret. </t>
  </si>
  <si>
    <t>Invalid scope will be returned if there are any issues with the scope - Should always be "standardapiaccess"</t>
  </si>
  <si>
    <t xml:space="preserve">  "payload": {},</t>
  </si>
  <si>
    <t xml:space="preserve">  "message": "No Reports Available."</t>
  </si>
  <si>
    <t>Response Example: Fail - 404 No reports found Error</t>
  </si>
  <si>
    <t xml:space="preserve">        "Error in Request.Invalid: ApplicantID."</t>
  </si>
  <si>
    <t xml:space="preserve">        "applicantID": 678008,</t>
  </si>
  <si>
    <t xml:space="preserve">   "applicantId": 676059</t>
  </si>
  <si>
    <t>Collection of one or more applicantIds</t>
  </si>
  <si>
    <t>Response Example: Fail - 422 Validation Error (any in collection)</t>
  </si>
  <si>
    <t>TypeError: Failed to fetch</t>
  </si>
  <si>
    <t xml:space="preserve">Response Example: Fail - 413 File Size Error </t>
  </si>
  <si>
    <t>Error: Payload Too Large</t>
  </si>
  <si>
    <t xml:space="preserve">  "applicantID": 678007,</t>
  </si>
  <si>
    <t xml:space="preserve">  "notes": "Test Note"</t>
  </si>
  <si>
    <t xml:space="preserve">Response Example: Fail - 422 Validation Error </t>
  </si>
  <si>
    <t xml:space="preserve">   "referenceType": 1,</t>
  </si>
  <si>
    <t xml:space="preserve">   "rightToRent": true,</t>
  </si>
  <si>
    <t xml:space="preserve">   "title": 1,</t>
  </si>
  <si>
    <t xml:space="preserve">   "telephoneCountryID": 1,</t>
  </si>
  <si>
    <t xml:space="preserve">   "isSentTenantLink": true,</t>
  </si>
  <si>
    <t xml:space="preserve">   "propertyTenancyId": 87812,</t>
  </si>
  <si>
    <t xml:space="preserve">   "linkedApplicantID": [],</t>
  </si>
  <si>
    <t xml:space="preserve">   "tenantTypeId": 2,</t>
  </si>
  <si>
    <t xml:space="preserve">   "otherTitle": null ,</t>
  </si>
  <si>
    <t xml:space="preserve">   "firstName": "Billy",</t>
  </si>
  <si>
    <t xml:space="preserve">   "middleName": "",</t>
  </si>
  <si>
    <t xml:space="preserve">   "surname": "Bob",</t>
  </si>
  <si>
    <t xml:space="preserve">   "shareOfRent": 100,</t>
  </si>
  <si>
    <t xml:space="preserve">   "contactTelephoneNo": "07896543362",</t>
  </si>
  <si>
    <t xml:space="preserve">   "emailAddress": "test@testtesttest.com"    </t>
  </si>
  <si>
    <t xml:space="preserve">    "propertyTenancyId": 87812,</t>
  </si>
  <si>
    <t xml:space="preserve">        "applicantID": 679755,</t>
  </si>
  <si>
    <t xml:space="preserve">        "applicantName": "Mr Billy Bob"</t>
  </si>
  <si>
    <t xml:space="preserve">      "DateOfBirth": [</t>
  </si>
  <si>
    <t xml:space="preserve">        "DateOfBirth is required when IsSentTenantLink value is False"</t>
  </si>
  <si>
    <t xml:space="preserve">      "ResidentStatus": [</t>
  </si>
  <si>
    <t xml:space="preserve">        "ResidentStatus is required when IsSentTenantLink value is False"</t>
  </si>
  <si>
    <t xml:space="preserve">      "AddressOtherDetailsViewModel": [</t>
  </si>
  <si>
    <t xml:space="preserve">        "Mandatory Data Missing in Request: Address other details required When IsSentTenantLink is false."</t>
  </si>
  <si>
    <t xml:space="preserve">      "ReferencingTenantIncomeViewModel": [</t>
  </si>
  <si>
    <t xml:space="preserve">        "Mandatory Data Missing in Request: Tenant income details required When IsSentTenantLink is false."</t>
  </si>
  <si>
    <t xml:space="preserve">    "title": "4 validation errors occurred.",</t>
  </si>
  <si>
    <t xml:space="preserve">  "message": "Error in Request. Invalid: DateOfBirth, ResidentStatus, AddressOtherDetailsViewModel, ReferencingTenantIncomeViewModel"</t>
  </si>
  <si>
    <t>Response Example: Fail - 422 Validation Error  (Long list of validation errors suggest IsSentTenantLink Flag is incorrectly set to False)</t>
  </si>
  <si>
    <t>Applicant Name fields concatinated into a single string</t>
  </si>
  <si>
    <t xml:space="preserve">  "propertyTenancyId": 87813,</t>
  </si>
  <si>
    <t xml:space="preserve">  "tenancyTermMonths": 24,</t>
  </si>
  <si>
    <t xml:space="preserve">  "lettingType": 2,</t>
  </si>
  <si>
    <t xml:space="preserve">  "estimatedMoveInDate": "2023-06-05T12:59:19.176Z",</t>
  </si>
  <si>
    <t xml:space="preserve">    "houseNumber": "12345",</t>
  </si>
  <si>
    <t xml:space="preserve">    "addressLine1": "test",</t>
  </si>
  <si>
    <t xml:space="preserve">    "town": "cardiff",</t>
  </si>
  <si>
    <t xml:space="preserve">      "applicantID": 679732,</t>
  </si>
  <si>
    <t xml:space="preserve">      "shareOfRent": 140.00</t>
  </si>
  <si>
    <t xml:space="preserve">      "applicantID": 679733,</t>
  </si>
  <si>
    <t xml:space="preserve">      "shareOfRent": 130.00</t>
  </si>
  <si>
    <t xml:space="preserve">      "PropertyAddress.Postcode": [</t>
  </si>
  <si>
    <t xml:space="preserve">        "Error in Request. Invalid: Postcode must be in UK format and in Uppercase."</t>
  </si>
  <si>
    <t xml:space="preserve">  "message": "Error in Request. Invalid: Postcode"</t>
  </si>
  <si>
    <t xml:space="preserve">    "postcode": "CF44 8BZ",</t>
  </si>
  <si>
    <t xml:space="preserve">  "agentCode": "9999999",</t>
  </si>
  <si>
    <t>Change Log Collection</t>
  </si>
  <si>
    <t>Change Log entry</t>
  </si>
  <si>
    <t xml:space="preserve">  "applicantID": 679718,</t>
  </si>
  <si>
    <t xml:space="preserve">    "landlordName": "string",</t>
  </si>
  <si>
    <t xml:space="preserve">        "netMonthlyIncome": 8000.5,</t>
  </si>
  <si>
    <t xml:space="preserve">        "employmentZeroHourContract": false,</t>
  </si>
  <si>
    <t xml:space="preserve">        "industryType": 1</t>
  </si>
  <si>
    <t xml:space="preserve">        },</t>
  </si>
  <si>
    <t xml:space="preserve">        "grossAnnualIncome": 750.9,</t>
  </si>
  <si>
    <t xml:space="preserve">        "grossAnnualIncome": 8000.5,</t>
  </si>
  <si>
    <t xml:space="preserve">        "startDate": "2000-06-11T00:00:00.0000000"</t>
  </si>
  <si>
    <r>
      <t xml:space="preserve">  "success": </t>
    </r>
    <r>
      <rPr>
        <sz val="11"/>
        <rFont val="Consolas"/>
        <family val="3"/>
      </rPr>
      <t>false,</t>
    </r>
  </si>
  <si>
    <t xml:space="preserve">Request Example with All Data </t>
  </si>
  <si>
    <t xml:space="preserve">  "referenceType": 2,</t>
  </si>
  <si>
    <t xml:space="preserve">  "isTenantFillDetails": true,</t>
  </si>
  <si>
    <t>Request Example with input from Applicant</t>
  </si>
  <si>
    <t xml:space="preserve">Denotes if type "with input from applicant" or "all data" by system </t>
  </si>
  <si>
    <t>enum - industry type</t>
  </si>
  <si>
    <t>Industry type from drop down list</t>
  </si>
  <si>
    <t>Amount of Gross monthly income in GBP</t>
  </si>
  <si>
    <t>propertytenancyID</t>
  </si>
  <si>
    <t>oldreferencetype</t>
  </si>
  <si>
    <t>newreferencetype</t>
  </si>
  <si>
    <t>oldrighttorent</t>
  </si>
  <si>
    <t>newrighttorent</t>
  </si>
  <si>
    <t xml:space="preserve">    "applicantID": 679718,</t>
  </si>
  <si>
    <t xml:space="preserve">    "propertyTenancyId": 87798,</t>
  </si>
  <si>
    <t xml:space="preserve">    "oldReferenceType": "Ultimate Reference",</t>
  </si>
  <si>
    <t xml:space="preserve">    "newReferenceType": "Express Reference",</t>
  </si>
  <si>
    <t xml:space="preserve">    "oldRightToRent": "Yes",</t>
  </si>
  <si>
    <t xml:space="preserve">    "newRightToRent": "Yes"</t>
  </si>
  <si>
    <t xml:space="preserve">  "message": "Product amended successfully."</t>
  </si>
  <si>
    <r>
      <t xml:space="preserve">  "success": </t>
    </r>
    <r>
      <rPr>
        <sz val="11"/>
        <rFont val="Courier New"/>
        <family val="3"/>
      </rPr>
      <t>false,</t>
    </r>
  </si>
  <si>
    <r>
      <t xml:space="preserve">  "payload": </t>
    </r>
    <r>
      <rPr>
        <sz val="11"/>
        <rFont val="Courier New"/>
        <family val="3"/>
      </rPr>
      <t>null,</t>
    </r>
  </si>
  <si>
    <r>
      <t xml:space="preserve">  "message": </t>
    </r>
    <r>
      <rPr>
        <sz val="11"/>
        <rFont val="Courier New"/>
        <family val="3"/>
      </rPr>
      <t>"Error in Request. Invalid: Old product and new product are same!!."</t>
    </r>
  </si>
  <si>
    <t xml:space="preserve">    "agentCode": "999999",</t>
  </si>
  <si>
    <t xml:space="preserve">    "agentCode": "99999",</t>
  </si>
  <si>
    <t xml:space="preserve">   "agentCode": "99999",</t>
  </si>
  <si>
    <t xml:space="preserve">  "message": "Tenancy cancelled successfully."</t>
  </si>
  <si>
    <t xml:space="preserve">      "CancellationReason": [</t>
  </si>
  <si>
    <t xml:space="preserve">        "Error in Request:Invalid CancellationReason."</t>
  </si>
  <si>
    <t xml:space="preserve">  "message": "Error in Request. Invalid: CancellationReason"</t>
  </si>
  <si>
    <t xml:space="preserve">    "RemovedApplicantList": [679730]</t>
  </si>
  <si>
    <t>Removed Applicant List</t>
  </si>
  <si>
    <t>List of removed applicant IDs</t>
  </si>
  <si>
    <t>enumerated list of cancellation reasons</t>
  </si>
  <si>
    <t xml:space="preserve">    "CancelApplicantFromTenancy": [</t>
  </si>
  <si>
    <t xml:space="preserve">        "applicantID": 679731,</t>
  </si>
  <si>
    <t xml:space="preserve">  "applicantID": 679731</t>
  </si>
  <si>
    <t xml:space="preserve">  "propertyTenancyId": 87812,</t>
  </si>
  <si>
    <t xml:space="preserve">        "Error in Request. Applicant Not Found."</t>
  </si>
  <si>
    <t xml:space="preserve">  "numberOfBedrooms": 3,</t>
  </si>
  <si>
    <t xml:space="preserve">  "noOfChildOccupants": 1,</t>
  </si>
  <si>
    <r>
      <t xml:space="preserve">  "message": </t>
    </r>
    <r>
      <rPr>
        <sz val="11"/>
        <rFont val="Courier New"/>
        <family val="3"/>
      </rPr>
      <t>"Internal error"</t>
    </r>
  </si>
  <si>
    <t>Can be null for no change</t>
  </si>
  <si>
    <t>Applicant not acceptable for Reference</t>
  </si>
  <si>
    <t>Applicant Acceptable for Reference</t>
  </si>
  <si>
    <t>Response Example: Fail - 422 field Validation Error</t>
  </si>
  <si>
    <t>Response Example: Fail - 422 No change to product Error</t>
  </si>
  <si>
    <t>Response Example: Fail  - 401 Client Credentials Error</t>
  </si>
  <si>
    <t>Response Example: Fail  - 401 Invalid Scope Error</t>
  </si>
  <si>
    <t>Response Example:  Success - 200</t>
  </si>
  <si>
    <t xml:space="preserve">  "rentGuarantee": 4,</t>
  </si>
  <si>
    <t xml:space="preserve">  "estimatedMoveInDate": "2023-06-01T10:55:02.383Z",</t>
  </si>
  <si>
    <t xml:space="preserve">The number of the property, mandatory OR pair with House name field </t>
  </si>
  <si>
    <t xml:space="preserve">The name of the property, mandatory OR pair with House number field </t>
  </si>
  <si>
    <t>Referencing Outcome Status</t>
  </si>
  <si>
    <t xml:space="preserve">Legacy - No Longer used </t>
  </si>
  <si>
    <t>The previous values returned from GetApplicantReference Status</t>
  </si>
  <si>
    <t>DocumentTypeID</t>
  </si>
  <si>
    <t>Applicant Reference Status</t>
  </si>
  <si>
    <t>Outcome from the reference, used in get Applicant reference call</t>
  </si>
  <si>
    <t>Status of the reference, used in get Applicant reference call</t>
  </si>
  <si>
    <t>403   Error: Forbidden</t>
  </si>
  <si>
    <t>Response Example: Fail - 403 Forbidden</t>
  </si>
  <si>
    <t xml:space="preserve">Returns a 403 error if foribidden </t>
  </si>
  <si>
    <r>
      <t xml:space="preserve">Returned bearer authentication Token, to be used as "bearer XYZ" where XYZ is the token. </t>
    </r>
    <r>
      <rPr>
        <sz val="11"/>
        <color theme="4"/>
        <rFont val="Calibri"/>
        <family val="2"/>
        <scheme val="minor"/>
      </rPr>
      <t>Note Microsoft .NET6 systems (or others that stringify JSON responses) are required to Trim the bearer token of double quotes, e.g.  client.DefaultRequestHeaders.Authorization = new AuthenticationHeaderValue("</t>
    </r>
    <r>
      <rPr>
        <b/>
        <sz val="11"/>
        <color theme="4"/>
        <rFont val="Calibri"/>
        <family val="2"/>
        <scheme val="minor"/>
      </rPr>
      <t>Bearer", token.Trim('"')</t>
    </r>
    <r>
      <rPr>
        <sz val="11"/>
        <color theme="4"/>
        <rFont val="Calibri"/>
        <family val="2"/>
        <scheme val="minor"/>
      </rPr>
      <t>);</t>
    </r>
  </si>
  <si>
    <t>Could not gather enough data to reference applicant, awating further data</t>
  </si>
  <si>
    <t>Acceptable with a Guarantor</t>
  </si>
  <si>
    <t>"success": true,</t>
  </si>
  <si>
    <t>"payload": {</t>
  </si>
  <si>
    <t>"propertyTenancyId": 87924,</t>
  </si>
  <si>
    <t>"changeLog": [</t>
  </si>
  <si>
    <t>"PropertyAddress changed from 123 Wimborne 333 Wimborne Road Yardley BIRMINGHAM B25 8BZ to 222 Wimborne 333 Wimborne Road Yardley BIRMINGHAM B25 8BZ.",</t>
  </si>
  <si>
    <t>"TenancyTermMonths changed from 12 to 6.",</t>
  </si>
  <si>
    <t>"MonthlyRental changed from 12.00 to 200.",</t>
  </si>
  <si>
    <t>"EstimatedMoveInDate changed from 6/7/2023 1:24:38 PM to 6/7/2023 1:24:37 PM.",</t>
  </si>
  <si>
    <t>"ApplicantID : 679865 - ShareOfRent changed from 3000.0 to 1000."</t>
  </si>
  <si>
    <t>"message": "Tenancy Details Amended successfully"</t>
  </si>
  <si>
    <t>"agentCode": "999999",</t>
  </si>
  <si>
    <t xml:space="preserve"> AddApplicantToTenancyWithIframe Example JSON</t>
  </si>
  <si>
    <t xml:space="preserve"> CreateReferenceWithApplicantIframe Example JSON</t>
  </si>
  <si>
    <t>CreateReferenceWithApplicantIframe</t>
  </si>
  <si>
    <t>/standardapi/v1/CreateReferenceWithApplicantIframe</t>
  </si>
  <si>
    <t>AddApplicantToTenancyWithIframe</t>
  </si>
  <si>
    <t>V r1.7</t>
  </si>
  <si>
    <t>2 Iframe Calls added</t>
  </si>
  <si>
    <t>Create reference and add applicant for iframe added</t>
  </si>
  <si>
    <t xml:space="preserve">  "message": "Applicant created successfully."</t>
  </si>
  <si>
    <t>​/api​/workflow​/StandardIntegration​/AddApplicantWithIframe</t>
  </si>
  <si>
    <t>V r1.8</t>
  </si>
  <si>
    <t>GetReferenceStatus</t>
  </si>
  <si>
    <t xml:space="preserve">Granular task status added to GetReferenceStatusCall, more detailed error keys added, Pending GetApplicantNotes call added </t>
  </si>
  <si>
    <t>​/api​/workflow​/StandardIntegration​/GetApplicantNotes</t>
  </si>
  <si>
    <t>Used  to retrieve notes attached to applicant, by applicant ID</t>
  </si>
  <si>
    <t xml:space="preserve">   "applicantId": 999999</t>
  </si>
  <si>
    <t xml:space="preserve">    "ApplicantNoteList": [</t>
  </si>
  <si>
    <t>NoteDateTime</t>
  </si>
  <si>
    <t>Date Time of Note</t>
  </si>
  <si>
    <t>Note contents</t>
  </si>
  <si>
    <t xml:space="preserve"> GetApplicantNotes Example JSON</t>
  </si>
  <si>
    <t xml:space="preserve">        "TaskStatus":[</t>
  </si>
  <si>
    <t xml:space="preserve">                     {</t>
  </si>
  <si>
    <t xml:space="preserve">                      "TaskName":"Employment Check"</t>
  </si>
  <si>
    <t xml:space="preserve">                      "Status": "Comlpleted",</t>
  </si>
  <si>
    <t>CompletedDate</t>
  </si>
  <si>
    <t>Task completion Date</t>
  </si>
  <si>
    <t xml:space="preserve">Completion Status </t>
  </si>
  <si>
    <t>Task Name. Note not all tasks are required for any given reference request. Tasks can include: "Employment Check"
"Self-Employment Check"
"Pension Check"
"Student Task"
"Unemployment Check"
"Savings Check"
"Investments Check"
"Right to Rent Check"
"Open Banking Income Task"
"Financial Referee Task Information"
"Residential Check"
"Background Check"
"Credit Check"</t>
  </si>
  <si>
    <t xml:space="preserve">     }</t>
  </si>
  <si>
    <t xml:space="preserve">                      "CompletedDate": "2023-01-15T10:17:58.443Z"</t>
  </si>
  <si>
    <t xml:space="preserve">                       }  </t>
  </si>
  <si>
    <t xml:space="preserve">                      ]</t>
  </si>
  <si>
    <t xml:space="preserve">        "noteDescription": "Note Note Note",</t>
  </si>
  <si>
    <t xml:space="preserve">        "noteDateTime": "2023-01-15T10:17:58.443Z",</t>
  </si>
  <si>
    <t xml:space="preserve">  "message": "Success"</t>
  </si>
  <si>
    <t>Summary Report</t>
  </si>
  <si>
    <t>V r1.9</t>
  </si>
  <si>
    <t>On Hold Report</t>
  </si>
  <si>
    <t>Auto Product</t>
  </si>
  <si>
    <t>Company Final report</t>
  </si>
  <si>
    <t xml:space="preserve">      "otherNames": [</t>
  </si>
  <si>
    <t xml:space="preserve">      "addressOtherDetailsViewModel": [</t>
  </si>
  <si>
    <t xml:space="preserve">          "addresses": [</t>
  </si>
  <si>
    <t xml:space="preserve">            {</t>
  </si>
  <si>
    <t xml:space="preserve">            }</t>
  </si>
  <si>
    <t xml:space="preserve">          ],</t>
  </si>
  <si>
    <t xml:space="preserve">          "ukAddress": {</t>
  </si>
  <si>
    <t xml:space="preserve">          },</t>
  </si>
  <si>
    <t xml:space="preserve">          "residentialDetails": {</t>
  </si>
  <si>
    <t xml:space="preserve">            "landlordAddress": {</t>
  </si>
  <si>
    <t xml:space="preserve">          "adverseCreditDetails": {</t>
  </si>
  <si>
    <t xml:space="preserve">          }</t>
  </si>
  <si>
    <t xml:space="preserve">      "referencingTenantIncomeViewModel": [</t>
  </si>
  <si>
    <t xml:space="preserve">          "employed": {</t>
  </si>
  <si>
    <t xml:space="preserve">          "selfEmployed": {</t>
  </si>
  <si>
    <t xml:space="preserve">            "accountantAddress": {</t>
  </si>
  <si>
    <t xml:space="preserve">            },</t>
  </si>
  <si>
    <t xml:space="preserve">          "pension": {</t>
  </si>
  <si>
    <t xml:space="preserve">          "investment": {</t>
  </si>
  <si>
    <t xml:space="preserve">          "saving": {</t>
  </si>
  <si>
    <t xml:space="preserve">          "unemployed": {</t>
  </si>
  <si>
    <t xml:space="preserve">      "bankDetails": {</t>
  </si>
  <si>
    <t xml:space="preserve">  "estimatedMoveInDate": "2023-07-20T09:57:50.515Z",</t>
  </si>
  <si>
    <t xml:space="preserve">      "firstName": "Juliet",</t>
  </si>
  <si>
    <t xml:space="preserve">      "middleName": "Barney",</t>
  </si>
  <si>
    <t xml:space="preserve">      "surname": "Clarke",</t>
  </si>
  <si>
    <t xml:space="preserve">      "shareOfRent": 525.26,</t>
  </si>
  <si>
    <t xml:space="preserve">      "telephoneCountryID": 1,</t>
  </si>
  <si>
    <t xml:space="preserve">      "emailAddress": "gajodal609@cnxcoin.com",</t>
  </si>
  <si>
    <t xml:space="preserve">      "dateOfBirth": "1986-10-12T00:00:00.0000000",</t>
  </si>
  <si>
    <t xml:space="preserve">      "nationality": 1,</t>
  </si>
  <si>
    <t xml:space="preserve">      "niNumber": "AB123456D",</t>
  </si>
  <si>
    <t xml:space="preserve">      "residentStatus": 1,</t>
  </si>
  <si>
    <t xml:space="preserve">          "firstName": "Chelsea",</t>
  </si>
  <si>
    <t xml:space="preserve">          "middleName": "Ali",</t>
  </si>
  <si>
    <t xml:space="preserve">          "lastName": "Woodley",</t>
  </si>
  <si>
    <t xml:space="preserve">          "nameChangeDate": "2020-10-12T00:00:00.0000000"</t>
  </si>
  <si>
    <t xml:space="preserve">              "houseNumber": "624",</t>
  </si>
  <si>
    <t xml:space="preserve">              "houseName": "ENFIELD",</t>
  </si>
  <si>
    <t xml:space="preserve">              "addressLine1": "Elsinge Road",</t>
  </si>
  <si>
    <t xml:space="preserve">              "addressLine2": "Acocks Green",</t>
  </si>
  <si>
    <t xml:space="preserve">              "town": "BARNET",</t>
  </si>
  <si>
    <t xml:space="preserve">              "postcode": "EN4 0NU",</t>
  </si>
  <si>
    <t xml:space="preserve">              "country": 1,</t>
  </si>
  <si>
    <t xml:space="preserve">              "isUKAddress": false,</t>
  </si>
  <si>
    <t xml:space="preserve">              "addressTypeId": 1,</t>
  </si>
  <si>
    <t xml:space="preserve">              "monthMovedIn": 1,</t>
  </si>
  <si>
    <t xml:space="preserve">              "yearMovedIn": 2020</t>
  </si>
  <si>
    <t xml:space="preserve">          "haveYouEverLivedInUk": true,</t>
  </si>
  <si>
    <t xml:space="preserve">            "houseNumber": "624",</t>
  </si>
  <si>
    <t xml:space="preserve">            "houseName": "ENFIELD",</t>
  </si>
  <si>
    <t xml:space="preserve">            "addressLine1": "Elsinge Road",</t>
  </si>
  <si>
    <t xml:space="preserve">            "addressLine2": "Acocks Green",</t>
  </si>
  <si>
    <t xml:space="preserve">            "town": "BARNET",</t>
  </si>
  <si>
    <t xml:space="preserve">            "postcode": "EN4 0NU",</t>
  </si>
  <si>
    <t xml:space="preserve">            "monthMovedIn": 1,</t>
  </si>
  <si>
    <t xml:space="preserve">            "yearMovedIn": 2015,</t>
  </si>
  <si>
    <t xml:space="preserve">            "monthMovedOut": 1,</t>
  </si>
  <si>
    <t xml:space="preserve">            "yearMovedOut": 2016</t>
  </si>
  <si>
    <t xml:space="preserve">            "currentResidentialStatus": 1,</t>
  </si>
  <si>
    <t xml:space="preserve">            "currentRentAmount": 220.5,</t>
  </si>
  <si>
    <t xml:space="preserve">            "landlordName": "string",</t>
  </si>
  <si>
    <t xml:space="preserve">            "landlordContactCountryId": 1,</t>
  </si>
  <si>
    <t xml:space="preserve">            "landlordContactNumber": "01245367891",</t>
  </si>
  <si>
    <t xml:space="preserve">            "landlordEmail": "paxoy72496@cmeinbox.com",</t>
  </si>
  <si>
    <t xml:space="preserve">              "houseNumber": "660",</t>
  </si>
  <si>
    <t xml:space="preserve">              "houseName": "Warwick",</t>
  </si>
  <si>
    <t xml:space="preserve">              "addressLine1": "111 Lee Crescent North",</t>
  </si>
  <si>
    <t xml:space="preserve">              "addressLine2": "Bridge of Don",</t>
  </si>
  <si>
    <t xml:space="preserve">              "town": "ABERDEEN",</t>
  </si>
  <si>
    <t xml:space="preserve">              "postcode": "AB22 8FQ"</t>
  </si>
  <si>
    <t xml:space="preserve">            "submittedisAdverseCredit": true,</t>
  </si>
  <si>
    <t xml:space="preserve">            "submittedisCCJ": true,</t>
  </si>
  <si>
    <t xml:space="preserve">            "submittedisBankruptcy": false,</t>
  </si>
  <si>
    <t xml:space="preserve">            "submittedisInsolvency": false,</t>
  </si>
  <si>
    <t xml:space="preserve">            "submittedisOtherAdverseCredit": false,</t>
  </si>
  <si>
    <t xml:space="preserve">            "submittedOtherAdverseCreditDesc": ""</t>
  </si>
  <si>
    <t xml:space="preserve">          "incomeTypeID": 1,</t>
  </si>
  <si>
    <t xml:space="preserve">          "incomeTermID": 1,</t>
  </si>
  <si>
    <t xml:space="preserve">            "countryOfEmployment": 1,</t>
  </si>
  <si>
    <t xml:space="preserve">            "employersName": "Mickey",</t>
  </si>
  <si>
    <t xml:space="preserve">            "jobTitle": "Developer",</t>
  </si>
  <si>
    <t xml:space="preserve">            "startDateofEmployment": "2000-06-11T00:00:00.0000000",</t>
  </si>
  <si>
    <t xml:space="preserve">            "employmentGrossAnnualIncome": 8000.5,</t>
  </si>
  <si>
    <t xml:space="preserve">            "netMonthlyIncome": 8000.5,</t>
  </si>
  <si>
    <t xml:space="preserve">            "employmentBonuses": true,</t>
  </si>
  <si>
    <t xml:space="preserve">            "employmentOvertimeReceived": true,</t>
  </si>
  <si>
    <t xml:space="preserve">            "employmentBonusTerm": 1,</t>
  </si>
  <si>
    <t xml:space="preserve">            "employmentAvgBonusIncome": 500,</t>
  </si>
  <si>
    <t xml:space="preserve">            "employmentOvertimeTerm": 1,</t>
  </si>
  <si>
    <t xml:space="preserve">            "employmentOvertimeAvgIncome": 0,</t>
  </si>
  <si>
    <t xml:space="preserve">            "employmentEmployeeNumber": "ABCD1234",</t>
  </si>
  <si>
    <t xml:space="preserve">            "paymentScheduleId": 1,</t>
  </si>
  <si>
    <t xml:space="preserve">            "employmentRefereeName": "Georgia",</t>
  </si>
  <si>
    <t xml:space="preserve">            "employmentRefereeContactCountryID": 1,</t>
  </si>
  <si>
    <t xml:space="preserve">            "employmentRefereeContactNumber": "01263458971",</t>
  </si>
  <si>
    <t xml:space="preserve">            "employmentRefereeEmail": "higiso7093@themesw.com",</t>
  </si>
  <si>
    <t xml:space="preserve">            "employmentRefereePosition": "Manager",</t>
  </si>
  <si>
    <t xml:space="preserve">            "addressLine1": "3 Broadgates Avenue",</t>
  </si>
  <si>
    <t xml:space="preserve">            "city": "BIRMINGHAM",</t>
  </si>
  <si>
    <t xml:space="preserve">            "postCode": "B27 6PX",</t>
  </si>
  <si>
    <t xml:space="preserve">            "employmentTypeId": 1,</t>
  </si>
  <si>
    <t xml:space="preserve">            "employmentZeroHourContract": false,</t>
  </si>
  <si>
    <t xml:space="preserve">            "industryType": 1</t>
  </si>
  <si>
    <t xml:space="preserve">            "tradingTypeId": 1,</t>
  </si>
  <si>
    <t xml:space="preserve">            "startDateOfSelfEmployment": "2022-10-10T00:00:00.0000000",</t>
  </si>
  <si>
    <t xml:space="preserve">            "selfEmployedGrossAnnualIncome": 5000.5,</t>
  </si>
  <si>
    <t xml:space="preserve">            "taxReturnSubmitted": false,</t>
  </si>
  <si>
    <t xml:space="preserve">            "doesApplicantUseAccountant": true,</t>
  </si>
  <si>
    <t xml:space="preserve">            "accountantCompanyName": "Alliance",</t>
  </si>
  <si>
    <t xml:space="preserve">            "accountantContactName": "Mickey Mouse",</t>
  </si>
  <si>
    <t xml:space="preserve">            "accountantContactNoCountryId": 1,</t>
  </si>
  <si>
    <t xml:space="preserve">            "accountantContactNumber": "02315647891",</t>
  </si>
  <si>
    <t xml:space="preserve">            "accountantEmailAddress": "wigojed456@unicsite.com",</t>
  </si>
  <si>
    <t xml:space="preserve">            "accountantContactPosition": "CEO",</t>
  </si>
  <si>
    <t xml:space="preserve">              "houseNumber": "123",</t>
  </si>
  <si>
    <t xml:space="preserve">              "houseName": "Wimborne",</t>
  </si>
  <si>
    <t xml:space="preserve">              "addressLine1": "333 Wimborne Road",</t>
  </si>
  <si>
    <t xml:space="preserve">              "addressLine2": "Yardley",</t>
  </si>
  <si>
    <t xml:space="preserve">              "town": "BIRMINGHAM",</t>
  </si>
  <si>
    <t xml:space="preserve">              "postcode": "B25 8BZ",</t>
  </si>
  <si>
    <t xml:space="preserve">              "ukCountryCode": 1</t>
  </si>
  <si>
    <t xml:space="preserve">            "pensionProvider": "Name of Pension Provider",</t>
  </si>
  <si>
    <t xml:space="preserve">            "netMonthlyIncome": 750.9,</t>
  </si>
  <si>
    <t xml:space="preserve">            "grossAnnualIncome": 750.9,</t>
  </si>
  <si>
    <t xml:space="preserve">            "startDateOfPension": "2023-10-05T00:00:00.0000000"</t>
  </si>
  <si>
    <t xml:space="preserve">            "investmentSchemeOrCompany": "Let Alliance",</t>
  </si>
  <si>
    <t xml:space="preserve">            "investmentAmount": 100000</t>
  </si>
  <si>
    <t xml:space="preserve">            "savingsAmount": 50000</t>
  </si>
  <si>
    <t xml:space="preserve">            "applicantBenefitsReceived": false,</t>
  </si>
  <si>
    <t xml:space="preserve">            "grossAnnualIncome": 8000.5,</t>
  </si>
  <si>
    <t xml:space="preserve">            "taxCredit": true,</t>
  </si>
  <si>
    <t xml:space="preserve">            "carerAllowance": false,</t>
  </si>
  <si>
    <t xml:space="preserve">            "childBenefit": true,</t>
  </si>
  <si>
    <t xml:space="preserve">            "disabilityBenefit": false,</t>
  </si>
  <si>
    <t xml:space="preserve">            "fosterAllowance": true,</t>
  </si>
  <si>
    <t xml:space="preserve">            "guardianAllowance": true,</t>
  </si>
  <si>
    <t xml:space="preserve">            "childMaintenance": true,</t>
  </si>
  <si>
    <t xml:space="preserve">            "housingBenefit": false,</t>
  </si>
  <si>
    <t xml:space="preserve">            "employmentSupport": true,</t>
  </si>
  <si>
    <t xml:space="preserve">            "universalCredit": true,</t>
  </si>
  <si>
    <t xml:space="preserve">            "startDate": "2000-06-11T00:00:00.0000000"</t>
  </si>
  <si>
    <t xml:space="preserve">        "bankSortCode": "123456",</t>
  </si>
  <si>
    <t xml:space="preserve">        "bankAccountNumber": "01324567"</t>
  </si>
  <si>
    <t xml:space="preserve">      "additionalInformation": "Additional information for the tenancy of tenant",</t>
  </si>
  <si>
    <t>startDate</t>
  </si>
  <si>
    <t>grossAnnualIncome</t>
  </si>
  <si>
    <t>selfEmployedGrossAnnualIncome</t>
  </si>
  <si>
    <t>industryType</t>
  </si>
  <si>
    <t>monthMovedOut</t>
  </si>
  <si>
    <t>haveYouEverLivedInUk</t>
  </si>
  <si>
    <t>Amount ofgross annual income in GBP</t>
  </si>
  <si>
    <t>Amount of self employed gross annual income in GBP</t>
  </si>
  <si>
    <t>Type of industry</t>
  </si>
  <si>
    <t>Has the applicant ever lived in the UK</t>
  </si>
  <si>
    <t>Additional report types added to enum list</t>
  </si>
  <si>
    <t>V r2.0</t>
  </si>
  <si>
    <t xml:space="preserve"> GetLatestNotes Example JSON</t>
  </si>
  <si>
    <t xml:space="preserve">   "agentCode": 999999</t>
  </si>
  <si>
    <t xml:space="preserve">   "notesFromDateTime": "2023-01-15T10:17:58.443Z",</t>
  </si>
  <si>
    <t>notesFromDateTime</t>
  </si>
  <si>
    <t xml:space="preserve">Date Time range of notes required from </t>
  </si>
  <si>
    <t xml:space="preserve">        "applicantID" = 1234,</t>
  </si>
  <si>
    <t xml:space="preserve">        "applicantID" = 4321,</t>
  </si>
  <si>
    <t>notesToDateTime</t>
  </si>
  <si>
    <t xml:space="preserve">   "notesToDateTime": "2023-01-15T10:17:58.443Z",</t>
  </si>
  <si>
    <t xml:space="preserve">Response Example: Fail - 422 Type Validation Error </t>
  </si>
  <si>
    <t xml:space="preserve">  "message": "Applicant Note sent successfully."</t>
  </si>
  <si>
    <t>GetApplicantNotes</t>
  </si>
  <si>
    <t>Added GetApplicantNotes call</t>
  </si>
  <si>
    <t>GetApplicantNotes Call added, PostApplicantReferenceNote responses updated</t>
  </si>
  <si>
    <t xml:space="preserve">        "emailAddress": "test@testtesttest.test"</t>
  </si>
  <si>
    <t xml:space="preserve">        "emailAddress": "test@testtesttest.com"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</si>
</sst>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b/>
      <sz val="11"/>
      <color theme="0"/>
      <name val="Calibri"/>
      <family val="2"/>
      <scheme val="minor"/>
    </font>
    <font>
      <sz val="10"/>
      <color theme="1"/>
      <name val="Calibri"/>
      <family val="2"/>
      <scheme val="minor"/>
    </font>
    <font>
      <sz val="10"/>
      <color theme="0"/>
      <name val="Calibri"/>
      <family val="2"/>
      <scheme val="minor"/>
    </font>
    <font>
      <sz val="9"/>
      <color theme="1"/>
      <name val="Calibri"/>
      <family val="2"/>
      <scheme val="minor"/>
    </font>
    <font>
      <sz val="9"/>
      <color theme="0"/>
      <name val="Calibri"/>
      <family val="2"/>
      <scheme val="minor"/>
    </font>
    <font>
      <sz val="10"/>
      <name val="Calibri"/>
      <family val="2"/>
      <scheme val="minor"/>
    </font>
    <font>
      <b/>
      <sz val="10"/>
      <color theme="1"/>
      <name val="Calibri"/>
      <family val="2"/>
      <scheme val="minor"/>
    </font>
    <font>
      <b/>
      <sz val="16"/>
      <color theme="1"/>
      <name val="Calibri"/>
      <family val="2"/>
      <scheme val="minor"/>
    </font>
    <font>
      <b/>
      <sz val="11"/>
      <color rgb="FF000000"/>
      <name val="Calibri"/>
      <family val="2"/>
    </font>
    <font>
      <b/>
      <sz val="12"/>
      <color theme="0"/>
      <name val="Calibri"/>
      <family val="2"/>
    </font>
    <font>
      <b/>
      <sz val="10"/>
      <color theme="0"/>
      <name val="Calibri"/>
      <family val="2"/>
    </font>
    <font>
      <sz val="10"/>
      <color rgb="FF000000"/>
      <name val="Calibri"/>
      <family val="2"/>
    </font>
    <font>
      <u/>
      <sz val="11"/>
      <color theme="10"/>
      <name val="Calibri"/>
      <family val="2"/>
      <scheme val="minor"/>
    </font>
    <font>
      <sz val="10"/>
      <color rgb="FF000000"/>
      <name val="Calibri"/>
      <family val="2"/>
      <scheme val="minor"/>
    </font>
    <font>
      <b/>
      <sz val="10"/>
      <color rgb="FFFF0000"/>
      <name val="Calibri"/>
      <family val="2"/>
    </font>
    <font>
      <sz val="11"/>
      <color rgb="FF000000"/>
      <name val="Calibri"/>
      <family val="2"/>
    </font>
    <font>
      <b/>
      <sz val="10"/>
      <color rgb="FFFFFFFF"/>
      <name val="Calibri"/>
      <family val="2"/>
    </font>
    <font>
      <sz val="12"/>
      <color theme="1"/>
      <name val="Calibri"/>
      <family val="2"/>
      <scheme val="minor"/>
    </font>
    <font>
      <sz val="11"/>
      <color theme="1"/>
      <name val="Courier New"/>
      <family val="3"/>
    </font>
    <font>
      <b/>
      <sz val="10"/>
      <color rgb="FF000000"/>
      <name val="Calibri"/>
      <family val="2"/>
    </font>
    <font>
      <sz val="11"/>
      <color rgb="FF000000"/>
      <name val="Calibri"/>
      <family val="2"/>
    </font>
    <font>
      <b/>
      <sz val="11"/>
      <color rgb="FF000000"/>
      <name val="Calibri"/>
      <family val="2"/>
      <scheme val="minor"/>
    </font>
    <font>
      <b/>
      <sz val="11"/>
      <color theme="1"/>
      <name val="Calibri"/>
      <family val="2"/>
      <scheme val="minor"/>
    </font>
    <font>
      <sz val="8"/>
      <name val="Calibri"/>
      <family val="2"/>
      <scheme val="minor"/>
    </font>
    <font>
      <sz val="11"/>
      <name val="Courier New"/>
      <family val="3"/>
    </font>
    <font>
      <sz val="11"/>
      <name val="Consolas"/>
      <family val="3"/>
    </font>
    <font>
      <sz val="11"/>
      <color theme="4"/>
      <name val="Calibri"/>
      <family val="2"/>
      <scheme val="minor"/>
    </font>
    <font>
      <b/>
      <sz val="11"/>
      <color theme="4"/>
      <name val="Calibri"/>
      <family val="2"/>
      <scheme val="minor"/>
    </font>
    <font>
      <sz val="9"/>
      <name val="Consolas"/>
      <family val="3"/>
    </font>
    <font>
      <sz val="11"/>
      <color rgb="FF000000"/>
      <name val="Calibri"/>
      <family val="2"/>
      <scheme val="minor"/>
    </font>
    <font>
      <b/>
      <sz val="11"/>
      <color rgb="FFFF0000"/>
      <name val="Calibri"/>
      <family val="2"/>
      <scheme val="minor"/>
    </font>
    <font>
      <strike/>
      <sz val="11"/>
      <color theme="1"/>
      <name val="Calibri"/>
      <family val="2"/>
      <scheme val="minor"/>
    </font>
    <font>
      <strike/>
      <sz val="11"/>
      <color rgb="FF000000"/>
      <name val="Calibri"/>
      <family val="2"/>
      <scheme val="minor"/>
    </font>
    <font>
      <b/>
      <sz val="11"/>
      <color rgb="FFFFFFFF"/>
      <name val="Calibri"/>
      <family val="2"/>
      <scheme val="minor"/>
    </font>
    <font>
      <sz val="11"/>
      <color rgb="FF172B4D"/>
      <name val="Calibri"/>
      <family val="2"/>
      <scheme val="minor"/>
    </font>
    <font>
      <b/>
      <sz val="11"/>
      <color theme="1" tint="0.34998626667073579"/>
      <name val="Calibri"/>
      <family val="2"/>
      <scheme val="minor"/>
    </font>
    <font>
      <sz val="11"/>
      <color theme="1" tint="0.34998626667073579"/>
      <name val="Calibri"/>
      <family val="2"/>
      <scheme val="minor"/>
    </font>
    <font>
      <b/>
      <sz val="11"/>
      <color rgb="FFFF0000"/>
      <name val="Courier New"/>
      <family val="3"/>
    </font>
    <font>
      <sz val="11"/>
      <color rgb="FF000000"/>
      <name val="Courier New"/>
      <family val="3"/>
    </font>
    <font>
      <sz val="11"/>
      <name val="Calibri"/>
      <family val="2"/>
      <scheme val="minor"/>
    </font>
  </fonts>
  <fills count="34">
    <fill>
      <patternFill patternType="none"/>
    </fill>
    <fill>
      <patternFill patternType="gray125"/>
    </fill>
    <fill>
      <patternFill patternType="solid">
        <fgColor theme="5" tint="-0.499984740745262"/>
        <bgColor indexed="64"/>
      </patternFill>
    </fill>
    <fill>
      <patternFill patternType="solid">
        <fgColor theme="1"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theme="1" tint="0.499984740745262"/>
        <bgColor indexed="64"/>
      </patternFill>
    </fill>
    <fill>
      <patternFill patternType="solid">
        <fgColor theme="2" tint="-0.499984740745262"/>
        <bgColor indexed="64"/>
      </patternFill>
    </fill>
    <fill>
      <patternFill patternType="solid">
        <fgColor theme="8" tint="0.39997558519241921"/>
        <bgColor indexed="64"/>
      </patternFill>
    </fill>
    <fill>
      <patternFill patternType="solid">
        <fgColor rgb="FF0070C0"/>
        <bgColor indexed="64"/>
      </patternFill>
    </fill>
    <fill>
      <patternFill patternType="solid">
        <fgColor rgb="FF002060"/>
        <bgColor indexed="64"/>
      </patternFill>
    </fill>
    <fill>
      <patternFill patternType="solid">
        <fgColor theme="6" tint="0.39997558519241921"/>
        <bgColor indexed="64"/>
      </patternFill>
    </fill>
    <fill>
      <patternFill patternType="solid">
        <fgColor theme="0" tint="-0.499984740745262"/>
        <bgColor indexed="64"/>
      </patternFill>
    </fill>
    <fill>
      <patternFill patternType="solid">
        <fgColor rgb="FFFEFFFE"/>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rgb="FF00B050"/>
        <bgColor indexed="64"/>
      </patternFill>
    </fill>
    <fill>
      <patternFill patternType="solid">
        <fgColor rgb="FFFFFF00"/>
        <bgColor indexed="64"/>
      </patternFill>
    </fill>
    <fill>
      <patternFill patternType="solid">
        <fgColor rgb="FF00B0F0"/>
        <bgColor indexed="64"/>
      </patternFill>
    </fill>
    <fill>
      <patternFill patternType="solid">
        <fgColor rgb="FFDDEBF7"/>
        <bgColor indexed="64"/>
      </patternFill>
    </fill>
    <fill>
      <patternFill patternType="solid">
        <fgColor rgb="FF833C0C"/>
        <bgColor indexed="64"/>
      </patternFill>
    </fill>
    <fill>
      <patternFill patternType="solid">
        <fgColor rgb="FFBFBFBF"/>
        <bgColor indexed="64"/>
      </patternFill>
    </fill>
    <fill>
      <patternFill patternType="solid">
        <fgColor rgb="FFF2F2F2"/>
        <bgColor indexed="64"/>
      </patternFill>
    </fill>
    <fill>
      <patternFill patternType="solid">
        <fgColor rgb="FFFFFFFF"/>
        <bgColor indexed="64"/>
      </patternFill>
    </fill>
    <fill>
      <patternFill patternType="solid">
        <fgColor rgb="FFD9E1F2"/>
        <bgColor indexed="64"/>
      </patternFill>
    </fill>
    <fill>
      <patternFill patternType="solid">
        <fgColor theme="0"/>
        <bgColor indexed="64"/>
      </patternFill>
    </fill>
    <fill>
      <patternFill patternType="solid">
        <fgColor rgb="FFC00000"/>
        <bgColor indexed="64"/>
      </patternFill>
    </fill>
    <fill>
      <patternFill patternType="solid">
        <fgColor rgb="FF92D050"/>
        <bgColor indexed="64"/>
      </patternFill>
    </fill>
    <fill>
      <patternFill patternType="solid">
        <fgColor theme="5"/>
        <bgColor indexed="64"/>
      </patternFill>
    </fill>
    <fill>
      <patternFill patternType="solid">
        <fgColor theme="2" tint="-0.249977111117893"/>
        <bgColor indexed="64"/>
      </patternFill>
    </fill>
    <fill>
      <patternFill patternType="solid">
        <fgColor rgb="FFDDEBF7"/>
        <bgColor rgb="FF000000"/>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ck">
        <color indexed="64"/>
      </right>
      <top style="medium">
        <color indexed="64"/>
      </top>
      <bottom/>
      <diagonal/>
    </border>
    <border>
      <left style="thick">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rgb="FF000000"/>
      </right>
      <top style="thin">
        <color rgb="FF000000"/>
      </top>
      <bottom style="thin">
        <color rgb="FF000000"/>
      </bottom>
      <diagonal/>
    </border>
  </borders>
  <cellStyleXfs count="2">
    <xf numFmtId="0" fontId="0" fillId="0" borderId="0"/>
    <xf numFmtId="0" fontId="13" fillId="0" borderId="0" applyNumberFormat="0" applyFill="0" applyBorder="0" applyAlignment="0" applyProtection="0"/>
  </cellStyleXfs>
  <cellXfs count="251">
    <xf numFmtId="0" fontId="0" fillId="0" borderId="0" xfId="0"/>
    <xf numFmtId="0" fontId="2" fillId="0" borderId="0" xfId="0" applyFont="1"/>
    <xf numFmtId="0" fontId="2" fillId="0" borderId="1" xfId="0" applyFont="1" applyBorder="1" applyAlignment="1">
      <alignment horizontal="center"/>
    </xf>
    <xf numFmtId="0" fontId="2" fillId="0" borderId="0" xfId="0" applyFont="1" applyAlignment="1">
      <alignment horizontal="center"/>
    </xf>
    <xf numFmtId="0" fontId="1" fillId="3" borderId="1" xfId="0" applyFont="1"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wrapText="1"/>
    </xf>
    <xf numFmtId="0" fontId="2" fillId="4" borderId="1" xfId="0" applyFont="1" applyFill="1" applyBorder="1" applyAlignment="1">
      <alignment horizontal="center"/>
    </xf>
    <xf numFmtId="0" fontId="2" fillId="6" borderId="1" xfId="0" applyFont="1" applyFill="1" applyBorder="1" applyAlignment="1">
      <alignment horizontal="center"/>
    </xf>
    <xf numFmtId="0" fontId="4" fillId="0" borderId="0" xfId="0" applyFont="1"/>
    <xf numFmtId="0" fontId="1" fillId="3" borderId="2" xfId="0" applyFont="1" applyFill="1" applyBorder="1" applyAlignment="1">
      <alignment wrapText="1"/>
    </xf>
    <xf numFmtId="0" fontId="4" fillId="8" borderId="1" xfId="0" applyFont="1" applyFill="1" applyBorder="1" applyAlignment="1">
      <alignment horizontal="center" vertical="center"/>
    </xf>
    <xf numFmtId="0" fontId="5" fillId="7" borderId="1" xfId="0" applyFont="1" applyFill="1" applyBorder="1" applyAlignment="1">
      <alignment textRotation="90"/>
    </xf>
    <xf numFmtId="0" fontId="4" fillId="5" borderId="1" xfId="0" applyFont="1" applyFill="1" applyBorder="1" applyAlignment="1">
      <alignment horizontal="center" vertical="center"/>
    </xf>
    <xf numFmtId="0" fontId="6" fillId="4" borderId="1" xfId="0" applyFont="1" applyFill="1" applyBorder="1" applyAlignment="1">
      <alignment horizontal="center"/>
    </xf>
    <xf numFmtId="0" fontId="2" fillId="0" borderId="0" xfId="0" applyFont="1" applyAlignment="1">
      <alignment wrapText="1"/>
    </xf>
    <xf numFmtId="0" fontId="2" fillId="4" borderId="2" xfId="0" applyFont="1" applyFill="1" applyBorder="1" applyAlignment="1">
      <alignment wrapText="1"/>
    </xf>
    <xf numFmtId="0" fontId="2" fillId="4" borderId="1" xfId="0" applyFont="1" applyFill="1" applyBorder="1" applyAlignment="1">
      <alignment wrapText="1"/>
    </xf>
    <xf numFmtId="0" fontId="2" fillId="0" borderId="0" xfId="0" applyFont="1" applyAlignment="1">
      <alignment horizontal="center" wrapText="1"/>
    </xf>
    <xf numFmtId="0" fontId="2" fillId="4" borderId="1" xfId="0" applyFont="1" applyFill="1" applyBorder="1" applyAlignment="1">
      <alignment horizontal="center" wrapText="1"/>
    </xf>
    <xf numFmtId="0" fontId="2" fillId="6" borderId="1" xfId="0" applyFont="1" applyFill="1" applyBorder="1" applyAlignment="1">
      <alignment horizontal="center" wrapText="1"/>
    </xf>
    <xf numFmtId="0" fontId="4" fillId="10" borderId="1" xfId="0" applyFont="1" applyFill="1" applyBorder="1" applyAlignment="1">
      <alignment horizontal="center" vertical="center"/>
    </xf>
    <xf numFmtId="0" fontId="4" fillId="7" borderId="1" xfId="0" applyFont="1" applyFill="1" applyBorder="1" applyAlignment="1">
      <alignment horizontal="center" vertical="center"/>
    </xf>
    <xf numFmtId="0" fontId="8" fillId="0" borderId="0" xfId="0" applyFont="1"/>
    <xf numFmtId="0" fontId="13" fillId="4" borderId="1" xfId="1" applyFill="1" applyBorder="1" applyAlignment="1">
      <alignment horizontal="center" wrapText="1"/>
    </xf>
    <xf numFmtId="0" fontId="13" fillId="6" borderId="1" xfId="1" applyFill="1" applyBorder="1" applyAlignment="1">
      <alignment horizontal="center" wrapText="1"/>
    </xf>
    <xf numFmtId="0" fontId="9" fillId="13" borderId="1" xfId="0" applyFont="1" applyFill="1" applyBorder="1" applyAlignment="1">
      <alignment vertical="center"/>
    </xf>
    <xf numFmtId="0" fontId="10" fillId="12" borderId="16" xfId="0" applyFont="1" applyFill="1" applyBorder="1" applyAlignment="1">
      <alignment horizontal="center" vertical="center"/>
    </xf>
    <xf numFmtId="0" fontId="10" fillId="11" borderId="11" xfId="0" applyFont="1" applyFill="1" applyBorder="1" applyAlignment="1">
      <alignment horizontal="center" vertical="center"/>
    </xf>
    <xf numFmtId="0" fontId="9" fillId="13" borderId="11" xfId="0" applyFont="1" applyFill="1" applyBorder="1" applyAlignment="1">
      <alignment horizontal="center" vertical="center"/>
    </xf>
    <xf numFmtId="0" fontId="9" fillId="13" borderId="12" xfId="0" applyFont="1" applyFill="1" applyBorder="1" applyAlignment="1">
      <alignment vertical="center"/>
    </xf>
    <xf numFmtId="0" fontId="14" fillId="14" borderId="12" xfId="0" applyFont="1" applyFill="1" applyBorder="1" applyAlignment="1">
      <alignment vertical="center"/>
    </xf>
    <xf numFmtId="0" fontId="16" fillId="0" borderId="1" xfId="0" applyFont="1" applyBorder="1" applyAlignment="1">
      <alignment vertical="center"/>
    </xf>
    <xf numFmtId="0" fontId="16" fillId="0" borderId="11"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14" xfId="0" applyFont="1" applyBorder="1" applyAlignment="1">
      <alignment vertical="center"/>
    </xf>
    <xf numFmtId="0" fontId="0" fillId="14" borderId="12" xfId="0" applyFill="1" applyBorder="1"/>
    <xf numFmtId="0" fontId="0" fillId="14" borderId="15" xfId="0" applyFill="1" applyBorder="1"/>
    <xf numFmtId="0" fontId="0" fillId="0" borderId="1" xfId="0" applyBorder="1" applyAlignment="1">
      <alignment horizontal="center"/>
    </xf>
    <xf numFmtId="0" fontId="1" fillId="11" borderId="16" xfId="0" applyFont="1" applyFill="1" applyBorder="1" applyAlignment="1">
      <alignment horizontal="center" vertical="center"/>
    </xf>
    <xf numFmtId="0" fontId="1" fillId="11" borderId="17" xfId="0" applyFont="1" applyFill="1" applyBorder="1" applyAlignment="1">
      <alignment horizontal="center" vertical="center"/>
    </xf>
    <xf numFmtId="0" fontId="1" fillId="11" borderId="18" xfId="0" applyFont="1" applyFill="1" applyBorder="1" applyAlignment="1">
      <alignment vertical="center"/>
    </xf>
    <xf numFmtId="0" fontId="0" fillId="0" borderId="11" xfId="0" applyBorder="1" applyAlignment="1">
      <alignment horizontal="center"/>
    </xf>
    <xf numFmtId="0" fontId="0" fillId="0" borderId="12" xfId="0" applyBorder="1"/>
    <xf numFmtId="0" fontId="3" fillId="2" borderId="1" xfId="0" applyFont="1" applyFill="1" applyBorder="1" applyAlignment="1">
      <alignment horizontal="center" vertical="center" textRotation="90"/>
    </xf>
    <xf numFmtId="0" fontId="0" fillId="0" borderId="0" xfId="0" applyAlignment="1">
      <alignment wrapText="1"/>
    </xf>
    <xf numFmtId="0" fontId="0" fillId="0" borderId="0" xfId="0" applyAlignment="1">
      <alignment horizontal="center"/>
    </xf>
    <xf numFmtId="0" fontId="7" fillId="0" borderId="0" xfId="0" applyFont="1" applyAlignment="1">
      <alignment wrapText="1"/>
    </xf>
    <xf numFmtId="0" fontId="2" fillId="0" borderId="16" xfId="0" applyFont="1" applyBorder="1" applyAlignment="1">
      <alignment wrapText="1"/>
    </xf>
    <xf numFmtId="0" fontId="2" fillId="0" borderId="11" xfId="0" applyFont="1" applyBorder="1" applyAlignment="1">
      <alignment wrapText="1"/>
    </xf>
    <xf numFmtId="0" fontId="2" fillId="0" borderId="13" xfId="0" applyFont="1" applyBorder="1" applyAlignment="1">
      <alignment wrapText="1"/>
    </xf>
    <xf numFmtId="0" fontId="4" fillId="16" borderId="18" xfId="0" applyFont="1" applyFill="1" applyBorder="1"/>
    <xf numFmtId="0" fontId="4" fillId="17" borderId="12" xfId="0" applyFont="1" applyFill="1" applyBorder="1"/>
    <xf numFmtId="0" fontId="4" fillId="18" borderId="12" xfId="0" applyFont="1" applyFill="1" applyBorder="1"/>
    <xf numFmtId="0" fontId="4" fillId="19" borderId="12" xfId="0" applyFont="1" applyFill="1" applyBorder="1"/>
    <xf numFmtId="0" fontId="4" fillId="20" borderId="12" xfId="0" applyFont="1" applyFill="1" applyBorder="1"/>
    <xf numFmtId="0" fontId="4" fillId="21" borderId="15" xfId="0" applyFont="1" applyFill="1" applyBorder="1"/>
    <xf numFmtId="0" fontId="2" fillId="6" borderId="1" xfId="0" applyFont="1" applyFill="1" applyBorder="1" applyAlignment="1">
      <alignment wrapText="1"/>
    </xf>
    <xf numFmtId="0" fontId="16" fillId="0" borderId="1" xfId="0" applyFont="1" applyBorder="1"/>
    <xf numFmtId="0" fontId="13" fillId="0" borderId="1" xfId="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wrapText="1"/>
    </xf>
    <xf numFmtId="0" fontId="0" fillId="0" borderId="22" xfId="0" applyBorder="1"/>
    <xf numFmtId="0" fontId="1" fillId="3" borderId="4" xfId="0" applyFont="1" applyFill="1" applyBorder="1" applyAlignment="1">
      <alignment horizontal="center" wrapText="1"/>
    </xf>
    <xf numFmtId="0" fontId="19" fillId="22" borderId="22" xfId="0" applyFont="1" applyFill="1" applyBorder="1"/>
    <xf numFmtId="0" fontId="0" fillId="0" borderId="22" xfId="0" applyBorder="1" applyAlignment="1">
      <alignment horizontal="center"/>
    </xf>
    <xf numFmtId="0" fontId="0" fillId="0" borderId="22" xfId="0" applyBorder="1" applyAlignment="1">
      <alignment wrapText="1"/>
    </xf>
    <xf numFmtId="0" fontId="2" fillId="4" borderId="1" xfId="0" applyFont="1" applyFill="1" applyBorder="1" applyAlignment="1">
      <alignment horizontal="left" wrapText="1"/>
    </xf>
    <xf numFmtId="0" fontId="13" fillId="24" borderId="1" xfId="1" applyFill="1" applyBorder="1" applyAlignment="1">
      <alignment horizontal="center" wrapText="1"/>
    </xf>
    <xf numFmtId="0" fontId="14" fillId="4" borderId="1" xfId="0" applyFont="1" applyFill="1" applyBorder="1" applyAlignment="1">
      <alignment horizontal="center"/>
    </xf>
    <xf numFmtId="0" fontId="14" fillId="6" borderId="1" xfId="0" applyFont="1" applyFill="1" applyBorder="1" applyAlignment="1">
      <alignment horizontal="center"/>
    </xf>
    <xf numFmtId="0" fontId="2" fillId="25" borderId="1" xfId="0" applyFont="1" applyFill="1" applyBorder="1" applyAlignment="1">
      <alignment horizontal="center"/>
    </xf>
    <xf numFmtId="0" fontId="2" fillId="25" borderId="1" xfId="0" applyFont="1" applyFill="1" applyBorder="1" applyAlignment="1">
      <alignment horizontal="center" wrapText="1"/>
    </xf>
    <xf numFmtId="0" fontId="2" fillId="25" borderId="1" xfId="0" applyFont="1" applyFill="1" applyBorder="1" applyAlignment="1">
      <alignment wrapText="1"/>
    </xf>
    <xf numFmtId="0" fontId="2" fillId="24" borderId="1" xfId="0" applyFont="1" applyFill="1" applyBorder="1" applyAlignment="1">
      <alignment horizontal="center"/>
    </xf>
    <xf numFmtId="0" fontId="2" fillId="24" borderId="1" xfId="0" applyFont="1" applyFill="1" applyBorder="1" applyAlignment="1">
      <alignment horizontal="center" wrapText="1"/>
    </xf>
    <xf numFmtId="0" fontId="2" fillId="24" borderId="1" xfId="0" applyFont="1" applyFill="1" applyBorder="1" applyAlignment="1">
      <alignment wrapText="1"/>
    </xf>
    <xf numFmtId="0" fontId="14" fillId="4" borderId="1" xfId="0" applyFont="1" applyFill="1" applyBorder="1" applyAlignment="1">
      <alignment horizontal="center" wrapText="1"/>
    </xf>
    <xf numFmtId="0" fontId="14" fillId="4" borderId="1" xfId="0" applyFont="1" applyFill="1" applyBorder="1" applyAlignment="1">
      <alignment wrapText="1"/>
    </xf>
    <xf numFmtId="0" fontId="13" fillId="25" borderId="1" xfId="1" applyFill="1" applyBorder="1" applyAlignment="1">
      <alignment horizontal="center" wrapText="1"/>
    </xf>
    <xf numFmtId="0" fontId="4" fillId="27" borderId="1" xfId="0" applyFont="1" applyFill="1" applyBorder="1" applyAlignment="1">
      <alignment horizontal="center" vertical="center"/>
    </xf>
    <xf numFmtId="0" fontId="0" fillId="0" borderId="13" xfId="0" applyBorder="1" applyAlignment="1">
      <alignment horizontal="center"/>
    </xf>
    <xf numFmtId="0" fontId="0" fillId="0" borderId="14" xfId="0" applyBorder="1" applyAlignment="1">
      <alignment horizontal="center"/>
    </xf>
    <xf numFmtId="0" fontId="12" fillId="24" borderId="0" xfId="0" applyFont="1" applyFill="1"/>
    <xf numFmtId="0" fontId="1" fillId="3" borderId="0" xfId="0" applyFont="1" applyFill="1" applyAlignment="1">
      <alignment horizontal="center" wrapText="1"/>
    </xf>
    <xf numFmtId="0" fontId="0" fillId="0" borderId="26" xfId="0" applyBorder="1"/>
    <xf numFmtId="0" fontId="19" fillId="22" borderId="25" xfId="0" applyFont="1" applyFill="1" applyBorder="1"/>
    <xf numFmtId="0" fontId="0" fillId="0" borderId="25" xfId="0" applyBorder="1"/>
    <xf numFmtId="0" fontId="19" fillId="22" borderId="31" xfId="0" applyFont="1" applyFill="1" applyBorder="1"/>
    <xf numFmtId="0" fontId="0" fillId="0" borderId="1" xfId="0" applyBorder="1"/>
    <xf numFmtId="0" fontId="2" fillId="28" borderId="2" xfId="0" applyFont="1" applyFill="1" applyBorder="1" applyAlignment="1">
      <alignment wrapText="1"/>
    </xf>
    <xf numFmtId="0" fontId="23" fillId="20" borderId="27" xfId="0" applyFont="1" applyFill="1" applyBorder="1"/>
    <xf numFmtId="0" fontId="23" fillId="20" borderId="28" xfId="0" applyFont="1" applyFill="1" applyBorder="1"/>
    <xf numFmtId="0" fontId="23" fillId="20" borderId="29" xfId="0" applyFont="1" applyFill="1" applyBorder="1"/>
    <xf numFmtId="0" fontId="23" fillId="0" borderId="0" xfId="0" applyFont="1"/>
    <xf numFmtId="0" fontId="0" fillId="0" borderId="1" xfId="0" quotePrefix="1" applyBorder="1" applyAlignment="1">
      <alignment horizontal="center"/>
    </xf>
    <xf numFmtId="0" fontId="25" fillId="22" borderId="22" xfId="0" applyFont="1" applyFill="1" applyBorder="1"/>
    <xf numFmtId="0" fontId="1" fillId="29" borderId="30" xfId="0" applyFont="1" applyFill="1" applyBorder="1" applyAlignment="1">
      <alignment horizontal="left"/>
    </xf>
    <xf numFmtId="0" fontId="1" fillId="29" borderId="0" xfId="0" applyFont="1" applyFill="1" applyAlignment="1">
      <alignment horizontal="left"/>
    </xf>
    <xf numFmtId="0" fontId="19" fillId="22" borderId="22" xfId="0" applyFont="1" applyFill="1" applyBorder="1" applyAlignment="1">
      <alignment horizontal="center" wrapText="1"/>
    </xf>
    <xf numFmtId="0" fontId="0" fillId="0" borderId="22" xfId="0" applyBorder="1" applyAlignment="1">
      <alignment vertical="top"/>
    </xf>
    <xf numFmtId="0" fontId="0" fillId="0" borderId="22" xfId="0" applyBorder="1" applyAlignment="1">
      <alignment vertical="top" wrapText="1"/>
    </xf>
    <xf numFmtId="0" fontId="19" fillId="22" borderId="30" xfId="0" applyFont="1" applyFill="1" applyBorder="1"/>
    <xf numFmtId="0" fontId="0" fillId="0" borderId="30" xfId="0" applyBorder="1"/>
    <xf numFmtId="0" fontId="12" fillId="4" borderId="1" xfId="0" applyFont="1" applyFill="1" applyBorder="1" applyAlignment="1">
      <alignment horizontal="left" wrapText="1"/>
    </xf>
    <xf numFmtId="0" fontId="1" fillId="29" borderId="33" xfId="0" applyFont="1" applyFill="1" applyBorder="1" applyAlignment="1">
      <alignment horizontal="left"/>
    </xf>
    <xf numFmtId="0" fontId="0" fillId="0" borderId="22" xfId="0" applyBorder="1" applyAlignment="1">
      <alignment horizontal="right"/>
    </xf>
    <xf numFmtId="0" fontId="0" fillId="0" borderId="34" xfId="0" applyBorder="1"/>
    <xf numFmtId="0" fontId="19" fillId="22" borderId="1" xfId="0" applyFont="1" applyFill="1" applyBorder="1"/>
    <xf numFmtId="0" fontId="0" fillId="0" borderId="1" xfId="0" applyBorder="1" applyAlignment="1">
      <alignment horizontal="right"/>
    </xf>
    <xf numFmtId="0" fontId="25" fillId="22" borderId="1" xfId="0" applyFont="1" applyFill="1" applyBorder="1"/>
    <xf numFmtId="0" fontId="0" fillId="0" borderId="30" xfId="0" applyBorder="1" applyAlignment="1">
      <alignment horizontal="center"/>
    </xf>
    <xf numFmtId="0" fontId="26" fillId="0" borderId="0" xfId="0" applyFont="1" applyAlignment="1">
      <alignment vertical="center"/>
    </xf>
    <xf numFmtId="0" fontId="19" fillId="22" borderId="32" xfId="0" applyFont="1" applyFill="1" applyBorder="1"/>
    <xf numFmtId="0" fontId="1" fillId="31" borderId="0" xfId="0" applyFont="1" applyFill="1" applyAlignment="1">
      <alignment horizontal="left"/>
    </xf>
    <xf numFmtId="0" fontId="1" fillId="31" borderId="35" xfId="0" applyFont="1" applyFill="1" applyBorder="1" applyAlignment="1">
      <alignment horizontal="left"/>
    </xf>
    <xf numFmtId="0" fontId="1" fillId="29" borderId="35" xfId="0" applyFont="1" applyFill="1" applyBorder="1" applyAlignment="1">
      <alignment horizontal="left"/>
    </xf>
    <xf numFmtId="0" fontId="25" fillId="22" borderId="31" xfId="0" applyFont="1" applyFill="1" applyBorder="1"/>
    <xf numFmtId="0" fontId="1" fillId="28" borderId="0" xfId="0" applyFont="1" applyFill="1" applyAlignment="1">
      <alignment horizontal="center" wrapText="1"/>
    </xf>
    <xf numFmtId="0" fontId="0" fillId="28" borderId="0" xfId="0" applyFill="1"/>
    <xf numFmtId="0" fontId="19" fillId="28" borderId="0" xfId="0" applyFont="1" applyFill="1"/>
    <xf numFmtId="0" fontId="0" fillId="0" borderId="11" xfId="0" applyBorder="1" applyAlignment="1">
      <alignment horizontal="center" vertical="center"/>
    </xf>
    <xf numFmtId="0" fontId="30" fillId="0" borderId="1" xfId="0" applyFont="1" applyBorder="1" applyAlignment="1">
      <alignment vertical="center"/>
    </xf>
    <xf numFmtId="0" fontId="30" fillId="0" borderId="12" xfId="0" applyFont="1" applyBorder="1"/>
    <xf numFmtId="0" fontId="0" fillId="0" borderId="13" xfId="0" applyBorder="1" applyAlignment="1">
      <alignment horizontal="center" vertical="center"/>
    </xf>
    <xf numFmtId="0" fontId="30" fillId="0" borderId="14" xfId="0" applyFont="1" applyBorder="1" applyAlignment="1">
      <alignment vertical="center"/>
    </xf>
    <xf numFmtId="0" fontId="30" fillId="14" borderId="12" xfId="0" applyFont="1" applyFill="1" applyBorder="1"/>
    <xf numFmtId="0" fontId="30" fillId="14" borderId="12" xfId="0" applyFont="1" applyFill="1" applyBorder="1" applyAlignment="1">
      <alignment vertical="center"/>
    </xf>
    <xf numFmtId="0" fontId="30" fillId="14" borderId="15" xfId="0" applyFont="1" applyFill="1" applyBorder="1" applyAlignment="1">
      <alignment vertical="center"/>
    </xf>
    <xf numFmtId="0" fontId="31" fillId="0" borderId="0" xfId="0" applyFont="1"/>
    <xf numFmtId="0" fontId="32" fillId="0" borderId="11" xfId="0" applyFont="1" applyBorder="1" applyAlignment="1">
      <alignment horizontal="center" vertical="center"/>
    </xf>
    <xf numFmtId="0" fontId="32" fillId="0" borderId="11" xfId="0" applyFont="1" applyBorder="1" applyAlignment="1">
      <alignment horizontal="left" vertical="center"/>
    </xf>
    <xf numFmtId="0" fontId="30" fillId="28" borderId="15" xfId="0" applyFont="1" applyFill="1" applyBorder="1" applyAlignment="1">
      <alignment vertical="center"/>
    </xf>
    <xf numFmtId="0" fontId="32" fillId="0" borderId="13" xfId="0" applyFont="1" applyBorder="1" applyAlignment="1">
      <alignment horizontal="center" vertical="center"/>
    </xf>
    <xf numFmtId="0" fontId="32" fillId="28" borderId="13" xfId="0" applyFont="1" applyFill="1" applyBorder="1" applyAlignment="1">
      <alignment horizontal="center" vertical="center"/>
    </xf>
    <xf numFmtId="0" fontId="30" fillId="8" borderId="12" xfId="0" applyFont="1" applyFill="1" applyBorder="1" applyAlignment="1">
      <alignment vertical="center"/>
    </xf>
    <xf numFmtId="0" fontId="30" fillId="8" borderId="15" xfId="0" applyFont="1" applyFill="1" applyBorder="1" applyAlignment="1">
      <alignment vertical="center"/>
    </xf>
    <xf numFmtId="0" fontId="0" fillId="14" borderId="22" xfId="0" applyFill="1" applyBorder="1"/>
    <xf numFmtId="0" fontId="0" fillId="8" borderId="22" xfId="0" applyFill="1" applyBorder="1"/>
    <xf numFmtId="0" fontId="0" fillId="0" borderId="11" xfId="0" applyBorder="1" applyAlignment="1">
      <alignment vertical="center" wrapText="1"/>
    </xf>
    <xf numFmtId="0" fontId="0" fillId="28" borderId="15" xfId="0" applyFill="1" applyBorder="1"/>
    <xf numFmtId="0" fontId="0" fillId="28" borderId="12" xfId="0" applyFill="1" applyBorder="1"/>
    <xf numFmtId="0" fontId="0" fillId="0" borderId="13" xfId="0" applyBorder="1" applyAlignment="1">
      <alignment vertical="center" wrapText="1"/>
    </xf>
    <xf numFmtId="0" fontId="0" fillId="0" borderId="11" xfId="0" applyBorder="1"/>
    <xf numFmtId="0" fontId="0" fillId="0" borderId="13" xfId="0" applyBorder="1"/>
    <xf numFmtId="0" fontId="0" fillId="0" borderId="14" xfId="0" applyBorder="1"/>
    <xf numFmtId="0" fontId="1" fillId="12" borderId="16" xfId="0" applyFont="1" applyFill="1" applyBorder="1" applyAlignment="1">
      <alignment horizontal="center" vertical="center"/>
    </xf>
    <xf numFmtId="0" fontId="1" fillId="11" borderId="11" xfId="0" applyFont="1" applyFill="1" applyBorder="1" applyAlignment="1">
      <alignment horizontal="center" vertical="center"/>
    </xf>
    <xf numFmtId="0" fontId="22" fillId="13" borderId="11" xfId="0" applyFont="1" applyFill="1" applyBorder="1" applyAlignment="1">
      <alignment horizontal="center" vertical="center"/>
    </xf>
    <xf numFmtId="0" fontId="22" fillId="13" borderId="1" xfId="0" applyFont="1" applyFill="1" applyBorder="1" applyAlignment="1">
      <alignment vertical="center"/>
    </xf>
    <xf numFmtId="0" fontId="22" fillId="13" borderId="12" xfId="0" applyFont="1" applyFill="1" applyBorder="1" applyAlignment="1">
      <alignment vertical="center"/>
    </xf>
    <xf numFmtId="0" fontId="33" fillId="0" borderId="1" xfId="0" applyFont="1" applyBorder="1" applyAlignment="1">
      <alignment vertical="center"/>
    </xf>
    <xf numFmtId="0" fontId="0" fillId="0" borderId="1" xfId="0" applyBorder="1" applyAlignment="1">
      <alignment vertical="center"/>
    </xf>
    <xf numFmtId="0" fontId="0" fillId="0" borderId="14" xfId="0" applyBorder="1" applyAlignment="1">
      <alignment vertical="center"/>
    </xf>
    <xf numFmtId="0" fontId="33" fillId="14" borderId="12" xfId="0" applyFont="1" applyFill="1" applyBorder="1" applyAlignment="1">
      <alignment vertical="center"/>
    </xf>
    <xf numFmtId="0" fontId="1" fillId="12" borderId="19" xfId="0" applyFont="1" applyFill="1" applyBorder="1" applyAlignment="1">
      <alignment horizontal="center" vertical="center"/>
    </xf>
    <xf numFmtId="0" fontId="33" fillId="14" borderId="15" xfId="0" applyFont="1" applyFill="1" applyBorder="1" applyAlignment="1">
      <alignment vertical="center"/>
    </xf>
    <xf numFmtId="0" fontId="33" fillId="28" borderId="14" xfId="0" applyFont="1" applyFill="1" applyBorder="1" applyAlignment="1">
      <alignment vertical="center"/>
    </xf>
    <xf numFmtId="0" fontId="30" fillId="15" borderId="1" xfId="0" applyFont="1" applyFill="1" applyBorder="1" applyAlignment="1">
      <alignment vertical="center"/>
    </xf>
    <xf numFmtId="0" fontId="30" fillId="15" borderId="1" xfId="0" applyFont="1" applyFill="1" applyBorder="1" applyAlignment="1">
      <alignment vertical="center" wrapText="1"/>
    </xf>
    <xf numFmtId="0" fontId="22" fillId="13" borderId="23" xfId="0" applyFont="1" applyFill="1" applyBorder="1" applyAlignment="1">
      <alignment horizontal="center" vertical="center"/>
    </xf>
    <xf numFmtId="0" fontId="22" fillId="13" borderId="4" xfId="0" applyFont="1" applyFill="1" applyBorder="1" applyAlignment="1">
      <alignment vertical="center"/>
    </xf>
    <xf numFmtId="0" fontId="22" fillId="13" borderId="24" xfId="0" applyFont="1" applyFill="1" applyBorder="1" applyAlignment="1">
      <alignment vertical="center"/>
    </xf>
    <xf numFmtId="0" fontId="30" fillId="0" borderId="22" xfId="0" applyFont="1" applyBorder="1"/>
    <xf numFmtId="0" fontId="30" fillId="0" borderId="1" xfId="0" applyFont="1" applyBorder="1"/>
    <xf numFmtId="0" fontId="30" fillId="0" borderId="11" xfId="0" applyFont="1" applyBorder="1"/>
    <xf numFmtId="0" fontId="1" fillId="12" borderId="1" xfId="0" applyFont="1" applyFill="1" applyBorder="1" applyAlignment="1">
      <alignment horizontal="center" vertical="center"/>
    </xf>
    <xf numFmtId="0" fontId="1" fillId="11" borderId="1" xfId="0" applyFont="1" applyFill="1" applyBorder="1" applyAlignment="1">
      <alignment horizontal="center" vertical="center"/>
    </xf>
    <xf numFmtId="0" fontId="22" fillId="13" borderId="1" xfId="0" applyFont="1" applyFill="1" applyBorder="1" applyAlignment="1">
      <alignment horizontal="center" vertical="center"/>
    </xf>
    <xf numFmtId="0" fontId="35" fillId="26" borderId="1" xfId="0" applyFont="1" applyFill="1" applyBorder="1" applyAlignment="1">
      <alignment vertical="center" wrapText="1"/>
    </xf>
    <xf numFmtId="0" fontId="36" fillId="32" borderId="16" xfId="0" applyFont="1" applyFill="1" applyBorder="1" applyAlignment="1">
      <alignment horizontal="center" vertical="center"/>
    </xf>
    <xf numFmtId="0" fontId="36" fillId="32" borderId="11" xfId="0" applyFont="1" applyFill="1" applyBorder="1" applyAlignment="1">
      <alignment horizontal="center" vertical="center"/>
    </xf>
    <xf numFmtId="0" fontId="36" fillId="32" borderId="1" xfId="0" applyFont="1" applyFill="1" applyBorder="1" applyAlignment="1">
      <alignment vertical="center"/>
    </xf>
    <xf numFmtId="0" fontId="36" fillId="32" borderId="12" xfId="0" applyFont="1" applyFill="1" applyBorder="1" applyAlignment="1">
      <alignment vertical="center"/>
    </xf>
    <xf numFmtId="0" fontId="37" fillId="32" borderId="11" xfId="0" applyFont="1" applyFill="1" applyBorder="1" applyAlignment="1">
      <alignment horizontal="center" vertical="center"/>
    </xf>
    <xf numFmtId="0" fontId="37" fillId="32" borderId="1" xfId="0" applyFont="1" applyFill="1" applyBorder="1" applyAlignment="1">
      <alignment vertical="center"/>
    </xf>
    <xf numFmtId="0" fontId="37" fillId="32" borderId="12" xfId="0" applyFont="1" applyFill="1" applyBorder="1" applyAlignment="1">
      <alignment vertical="center"/>
    </xf>
    <xf numFmtId="0" fontId="37" fillId="32" borderId="13" xfId="0" applyFont="1" applyFill="1" applyBorder="1" applyAlignment="1">
      <alignment horizontal="center" vertical="center"/>
    </xf>
    <xf numFmtId="0" fontId="37" fillId="32" borderId="14" xfId="0" applyFont="1" applyFill="1" applyBorder="1" applyAlignment="1">
      <alignment vertical="center"/>
    </xf>
    <xf numFmtId="0" fontId="37" fillId="32" borderId="15" xfId="0" applyFont="1" applyFill="1" applyBorder="1" applyAlignment="1">
      <alignment vertical="center"/>
    </xf>
    <xf numFmtId="0" fontId="31" fillId="0" borderId="22" xfId="0" applyFont="1" applyBorder="1"/>
    <xf numFmtId="0" fontId="38" fillId="22" borderId="22" xfId="0" applyFont="1" applyFill="1" applyBorder="1"/>
    <xf numFmtId="0" fontId="18" fillId="9" borderId="1" xfId="0" applyFont="1" applyFill="1" applyBorder="1" applyAlignment="1">
      <alignment horizontal="center" textRotation="90"/>
    </xf>
    <xf numFmtId="0" fontId="5" fillId="7" borderId="0" xfId="0" applyFont="1" applyFill="1" applyAlignment="1">
      <alignment horizontal="center" vertical="center"/>
    </xf>
    <xf numFmtId="0" fontId="18" fillId="5" borderId="1" xfId="0" applyFont="1" applyFill="1" applyBorder="1" applyAlignment="1">
      <alignment horizontal="center" textRotation="90"/>
    </xf>
    <xf numFmtId="0" fontId="18" fillId="8" borderId="1" xfId="0" applyFont="1" applyFill="1" applyBorder="1" applyAlignment="1">
      <alignment horizontal="center" textRotation="90"/>
    </xf>
    <xf numFmtId="0" fontId="3" fillId="2" borderId="7" xfId="0" applyFont="1" applyFill="1" applyBorder="1" applyAlignment="1">
      <alignment horizontal="center" vertical="center" textRotation="90"/>
    </xf>
    <xf numFmtId="0" fontId="3" fillId="2" borderId="0" xfId="0" applyFont="1" applyFill="1" applyAlignment="1">
      <alignment horizontal="center" vertical="center" textRotation="90"/>
    </xf>
    <xf numFmtId="0" fontId="3" fillId="2" borderId="1" xfId="0" applyFont="1" applyFill="1" applyBorder="1" applyAlignment="1">
      <alignment horizontal="center" vertical="center" textRotation="90"/>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vertical="center" textRotation="90"/>
    </xf>
    <xf numFmtId="0" fontId="3" fillId="2" borderId="5" xfId="0" applyFont="1" applyFill="1" applyBorder="1" applyAlignment="1">
      <alignment horizontal="center" vertical="center" textRotation="90"/>
    </xf>
    <xf numFmtId="0" fontId="3" fillId="2" borderId="6" xfId="0" applyFont="1" applyFill="1" applyBorder="1" applyAlignment="1">
      <alignment horizontal="center" vertical="center" textRotation="90"/>
    </xf>
    <xf numFmtId="0" fontId="2" fillId="23" borderId="7" xfId="0" applyFont="1" applyFill="1" applyBorder="1" applyAlignment="1">
      <alignment horizontal="center"/>
    </xf>
    <xf numFmtId="0" fontId="2" fillId="23" borderId="0" xfId="0" applyFont="1" applyFill="1" applyAlignment="1">
      <alignment horizontal="center"/>
    </xf>
    <xf numFmtId="0" fontId="3" fillId="2" borderId="9" xfId="0" applyFont="1" applyFill="1" applyBorder="1" applyAlignment="1">
      <alignment horizontal="center" vertical="center" textRotation="90"/>
    </xf>
    <xf numFmtId="0" fontId="3" fillId="2" borderId="10" xfId="0" applyFont="1" applyFill="1" applyBorder="1" applyAlignment="1">
      <alignment horizontal="center" vertical="center" textRotation="90"/>
    </xf>
    <xf numFmtId="0" fontId="3" fillId="2" borderId="8" xfId="0" applyFont="1" applyFill="1" applyBorder="1" applyAlignment="1">
      <alignment horizontal="center" textRotation="90"/>
    </xf>
    <xf numFmtId="0" fontId="3" fillId="2" borderId="9" xfId="0" applyFont="1" applyFill="1" applyBorder="1" applyAlignment="1">
      <alignment horizontal="center" textRotation="90"/>
    </xf>
    <xf numFmtId="0" fontId="1" fillId="12" borderId="1" xfId="0" applyFont="1" applyFill="1" applyBorder="1" applyAlignment="1">
      <alignment horizontal="center" vertical="center"/>
    </xf>
    <xf numFmtId="0" fontId="1" fillId="11" borderId="1" xfId="0" applyFont="1" applyFill="1" applyBorder="1" applyAlignment="1">
      <alignment horizontal="left" vertical="center" wrapText="1"/>
    </xf>
    <xf numFmtId="0" fontId="36" fillId="32" borderId="2" xfId="0" applyFont="1" applyFill="1" applyBorder="1" applyAlignment="1">
      <alignment horizontal="left" vertical="center" wrapText="1"/>
    </xf>
    <xf numFmtId="0" fontId="36" fillId="32" borderId="38" xfId="0" applyFont="1" applyFill="1" applyBorder="1" applyAlignment="1">
      <alignment horizontal="left" vertical="center" wrapText="1"/>
    </xf>
    <xf numFmtId="0" fontId="34" fillId="11" borderId="1" xfId="0" applyFont="1" applyFill="1" applyBorder="1" applyAlignment="1">
      <alignment horizontal="left" vertical="center" wrapText="1"/>
    </xf>
    <xf numFmtId="0" fontId="34" fillId="11" borderId="12" xfId="0" applyFont="1" applyFill="1" applyBorder="1" applyAlignment="1">
      <alignment horizontal="left" vertical="center" wrapText="1"/>
    </xf>
    <xf numFmtId="0" fontId="1" fillId="12" borderId="17" xfId="0" applyFont="1" applyFill="1" applyBorder="1" applyAlignment="1">
      <alignment horizontal="center" vertical="center"/>
    </xf>
    <xf numFmtId="0" fontId="1" fillId="12" borderId="18" xfId="0" applyFont="1" applyFill="1" applyBorder="1" applyAlignment="1">
      <alignment horizontal="center" vertical="center"/>
    </xf>
    <xf numFmtId="0" fontId="31" fillId="11" borderId="12" xfId="0" applyFont="1" applyFill="1" applyBorder="1" applyAlignment="1">
      <alignment horizontal="left" vertical="center" wrapText="1"/>
    </xf>
    <xf numFmtId="0" fontId="1" fillId="11" borderId="12" xfId="0" applyFont="1" applyFill="1" applyBorder="1" applyAlignment="1">
      <alignment horizontal="left" vertical="center" wrapText="1"/>
    </xf>
    <xf numFmtId="0" fontId="36" fillId="32" borderId="36" xfId="0" applyFont="1" applyFill="1" applyBorder="1" applyAlignment="1">
      <alignment horizontal="center" vertical="center"/>
    </xf>
    <xf numFmtId="0" fontId="36" fillId="32" borderId="37" xfId="0" applyFont="1" applyFill="1" applyBorder="1" applyAlignment="1">
      <alignment horizontal="center" vertical="center"/>
    </xf>
    <xf numFmtId="0" fontId="1" fillId="12" borderId="17" xfId="0" applyFont="1" applyFill="1" applyBorder="1" applyAlignment="1">
      <alignment horizontal="center" vertical="center" wrapText="1"/>
    </xf>
    <xf numFmtId="0" fontId="1" fillId="12" borderId="20" xfId="0" applyFont="1" applyFill="1" applyBorder="1" applyAlignment="1">
      <alignment horizontal="center" vertical="center"/>
    </xf>
    <xf numFmtId="0" fontId="1" fillId="12" borderId="21" xfId="0" applyFont="1" applyFill="1" applyBorder="1" applyAlignment="1">
      <alignment horizontal="center" vertical="center"/>
    </xf>
    <xf numFmtId="0" fontId="10" fillId="12" borderId="17" xfId="0" applyFont="1" applyFill="1" applyBorder="1" applyAlignment="1">
      <alignment horizontal="center" vertical="center"/>
    </xf>
    <xf numFmtId="0" fontId="10" fillId="12" borderId="18" xfId="0" applyFont="1" applyFill="1" applyBorder="1" applyAlignment="1">
      <alignment horizontal="center" vertical="center"/>
    </xf>
    <xf numFmtId="0" fontId="11" fillId="11" borderId="1" xfId="0" applyFont="1" applyFill="1" applyBorder="1" applyAlignment="1">
      <alignment horizontal="left" vertical="center" wrapText="1"/>
    </xf>
    <xf numFmtId="0" fontId="11" fillId="11" borderId="12" xfId="0" applyFont="1" applyFill="1" applyBorder="1" applyAlignment="1">
      <alignment horizontal="left" vertical="center" wrapText="1"/>
    </xf>
    <xf numFmtId="0" fontId="1" fillId="29" borderId="30" xfId="0" applyFont="1" applyFill="1" applyBorder="1" applyAlignment="1">
      <alignment horizontal="left"/>
    </xf>
    <xf numFmtId="0" fontId="1" fillId="29" borderId="0" xfId="0" applyFont="1" applyFill="1" applyAlignment="1">
      <alignment horizontal="left"/>
    </xf>
    <xf numFmtId="0" fontId="22" fillId="20" borderId="30" xfId="0" applyFont="1" applyFill="1" applyBorder="1" applyAlignment="1">
      <alignment horizontal="left"/>
    </xf>
    <xf numFmtId="0" fontId="22" fillId="30" borderId="30" xfId="0" applyFont="1" applyFill="1" applyBorder="1" applyAlignment="1">
      <alignment horizontal="left"/>
    </xf>
    <xf numFmtId="0" fontId="1" fillId="29" borderId="33" xfId="0" applyFont="1" applyFill="1" applyBorder="1" applyAlignment="1">
      <alignment horizontal="left"/>
    </xf>
    <xf numFmtId="0" fontId="1" fillId="29" borderId="1" xfId="0" applyFont="1" applyFill="1" applyBorder="1" applyAlignment="1">
      <alignment horizontal="left"/>
    </xf>
    <xf numFmtId="0" fontId="22" fillId="20" borderId="1" xfId="0" applyFont="1" applyFill="1" applyBorder="1" applyAlignment="1">
      <alignment horizontal="left"/>
    </xf>
    <xf numFmtId="0" fontId="1" fillId="11" borderId="1" xfId="0" applyFont="1" applyFill="1" applyBorder="1" applyAlignment="1">
      <alignment vertical="center" wrapText="1"/>
    </xf>
    <xf numFmtId="0" fontId="1" fillId="11" borderId="1" xfId="0" applyFont="1" applyFill="1" applyBorder="1" applyAlignment="1">
      <alignment horizontal="center" vertical="center" wrapText="1"/>
    </xf>
    <xf numFmtId="0" fontId="13" fillId="0" borderId="1" xfId="1" applyBorder="1" applyAlignment="1">
      <alignment vertical="top"/>
    </xf>
    <xf numFmtId="0" fontId="21" fillId="0" borderId="1" xfId="0" applyFont="1" applyBorder="1" applyAlignment="1">
      <alignment vertical="top" wrapText="1"/>
    </xf>
    <xf numFmtId="0" fontId="0" fillId="0" borderId="1" xfId="0" applyBorder="1" applyAlignment="1">
      <alignment vertical="top" wrapText="1"/>
    </xf>
    <xf numFmtId="0" fontId="16" fillId="0" borderId="1" xfId="0" applyFont="1" applyBorder="1" applyAlignment="1">
      <alignment wrapText="1"/>
    </xf>
    <xf numFmtId="0" fontId="0" fillId="0" borderId="1" xfId="0" applyBorder="1" applyAlignment="1">
      <alignment wrapText="1"/>
    </xf>
    <xf numFmtId="0" fontId="13" fillId="28" borderId="1" xfId="1" applyFill="1" applyBorder="1" applyAlignment="1">
      <alignment vertical="top" wrapText="1"/>
    </xf>
    <xf numFmtId="0" fontId="13" fillId="26" borderId="1" xfId="1" applyFill="1" applyBorder="1" applyAlignment="1">
      <alignment vertical="top" wrapText="1"/>
    </xf>
    <xf numFmtId="0" fontId="13" fillId="0" borderId="1" xfId="1" applyBorder="1"/>
    <xf numFmtId="0" fontId="39" fillId="33" borderId="22" xfId="0" applyFont="1" applyFill="1" applyBorder="1"/>
    <xf numFmtId="0" fontId="30" fillId="0" borderId="39" xfId="0" applyFont="1" applyBorder="1"/>
    <xf numFmtId="0" fontId="30" fillId="0" borderId="39" xfId="0" applyFont="1" applyBorder="1" applyAlignment="1">
      <alignment horizontal="center"/>
    </xf>
    <xf numFmtId="0" fontId="30" fillId="15" borderId="1" xfId="0" applyFont="1" applyFill="1" applyBorder="1" applyAlignment="1">
      <alignment horizontal="center" vertical="center" wrapText="1"/>
    </xf>
    <xf numFmtId="0" fontId="30" fillId="8" borderId="1" xfId="0" applyFont="1" applyFill="1" applyBorder="1" applyAlignment="1">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0" fontId="2" fillId="4" borderId="4" xfId="0" applyFont="1" applyFill="1" applyBorder="1" applyAlignment="1">
      <alignment horizontal="center" wrapText="1"/>
    </xf>
    <xf numFmtId="0" fontId="2" fillId="4" borderId="4" xfId="0" applyFont="1" applyFill="1" applyBorder="1" applyAlignment="1">
      <alignment horizontal="left" wrapText="1"/>
    </xf>
    <xf numFmtId="0" fontId="1" fillId="11" borderId="17" xfId="0" applyFont="1" applyFill="1" applyBorder="1" applyAlignment="1">
      <alignment horizontal="center" wrapText="1"/>
    </xf>
    <xf numFmtId="0" fontId="0" fillId="0" borderId="14" xfId="0" applyFill="1" applyBorder="1"/>
    <xf numFmtId="0" fontId="0" fillId="0" borderId="15" xfId="0" applyFill="1" applyBorder="1"/>
    <xf numFmtId="0" fontId="40" fillId="0" borderId="22" xfId="0" applyFont="1" applyBorder="1"/>
    <xf numFmtId="0" fontId="40" fillId="0" borderId="0" xfId="0" applyFont="1"/>
    <xf numFmtId="0" fontId="0" fillId="0" borderId="22"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360362</xdr:colOff>
      <xdr:row>3</xdr:row>
      <xdr:rowOff>110332</xdr:rowOff>
    </xdr:from>
    <xdr:to>
      <xdr:col>13</xdr:col>
      <xdr:colOff>288130</xdr:colOff>
      <xdr:row>47</xdr:row>
      <xdr:rowOff>164307</xdr:rowOff>
    </xdr:to>
    <xdr:pic>
      <xdr:nvPicPr>
        <xdr:cNvPr id="5" name="Picture 4">
          <a:extLst>
            <a:ext uri="{FF2B5EF4-FFF2-40B4-BE49-F238E27FC236}">
              <a16:creationId xmlns:a16="http://schemas.microsoft.com/office/drawing/2014/main" id="{ECF90C29-5017-2EEE-7177-418988644B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82737" y="745332"/>
          <a:ext cx="6650831" cy="8086725"/>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9EBA7-F0C4-4643-A31C-76186157AE81}">
  <dimension ref="B1:E14"/>
  <sheetViews>
    <sheetView topLeftCell="B1" zoomScaleNormal="100" workbookViewId="0">
      <selection activeCell="E15" sqref="E15"/>
    </sheetView>
  </sheetViews>
  <sheetFormatPr defaultRowHeight="14.5" x14ac:dyDescent="0.35"/>
  <cols>
    <col min="1" max="1" width="3.54296875" customWidth="1"/>
    <col min="2" max="2" width="8.7265625" style="46"/>
    <col min="3" max="3" width="16.453125" style="46" customWidth="1"/>
    <col min="4" max="4" width="36.54296875" customWidth="1"/>
    <col min="5" max="5" width="103.453125" customWidth="1"/>
  </cols>
  <sheetData>
    <row r="1" spans="2:5" ht="15" thickBot="1" x14ac:dyDescent="0.4">
      <c r="D1" s="45"/>
    </row>
    <row r="2" spans="2:5" ht="32.15" customHeight="1" x14ac:dyDescent="0.35">
      <c r="B2" s="39" t="s">
        <v>0</v>
      </c>
      <c r="C2" s="40" t="s">
        <v>1</v>
      </c>
      <c r="D2" s="245" t="s">
        <v>2</v>
      </c>
      <c r="E2" s="41" t="s">
        <v>3</v>
      </c>
    </row>
    <row r="3" spans="2:5" x14ac:dyDescent="0.35">
      <c r="B3" s="42" t="s">
        <v>1505</v>
      </c>
      <c r="C3" s="95" t="s">
        <v>1507</v>
      </c>
      <c r="D3" s="38"/>
      <c r="E3" s="43" t="s">
        <v>1506</v>
      </c>
    </row>
    <row r="4" spans="2:5" x14ac:dyDescent="0.35">
      <c r="B4" s="42" t="s">
        <v>1511</v>
      </c>
      <c r="C4" s="38" t="s">
        <v>1512</v>
      </c>
      <c r="D4" s="89" t="s">
        <v>1513</v>
      </c>
      <c r="E4" s="43" t="s">
        <v>1514</v>
      </c>
    </row>
    <row r="5" spans="2:5" x14ac:dyDescent="0.35">
      <c r="B5" s="42" t="s">
        <v>1533</v>
      </c>
      <c r="C5" s="38" t="s">
        <v>1512</v>
      </c>
      <c r="D5" s="89" t="s">
        <v>1513</v>
      </c>
      <c r="E5" s="43" t="s">
        <v>1534</v>
      </c>
    </row>
    <row r="6" spans="2:5" x14ac:dyDescent="0.35">
      <c r="B6" s="42" t="s">
        <v>1543</v>
      </c>
      <c r="C6" s="38" t="s">
        <v>1512</v>
      </c>
      <c r="D6" s="89" t="s">
        <v>1513</v>
      </c>
      <c r="E6" s="43" t="s">
        <v>1544</v>
      </c>
    </row>
    <row r="7" spans="2:5" x14ac:dyDescent="0.35">
      <c r="B7" s="42" t="s">
        <v>1546</v>
      </c>
      <c r="C7" s="38" t="s">
        <v>1512</v>
      </c>
      <c r="D7" s="89" t="s">
        <v>1513</v>
      </c>
      <c r="E7" s="43" t="s">
        <v>1547</v>
      </c>
    </row>
    <row r="8" spans="2:5" x14ac:dyDescent="0.35">
      <c r="B8" s="42" t="s">
        <v>1551</v>
      </c>
      <c r="C8" s="38" t="s">
        <v>1512</v>
      </c>
      <c r="D8" s="89" t="s">
        <v>1513</v>
      </c>
      <c r="E8" s="43" t="s">
        <v>1553</v>
      </c>
    </row>
    <row r="9" spans="2:5" x14ac:dyDescent="0.35">
      <c r="B9" s="42" t="s">
        <v>1551</v>
      </c>
      <c r="C9" s="38" t="s">
        <v>1512</v>
      </c>
      <c r="D9" s="89" t="s">
        <v>1513</v>
      </c>
      <c r="E9" s="43" t="s">
        <v>1554</v>
      </c>
    </row>
    <row r="10" spans="2:5" x14ac:dyDescent="0.35">
      <c r="B10" s="42" t="s">
        <v>1582</v>
      </c>
      <c r="C10" s="38" t="s">
        <v>1512</v>
      </c>
      <c r="D10" s="89" t="s">
        <v>1583</v>
      </c>
      <c r="E10" s="43" t="s">
        <v>1584</v>
      </c>
    </row>
    <row r="11" spans="2:5" x14ac:dyDescent="0.35">
      <c r="B11" s="42" t="s">
        <v>1785</v>
      </c>
      <c r="C11" s="38" t="s">
        <v>1512</v>
      </c>
      <c r="D11" s="89" t="s">
        <v>1786</v>
      </c>
      <c r="E11" s="43" t="s">
        <v>1787</v>
      </c>
    </row>
    <row r="12" spans="2:5" x14ac:dyDescent="0.35">
      <c r="B12" s="42" t="s">
        <v>1790</v>
      </c>
      <c r="C12" s="38" t="s">
        <v>1512</v>
      </c>
      <c r="D12" s="89" t="s">
        <v>1791</v>
      </c>
      <c r="E12" s="43" t="s">
        <v>1792</v>
      </c>
    </row>
    <row r="13" spans="2:5" x14ac:dyDescent="0.35">
      <c r="B13" s="42" t="s">
        <v>1817</v>
      </c>
      <c r="C13" s="38" t="s">
        <v>1512</v>
      </c>
      <c r="D13" s="89" t="s">
        <v>1513</v>
      </c>
      <c r="E13" s="43" t="s">
        <v>1976</v>
      </c>
    </row>
    <row r="14" spans="2:5" ht="15" thickBot="1" x14ac:dyDescent="0.4">
      <c r="B14" s="81" t="s">
        <v>1977</v>
      </c>
      <c r="C14" s="82" t="s">
        <v>1512</v>
      </c>
      <c r="D14" s="246" t="s">
        <v>1990</v>
      </c>
      <c r="E14" s="247" t="s">
        <v>1991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C01ED-C4C4-47A8-ABB0-7C04B41FCD98}">
  <sheetPr>
    <tabColor rgb="FF7030A0"/>
  </sheetPr>
  <dimension ref="B3:E24"/>
  <sheetViews>
    <sheetView topLeftCell="A7" zoomScale="55" zoomScaleNormal="55" workbookViewId="0">
      <selection activeCell="D26" sqref="D26"/>
    </sheetView>
  </sheetViews>
  <sheetFormatPr defaultRowHeight="15" customHeight="1" x14ac:dyDescent="0.35"/>
  <cols>
    <col min="1" max="1" width="4.54296875" customWidth="1"/>
    <col min="2" max="2" width="55.453125" bestFit="1" customWidth="1"/>
    <col min="3" max="3" width="15.81640625" style="46" customWidth="1"/>
    <col min="4" max="4" width="100.54296875" style="45" customWidth="1"/>
    <col min="5" max="5" width="84.54296875" customWidth="1"/>
  </cols>
  <sheetData>
    <row r="3" spans="2:5" ht="68" customHeight="1" x14ac:dyDescent="0.35">
      <c r="B3" s="226" t="s">
        <v>4</v>
      </c>
      <c r="C3" s="227" t="s">
        <v>5</v>
      </c>
      <c r="D3" s="226" t="s">
        <v>6</v>
      </c>
      <c r="E3" s="226" t="s">
        <v>7</v>
      </c>
    </row>
    <row r="4" spans="2:5" ht="83" customHeight="1" x14ac:dyDescent="0.35">
      <c r="B4" s="228" t="s">
        <v>8</v>
      </c>
      <c r="C4" s="38">
        <v>0.1</v>
      </c>
      <c r="D4" s="229" t="s">
        <v>9</v>
      </c>
      <c r="E4" s="230" t="s">
        <v>1353</v>
      </c>
    </row>
    <row r="5" spans="2:5" ht="43.5" x14ac:dyDescent="0.35">
      <c r="B5" s="228" t="s">
        <v>10</v>
      </c>
      <c r="C5" s="38">
        <v>0.1</v>
      </c>
      <c r="D5" s="231" t="s">
        <v>11</v>
      </c>
      <c r="E5" s="230" t="s">
        <v>1342</v>
      </c>
    </row>
    <row r="6" spans="2:5" ht="43.5" x14ac:dyDescent="0.35">
      <c r="B6" s="228" t="s">
        <v>12</v>
      </c>
      <c r="C6" s="38">
        <v>0.1</v>
      </c>
      <c r="D6" s="232" t="s">
        <v>13</v>
      </c>
      <c r="E6" s="230" t="s">
        <v>1343</v>
      </c>
    </row>
    <row r="7" spans="2:5" ht="87" x14ac:dyDescent="0.35">
      <c r="B7" s="228" t="s">
        <v>14</v>
      </c>
      <c r="C7" s="38">
        <v>0.1</v>
      </c>
      <c r="D7" s="232" t="s">
        <v>15</v>
      </c>
      <c r="E7" s="230" t="s">
        <v>1344</v>
      </c>
    </row>
    <row r="8" spans="2:5" ht="87" x14ac:dyDescent="0.35">
      <c r="B8" s="228" t="s">
        <v>1782</v>
      </c>
      <c r="C8" s="38">
        <v>0.1</v>
      </c>
      <c r="D8" s="232" t="s">
        <v>15</v>
      </c>
      <c r="E8" s="230" t="s">
        <v>1783</v>
      </c>
    </row>
    <row r="9" spans="2:5" ht="14.5" x14ac:dyDescent="0.35">
      <c r="B9" s="228" t="s">
        <v>16</v>
      </c>
      <c r="C9" s="38">
        <v>0.1</v>
      </c>
      <c r="D9" s="232" t="s">
        <v>17</v>
      </c>
      <c r="E9" s="230" t="s">
        <v>1345</v>
      </c>
    </row>
    <row r="10" spans="2:5" ht="43.5" x14ac:dyDescent="0.35">
      <c r="B10" s="228" t="s">
        <v>18</v>
      </c>
      <c r="C10" s="38">
        <v>0.1</v>
      </c>
      <c r="D10" s="232" t="s">
        <v>19</v>
      </c>
      <c r="E10" s="230" t="s">
        <v>1346</v>
      </c>
    </row>
    <row r="11" spans="2:5" ht="43.5" x14ac:dyDescent="0.35">
      <c r="B11" s="228" t="s">
        <v>20</v>
      </c>
      <c r="C11" s="38">
        <v>0.1</v>
      </c>
      <c r="D11" s="232" t="s">
        <v>21</v>
      </c>
      <c r="E11" s="230" t="s">
        <v>1347</v>
      </c>
    </row>
    <row r="12" spans="2:5" ht="29" x14ac:dyDescent="0.35">
      <c r="B12" s="228" t="s">
        <v>22</v>
      </c>
      <c r="C12" s="38">
        <v>0.1</v>
      </c>
      <c r="D12" s="232" t="s">
        <v>23</v>
      </c>
      <c r="E12" s="230" t="s">
        <v>1348</v>
      </c>
    </row>
    <row r="13" spans="2:5" ht="43.5" x14ac:dyDescent="0.35">
      <c r="B13" s="228" t="s">
        <v>24</v>
      </c>
      <c r="C13" s="38">
        <v>0.1</v>
      </c>
      <c r="D13" s="232" t="s">
        <v>25</v>
      </c>
      <c r="E13" s="230" t="s">
        <v>26</v>
      </c>
    </row>
    <row r="14" spans="2:5" ht="29" x14ac:dyDescent="0.35">
      <c r="B14" s="228" t="s">
        <v>27</v>
      </c>
      <c r="C14" s="38">
        <v>0.1</v>
      </c>
      <c r="D14" s="232" t="s">
        <v>28</v>
      </c>
      <c r="E14" s="230" t="s">
        <v>29</v>
      </c>
    </row>
    <row r="15" spans="2:5" ht="43.5" x14ac:dyDescent="0.35">
      <c r="B15" s="233" t="s">
        <v>30</v>
      </c>
      <c r="C15" s="38">
        <v>0.1</v>
      </c>
      <c r="D15" s="232" t="s">
        <v>31</v>
      </c>
      <c r="E15" s="230" t="s">
        <v>32</v>
      </c>
    </row>
    <row r="16" spans="2:5" ht="43.5" x14ac:dyDescent="0.35">
      <c r="B16" s="233" t="s">
        <v>1784</v>
      </c>
      <c r="C16" s="38">
        <v>0.1</v>
      </c>
      <c r="D16" s="232" t="s">
        <v>31</v>
      </c>
      <c r="E16" s="230" t="s">
        <v>1789</v>
      </c>
    </row>
    <row r="17" spans="2:5" ht="29" x14ac:dyDescent="0.35">
      <c r="B17" s="233" t="s">
        <v>34</v>
      </c>
      <c r="C17" s="38">
        <v>0.1</v>
      </c>
      <c r="D17" s="232" t="s">
        <v>35</v>
      </c>
      <c r="E17" s="230" t="s">
        <v>36</v>
      </c>
    </row>
    <row r="18" spans="2:5" ht="14.5" x14ac:dyDescent="0.35">
      <c r="B18" s="233" t="s">
        <v>37</v>
      </c>
      <c r="C18" s="38">
        <v>0.1</v>
      </c>
      <c r="D18" s="232" t="s">
        <v>38</v>
      </c>
      <c r="E18" s="230" t="s">
        <v>39</v>
      </c>
    </row>
    <row r="19" spans="2:5" ht="14.5" x14ac:dyDescent="0.35">
      <c r="B19" s="233" t="s">
        <v>40</v>
      </c>
      <c r="C19" s="38">
        <v>0.1</v>
      </c>
      <c r="D19" s="232" t="s">
        <v>41</v>
      </c>
      <c r="E19" s="230" t="s">
        <v>42</v>
      </c>
    </row>
    <row r="20" spans="2:5" ht="29" x14ac:dyDescent="0.35">
      <c r="B20" s="233" t="s">
        <v>43</v>
      </c>
      <c r="C20" s="38">
        <v>0.1</v>
      </c>
      <c r="D20" s="232" t="s">
        <v>44</v>
      </c>
      <c r="E20" s="230" t="s">
        <v>45</v>
      </c>
    </row>
    <row r="21" spans="2:5" ht="43.5" x14ac:dyDescent="0.35">
      <c r="B21" s="234" t="s">
        <v>46</v>
      </c>
      <c r="C21" s="38">
        <v>0.1</v>
      </c>
      <c r="D21" s="232" t="s">
        <v>47</v>
      </c>
      <c r="E21" s="230" t="s">
        <v>48</v>
      </c>
    </row>
    <row r="22" spans="2:5" ht="15" customHeight="1" x14ac:dyDescent="0.35">
      <c r="B22" s="234" t="s">
        <v>49</v>
      </c>
      <c r="C22" s="38">
        <v>0.1</v>
      </c>
      <c r="D22" s="232" t="s">
        <v>50</v>
      </c>
      <c r="E22" s="230" t="s">
        <v>51</v>
      </c>
    </row>
    <row r="23" spans="2:5" ht="15" customHeight="1" x14ac:dyDescent="0.35">
      <c r="B23" s="235" t="s">
        <v>1989</v>
      </c>
      <c r="C23" s="38">
        <v>0.1</v>
      </c>
      <c r="D23" s="232" t="s">
        <v>1794</v>
      </c>
      <c r="E23" s="230" t="s">
        <v>1793</v>
      </c>
    </row>
    <row r="24" spans="2:5" ht="15" customHeight="1" x14ac:dyDescent="0.35">
      <c r="C24"/>
      <c r="D24"/>
    </row>
  </sheetData>
  <hyperlinks>
    <hyperlink ref="B6" location="'CreateReferenceWithAllData'!A2" display="CreateReferenceWithAllData" xr:uid="{F3A6195E-6D78-4246-A48A-CA9F26D45486}"/>
    <hyperlink ref="B7" location="'CreateReferenceWithInputFromApp'!A2" display="CreateReferenceWithInputFromApplicant" xr:uid="{9F9C8887-3CE6-4090-AE87-EB1493469AE1}"/>
    <hyperlink ref="B9" location="'GetApplicantReferenceStatus'!A2" display="GetApplicantReferenceStatus" xr:uid="{6806442F-8D0C-4F52-9BED-0127D9D38C6C}"/>
    <hyperlink ref="B10" location="'GetAgentActiveProducts'!A2" display="GetAgentActiveProducts" xr:uid="{91CAA77F-0146-4A24-AB27-9E6B31241720}"/>
    <hyperlink ref="B11" location="'GetApplicantReferenceReports'!A2" display="GetApplicantReferenceReports" xr:uid="{EB11D8FD-A027-46BA-9700-E787418EE9E1}"/>
    <hyperlink ref="B12" location="'PostApplicantReferenceDocument'!A2" display="PostApplicantReferenceDocument" xr:uid="{EAE45E8A-ECF5-4CAD-8F48-DA9794A88E21}"/>
    <hyperlink ref="B13" location="'ResendApplicantReferenceLink'!A2" display="ResendApplicantReferenceLink" xr:uid="{ABD5EB98-79A6-4239-8407-4B01D5E54734}"/>
    <hyperlink ref="B14" location="'PostApplicantReferenceNote'!A2" display="PostApplicantReferenceNote" xr:uid="{E6BC80A2-11DD-42CC-ADB4-9778EB5165BD}"/>
    <hyperlink ref="B15" location="'AddApplicantToTenancy'!A2" display="AddApplicantToTenancy" xr:uid="{73AD6C09-B0EA-4C6E-B81A-D4C38881DF0D}"/>
    <hyperlink ref="B17" location="'CancelApplicantFromTenancy'!A2" display="CancelApplicantFromTenancy" xr:uid="{842B83AE-5DEB-4A43-8AD5-E6E084B70FD7}"/>
    <hyperlink ref="B18" location="'CancelTenancy'!A2" display="CancelTenancy" xr:uid="{7C1E894E-AACB-4686-91E3-606EC32DE632}"/>
    <hyperlink ref="B19" location="'AmendTenancyDetails'!A2" display="AmendTenancyDetails" xr:uid="{0408BCF2-2271-486A-82D4-2D188B97C7C1}"/>
    <hyperlink ref="B20" location="'AmendApplicantProductType'!A2" display="AmendApplicantProductType" xr:uid="{91597810-B4B7-4442-B21D-91A983AB506C}"/>
    <hyperlink ref="B21" location="'CreateCompanyReferenceWithAllDa'!A2" display="CreateCompanyReferenceWithAllData" xr:uid="{BF5776C8-B840-454E-8A2B-3CD6C4D7FA8F}"/>
    <hyperlink ref="B22" location="'CreateCompanyReferenceWithInput'!A2" display="CreateCompanyReferenceWithInputFromApplicant" xr:uid="{67619A87-3F9B-4094-8C08-437C1207130A}"/>
    <hyperlink ref="B4" location="'GetAuthenticationToken'!A1" display="Get Authentication Token" xr:uid="{6B689F64-37A9-4CE2-9B25-658D32781164}"/>
    <hyperlink ref="B5" location="CheckConnection!A1" display="CheckConnection" xr:uid="{9D77D124-AA0C-4010-AFDD-D045C44F51A4}"/>
    <hyperlink ref="B8" location="CreateReferenceWithApplicantIfr!A2" display="CreateReferenceWithApplicantIframe" xr:uid="{51550E1A-E2E6-45C4-BC01-ED6ADA9C912E}"/>
    <hyperlink ref="B16" location="AddApplicantToTenancyWithiframe!A2" display="AddApplicantToTenancyWithIframe" xr:uid="{DA59407D-C9D4-4E55-A82B-64C9F14C1510}"/>
    <hyperlink ref="B23" location="GetApplicantNotes!A1" display="GetApplicantNotes (Pending)" xr:uid="{105117BD-70C9-4273-B007-35F9E7E45EB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38F37-BC0A-421A-8913-07FABA7FABE9}">
  <dimension ref="A1"/>
  <sheetViews>
    <sheetView topLeftCell="A2" zoomScale="80" zoomScaleNormal="80" workbookViewId="0">
      <selection activeCell="P8" sqref="P8"/>
    </sheetView>
  </sheetViews>
  <sheetFormatPr defaultRowHeight="14.5" x14ac:dyDescent="0.35"/>
  <sheetData>
    <row r="1" spans="1:1" ht="21" x14ac:dyDescent="0.5">
      <c r="A1" s="23" t="s">
        <v>52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AD48B-FC87-42CE-89DA-FEB4D6EFFD2B}">
  <sheetPr>
    <tabColor rgb="FFFF0000"/>
  </sheetPr>
  <dimension ref="A1:AO211"/>
  <sheetViews>
    <sheetView topLeftCell="A154" zoomScale="40" zoomScaleNormal="40" workbookViewId="0">
      <selection activeCell="AV205" sqref="AV205:AV206"/>
    </sheetView>
  </sheetViews>
  <sheetFormatPr defaultColWidth="8.7265625" defaultRowHeight="13" x14ac:dyDescent="0.3"/>
  <cols>
    <col min="1" max="1" width="8.7265625" style="3"/>
    <col min="2" max="2" width="3.54296875" style="3" customWidth="1"/>
    <col min="3" max="3" width="30.81640625" style="3" customWidth="1"/>
    <col min="4" max="4" width="16.08984375" style="18" customWidth="1"/>
    <col min="5" max="5" width="8.7265625" style="18"/>
    <col min="6" max="6" width="39.453125" style="15" customWidth="1"/>
    <col min="7" max="7" width="60.7265625" style="15" customWidth="1"/>
    <col min="8" max="41" width="3.54296875" style="9" hidden="1" customWidth="1"/>
    <col min="42" max="42" width="0" style="1" hidden="1" customWidth="1"/>
    <col min="43" max="16384" width="8.7265625" style="1"/>
  </cols>
  <sheetData>
    <row r="1" spans="1:41" ht="35.15" customHeight="1" x14ac:dyDescent="0.3">
      <c r="H1" s="183" t="s">
        <v>53</v>
      </c>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83"/>
      <c r="AL1" s="183"/>
      <c r="AM1" s="183"/>
      <c r="AN1" s="183"/>
      <c r="AO1" s="183"/>
    </row>
    <row r="2" spans="1:41" ht="21" customHeight="1" x14ac:dyDescent="0.3">
      <c r="H2" s="185" t="s">
        <v>10</v>
      </c>
      <c r="I2" s="185"/>
      <c r="J2" s="184" t="s">
        <v>12</v>
      </c>
      <c r="K2" s="184"/>
      <c r="L2" s="185" t="s">
        <v>14</v>
      </c>
      <c r="M2" s="185"/>
      <c r="N2" s="184" t="s">
        <v>16</v>
      </c>
      <c r="O2" s="184"/>
      <c r="P2" s="185" t="s">
        <v>18</v>
      </c>
      <c r="Q2" s="185"/>
      <c r="R2" s="184" t="s">
        <v>20</v>
      </c>
      <c r="S2" s="184"/>
      <c r="T2" s="182" t="s">
        <v>22</v>
      </c>
      <c r="U2" s="182"/>
      <c r="V2" s="184" t="s">
        <v>24</v>
      </c>
      <c r="W2" s="184"/>
      <c r="X2" s="182" t="s">
        <v>27</v>
      </c>
      <c r="Y2" s="182"/>
      <c r="Z2" s="184" t="s">
        <v>30</v>
      </c>
      <c r="AA2" s="184"/>
      <c r="AB2" s="182" t="s">
        <v>33</v>
      </c>
      <c r="AC2" s="182"/>
      <c r="AD2" s="184" t="s">
        <v>34</v>
      </c>
      <c r="AE2" s="184"/>
      <c r="AF2" s="182" t="s">
        <v>37</v>
      </c>
      <c r="AG2" s="182"/>
      <c r="AH2" s="184" t="s">
        <v>40</v>
      </c>
      <c r="AI2" s="184"/>
      <c r="AJ2" s="182" t="s">
        <v>43</v>
      </c>
      <c r="AK2" s="182"/>
      <c r="AL2" s="184" t="s">
        <v>46</v>
      </c>
      <c r="AM2" s="184"/>
      <c r="AN2" s="182" t="s">
        <v>49</v>
      </c>
      <c r="AO2" s="182"/>
    </row>
    <row r="3" spans="1:41" ht="58.5" customHeight="1" x14ac:dyDescent="0.35">
      <c r="A3" s="4" t="s">
        <v>54</v>
      </c>
      <c r="B3" s="4"/>
      <c r="C3" s="5" t="s">
        <v>55</v>
      </c>
      <c r="D3" s="5" t="s">
        <v>56</v>
      </c>
      <c r="E3" s="5" t="s">
        <v>57</v>
      </c>
      <c r="F3" s="6" t="s">
        <v>58</v>
      </c>
      <c r="G3" s="10" t="s">
        <v>59</v>
      </c>
      <c r="H3" s="12" t="s">
        <v>60</v>
      </c>
      <c r="I3" s="12" t="s">
        <v>61</v>
      </c>
      <c r="J3" s="12" t="s">
        <v>60</v>
      </c>
      <c r="K3" s="12" t="s">
        <v>61</v>
      </c>
      <c r="L3" s="12" t="s">
        <v>60</v>
      </c>
      <c r="M3" s="12" t="s">
        <v>61</v>
      </c>
      <c r="N3" s="12" t="s">
        <v>60</v>
      </c>
      <c r="O3" s="12" t="s">
        <v>61</v>
      </c>
      <c r="P3" s="12" t="s">
        <v>60</v>
      </c>
      <c r="Q3" s="12" t="s">
        <v>61</v>
      </c>
      <c r="R3" s="12" t="s">
        <v>60</v>
      </c>
      <c r="S3" s="12" t="s">
        <v>61</v>
      </c>
      <c r="T3" s="12" t="s">
        <v>60</v>
      </c>
      <c r="U3" s="12" t="s">
        <v>61</v>
      </c>
      <c r="V3" s="12" t="s">
        <v>60</v>
      </c>
      <c r="W3" s="12" t="s">
        <v>61</v>
      </c>
      <c r="X3" s="12" t="s">
        <v>60</v>
      </c>
      <c r="Y3" s="12" t="s">
        <v>61</v>
      </c>
      <c r="Z3" s="12" t="s">
        <v>60</v>
      </c>
      <c r="AA3" s="12" t="s">
        <v>61</v>
      </c>
      <c r="AB3" s="12" t="s">
        <v>60</v>
      </c>
      <c r="AC3" s="12" t="s">
        <v>61</v>
      </c>
      <c r="AD3" s="12" t="s">
        <v>60</v>
      </c>
      <c r="AE3" s="12" t="s">
        <v>61</v>
      </c>
      <c r="AF3" s="12" t="s">
        <v>60</v>
      </c>
      <c r="AG3" s="12" t="s">
        <v>61</v>
      </c>
      <c r="AH3" s="12" t="s">
        <v>60</v>
      </c>
      <c r="AI3" s="12" t="s">
        <v>61</v>
      </c>
      <c r="AJ3" s="12" t="s">
        <v>60</v>
      </c>
      <c r="AK3" s="12" t="s">
        <v>61</v>
      </c>
      <c r="AL3" s="12" t="s">
        <v>60</v>
      </c>
      <c r="AM3" s="12" t="s">
        <v>61</v>
      </c>
      <c r="AN3" s="12" t="s">
        <v>60</v>
      </c>
      <c r="AO3" s="12" t="s">
        <v>61</v>
      </c>
    </row>
    <row r="4" spans="1:41" x14ac:dyDescent="0.3">
      <c r="A4" s="189" t="s">
        <v>62</v>
      </c>
      <c r="B4" s="190"/>
      <c r="C4" s="190"/>
      <c r="D4" s="190"/>
      <c r="E4" s="190"/>
      <c r="F4" s="190"/>
      <c r="G4" s="190"/>
      <c r="H4" s="22"/>
      <c r="I4" s="22"/>
      <c r="J4" s="13"/>
      <c r="K4" s="13"/>
      <c r="L4" s="11"/>
      <c r="M4" s="11"/>
      <c r="N4" s="13"/>
      <c r="O4" s="13"/>
      <c r="P4" s="11"/>
      <c r="Q4" s="11"/>
      <c r="R4" s="13"/>
      <c r="S4" s="13"/>
      <c r="T4" s="11"/>
      <c r="U4" s="11"/>
      <c r="V4" s="13"/>
      <c r="W4" s="13"/>
      <c r="X4" s="11"/>
      <c r="Y4" s="11"/>
      <c r="Z4" s="13"/>
      <c r="AA4" s="13"/>
      <c r="AB4" s="11"/>
      <c r="AC4" s="11"/>
      <c r="AD4" s="13"/>
      <c r="AE4" s="13"/>
      <c r="AF4" s="11"/>
      <c r="AG4" s="11"/>
      <c r="AH4" s="13"/>
      <c r="AI4" s="13"/>
      <c r="AJ4" s="11"/>
      <c r="AK4" s="11"/>
      <c r="AL4" s="13"/>
      <c r="AM4" s="13"/>
      <c r="AN4" s="11"/>
      <c r="AO4" s="11"/>
    </row>
    <row r="5" spans="1:41" ht="132.75" customHeight="1" x14ac:dyDescent="0.3">
      <c r="A5" s="2">
        <v>1</v>
      </c>
      <c r="B5" s="191" t="s">
        <v>62</v>
      </c>
      <c r="C5" s="7" t="s">
        <v>63</v>
      </c>
      <c r="D5" s="19" t="s">
        <v>64</v>
      </c>
      <c r="E5" s="19">
        <v>50</v>
      </c>
      <c r="F5" s="17"/>
      <c r="G5" s="16" t="s">
        <v>65</v>
      </c>
      <c r="H5" s="22"/>
      <c r="I5" s="22"/>
      <c r="J5" s="13"/>
      <c r="K5" s="13" t="s">
        <v>66</v>
      </c>
      <c r="L5" s="11"/>
      <c r="M5" s="11" t="s">
        <v>66</v>
      </c>
      <c r="N5" s="13"/>
      <c r="O5" s="13"/>
      <c r="P5" s="11"/>
      <c r="Q5" s="11"/>
      <c r="R5" s="13"/>
      <c r="S5" s="13"/>
      <c r="T5" s="11"/>
      <c r="U5" s="11"/>
      <c r="V5" s="13"/>
      <c r="W5" s="13"/>
      <c r="X5" s="11"/>
      <c r="Y5" s="11"/>
      <c r="Z5" s="13"/>
      <c r="AA5" s="13"/>
      <c r="AB5" s="11"/>
      <c r="AC5" s="11"/>
      <c r="AD5" s="13"/>
      <c r="AE5" s="13"/>
      <c r="AF5" s="11"/>
      <c r="AG5" s="11"/>
      <c r="AH5" s="13"/>
      <c r="AI5" s="13"/>
      <c r="AJ5" s="11"/>
      <c r="AK5" s="11"/>
      <c r="AL5" s="13"/>
      <c r="AM5" s="13" t="s">
        <v>66</v>
      </c>
      <c r="AN5" s="11"/>
      <c r="AO5" s="11"/>
    </row>
    <row r="6" spans="1:41" ht="120.65" customHeight="1" x14ac:dyDescent="0.3">
      <c r="A6" s="2">
        <v>2</v>
      </c>
      <c r="B6" s="192"/>
      <c r="C6" s="7" t="s">
        <v>67</v>
      </c>
      <c r="D6" s="19" t="s">
        <v>78</v>
      </c>
      <c r="E6" s="19"/>
      <c r="F6" s="17"/>
      <c r="G6" s="16" t="s">
        <v>1552</v>
      </c>
      <c r="H6" s="22"/>
      <c r="I6" s="22"/>
      <c r="J6" s="13"/>
      <c r="K6" s="13" t="s">
        <v>66</v>
      </c>
      <c r="L6" s="11"/>
      <c r="M6" s="11" t="s">
        <v>66</v>
      </c>
      <c r="N6" s="21" t="s">
        <v>68</v>
      </c>
      <c r="O6" s="13" t="s">
        <v>66</v>
      </c>
      <c r="P6" s="11"/>
      <c r="Q6" s="11"/>
      <c r="R6" s="21" t="s">
        <v>68</v>
      </c>
      <c r="S6" s="13"/>
      <c r="T6" s="21" t="s">
        <v>68</v>
      </c>
      <c r="U6" s="11"/>
      <c r="V6" s="21" t="s">
        <v>68</v>
      </c>
      <c r="W6" s="13"/>
      <c r="X6" s="21" t="s">
        <v>68</v>
      </c>
      <c r="Y6" s="11"/>
      <c r="Z6" s="13"/>
      <c r="AA6" s="13"/>
      <c r="AB6" s="11"/>
      <c r="AC6" s="11"/>
      <c r="AD6" s="13"/>
      <c r="AE6" s="13"/>
      <c r="AF6" s="11"/>
      <c r="AG6" s="11"/>
      <c r="AH6" s="13"/>
      <c r="AI6" s="13"/>
      <c r="AJ6" s="11"/>
      <c r="AK6" s="11"/>
      <c r="AL6" s="13"/>
      <c r="AM6" s="13" t="s">
        <v>66</v>
      </c>
      <c r="AN6" s="11"/>
      <c r="AO6" s="11"/>
    </row>
    <row r="7" spans="1:41" ht="62.5" customHeight="1" x14ac:dyDescent="0.3">
      <c r="A7" s="2">
        <v>3</v>
      </c>
      <c r="B7" s="192"/>
      <c r="C7" s="7" t="s">
        <v>69</v>
      </c>
      <c r="D7" s="19" t="s">
        <v>64</v>
      </c>
      <c r="E7" s="19">
        <v>50</v>
      </c>
      <c r="F7" s="17"/>
      <c r="G7" s="16" t="s">
        <v>70</v>
      </c>
      <c r="H7" s="22"/>
      <c r="I7" s="22"/>
      <c r="J7" s="21" t="s">
        <v>68</v>
      </c>
      <c r="K7" s="13" t="s">
        <v>66</v>
      </c>
      <c r="L7" s="21" t="s">
        <v>68</v>
      </c>
      <c r="M7" s="11"/>
      <c r="N7" s="13"/>
      <c r="O7" s="13"/>
      <c r="P7" s="21" t="s">
        <v>68</v>
      </c>
      <c r="Q7" s="11" t="s">
        <v>66</v>
      </c>
      <c r="R7" s="13"/>
      <c r="S7" s="13"/>
      <c r="T7" s="11"/>
      <c r="U7" s="11"/>
      <c r="V7" s="13"/>
      <c r="W7" s="13"/>
      <c r="X7" s="11"/>
      <c r="Y7" s="11"/>
      <c r="Z7" s="13"/>
      <c r="AA7" s="13"/>
      <c r="AB7" s="11"/>
      <c r="AC7" s="11"/>
      <c r="AD7" s="13"/>
      <c r="AE7" s="13"/>
      <c r="AF7" s="11"/>
      <c r="AG7" s="11"/>
      <c r="AH7" s="13"/>
      <c r="AI7" s="13"/>
      <c r="AJ7" s="11"/>
      <c r="AK7" s="11"/>
      <c r="AL7" s="21" t="s">
        <v>68</v>
      </c>
      <c r="AM7" s="13" t="s">
        <v>66</v>
      </c>
      <c r="AN7" s="11"/>
      <c r="AO7" s="11"/>
    </row>
    <row r="8" spans="1:41" ht="62.15" customHeight="1" x14ac:dyDescent="0.3">
      <c r="A8" s="2">
        <v>4</v>
      </c>
      <c r="B8" s="192"/>
      <c r="C8" s="7" t="s">
        <v>71</v>
      </c>
      <c r="D8" s="19" t="s">
        <v>64</v>
      </c>
      <c r="E8" s="19">
        <v>200</v>
      </c>
      <c r="F8" s="17"/>
      <c r="G8" s="16" t="s">
        <v>72</v>
      </c>
      <c r="H8" s="22"/>
      <c r="I8" s="22"/>
      <c r="J8" s="13"/>
      <c r="K8" s="13"/>
      <c r="L8" s="11"/>
      <c r="M8" s="11"/>
      <c r="N8" s="13"/>
      <c r="O8" s="13"/>
      <c r="P8" s="11"/>
      <c r="Q8" s="11" t="s">
        <v>66</v>
      </c>
      <c r="R8" s="13"/>
      <c r="S8" s="13"/>
      <c r="T8" s="11"/>
      <c r="U8" s="11"/>
      <c r="V8" s="13"/>
      <c r="W8" s="13"/>
      <c r="X8" s="11"/>
      <c r="Y8" s="11"/>
      <c r="Z8" s="13"/>
      <c r="AA8" s="13"/>
      <c r="AB8" s="11"/>
      <c r="AC8" s="11"/>
      <c r="AD8" s="13"/>
      <c r="AE8" s="13"/>
      <c r="AF8" s="11"/>
      <c r="AG8" s="11"/>
      <c r="AH8" s="13"/>
      <c r="AI8" s="13"/>
      <c r="AJ8" s="11"/>
      <c r="AK8" s="11"/>
      <c r="AL8" s="21" t="s">
        <v>68</v>
      </c>
      <c r="AM8" s="13"/>
      <c r="AN8" s="11"/>
      <c r="AO8" s="11"/>
    </row>
    <row r="9" spans="1:41" ht="29" x14ac:dyDescent="0.35">
      <c r="A9" s="2">
        <v>5</v>
      </c>
      <c r="B9" s="192"/>
      <c r="C9" s="7" t="s">
        <v>73</v>
      </c>
      <c r="D9" s="24" t="s">
        <v>74</v>
      </c>
      <c r="E9" s="19"/>
      <c r="F9" s="17" t="s">
        <v>75</v>
      </c>
      <c r="G9" s="16" t="s">
        <v>76</v>
      </c>
      <c r="H9" s="22"/>
      <c r="I9" s="22"/>
      <c r="J9" s="21" t="s">
        <v>68</v>
      </c>
      <c r="K9" s="13"/>
      <c r="L9" s="21" t="s">
        <v>68</v>
      </c>
      <c r="M9" s="11"/>
      <c r="N9" s="13"/>
      <c r="O9" s="13"/>
      <c r="P9" s="11"/>
      <c r="Q9" s="11"/>
      <c r="R9" s="13"/>
      <c r="S9" s="13"/>
      <c r="T9" s="11"/>
      <c r="U9" s="11"/>
      <c r="V9" s="13"/>
      <c r="W9" s="13"/>
      <c r="X9" s="11"/>
      <c r="Y9" s="11"/>
      <c r="Z9" s="13"/>
      <c r="AA9" s="13"/>
      <c r="AB9" s="11"/>
      <c r="AC9" s="11"/>
      <c r="AD9" s="13"/>
      <c r="AE9" s="13"/>
      <c r="AF9" s="11"/>
      <c r="AG9" s="11"/>
      <c r="AH9" s="13"/>
      <c r="AI9" s="13"/>
      <c r="AJ9" s="11"/>
      <c r="AK9" s="11"/>
      <c r="AL9" s="21" t="s">
        <v>68</v>
      </c>
      <c r="AM9" s="13"/>
      <c r="AN9" s="11"/>
      <c r="AO9" s="11"/>
    </row>
    <row r="10" spans="1:41" ht="17" customHeight="1" x14ac:dyDescent="0.3">
      <c r="A10" s="2">
        <v>6</v>
      </c>
      <c r="B10" s="192"/>
      <c r="C10" s="7" t="s">
        <v>77</v>
      </c>
      <c r="D10" s="19" t="s">
        <v>78</v>
      </c>
      <c r="E10" s="19"/>
      <c r="F10" s="17"/>
      <c r="G10" s="16" t="s">
        <v>79</v>
      </c>
      <c r="H10" s="22"/>
      <c r="I10" s="22"/>
      <c r="J10" s="21" t="s">
        <v>68</v>
      </c>
      <c r="K10" s="13"/>
      <c r="L10" s="21" t="s">
        <v>68</v>
      </c>
      <c r="M10" s="11"/>
      <c r="N10" s="13"/>
      <c r="O10" s="13"/>
      <c r="P10" s="11"/>
      <c r="Q10" s="11"/>
      <c r="R10" s="13"/>
      <c r="S10" s="13"/>
      <c r="T10" s="11"/>
      <c r="U10" s="11"/>
      <c r="V10" s="13"/>
      <c r="W10" s="13"/>
      <c r="X10" s="11"/>
      <c r="Y10" s="11"/>
      <c r="Z10" s="13"/>
      <c r="AA10" s="13"/>
      <c r="AB10" s="11"/>
      <c r="AC10" s="11"/>
      <c r="AD10" s="13"/>
      <c r="AE10" s="13"/>
      <c r="AF10" s="11"/>
      <c r="AG10" s="11"/>
      <c r="AH10" s="13"/>
      <c r="AI10" s="13"/>
      <c r="AJ10" s="11"/>
      <c r="AK10" s="11"/>
      <c r="AL10" s="21" t="s">
        <v>68</v>
      </c>
      <c r="AM10" s="13"/>
      <c r="AN10" s="11"/>
      <c r="AO10" s="11"/>
    </row>
    <row r="11" spans="1:41" ht="26" x14ac:dyDescent="0.3">
      <c r="A11" s="2">
        <v>7</v>
      </c>
      <c r="B11" s="192"/>
      <c r="C11" s="7" t="s">
        <v>80</v>
      </c>
      <c r="D11" s="19" t="s">
        <v>81</v>
      </c>
      <c r="E11" s="19"/>
      <c r="F11" s="17" t="s">
        <v>82</v>
      </c>
      <c r="G11" s="16" t="s">
        <v>83</v>
      </c>
      <c r="H11" s="22"/>
      <c r="I11" s="22"/>
      <c r="J11" s="21" t="s">
        <v>68</v>
      </c>
      <c r="K11" s="13"/>
      <c r="L11" s="21" t="s">
        <v>68</v>
      </c>
      <c r="M11" s="11"/>
      <c r="N11" s="13"/>
      <c r="O11" s="13"/>
      <c r="P11" s="11"/>
      <c r="Q11" s="11"/>
      <c r="R11" s="13"/>
      <c r="S11" s="13"/>
      <c r="T11" s="11"/>
      <c r="U11" s="11"/>
      <c r="V11" s="13"/>
      <c r="W11" s="13"/>
      <c r="X11" s="11"/>
      <c r="Y11" s="11"/>
      <c r="Z11" s="13"/>
      <c r="AA11" s="13"/>
      <c r="AB11" s="11"/>
      <c r="AC11" s="11"/>
      <c r="AD11" s="13"/>
      <c r="AE11" s="13"/>
      <c r="AF11" s="11"/>
      <c r="AG11" s="11"/>
      <c r="AH11" s="13"/>
      <c r="AI11" s="13"/>
      <c r="AJ11" s="11"/>
      <c r="AK11" s="11"/>
      <c r="AL11" s="21" t="s">
        <v>68</v>
      </c>
      <c r="AM11" s="13"/>
      <c r="AN11" s="11"/>
      <c r="AO11" s="11"/>
    </row>
    <row r="12" spans="1:41" ht="29" x14ac:dyDescent="0.35">
      <c r="A12" s="2">
        <v>8</v>
      </c>
      <c r="B12" s="192"/>
      <c r="C12" s="7" t="s">
        <v>84</v>
      </c>
      <c r="D12" s="24" t="s">
        <v>85</v>
      </c>
      <c r="E12" s="19"/>
      <c r="F12" s="17" t="s">
        <v>86</v>
      </c>
      <c r="G12" s="16" t="s">
        <v>87</v>
      </c>
      <c r="H12" s="22"/>
      <c r="I12" s="22"/>
      <c r="J12" s="21" t="s">
        <v>68</v>
      </c>
      <c r="K12" s="13"/>
      <c r="L12" s="21" t="s">
        <v>68</v>
      </c>
      <c r="M12" s="11"/>
      <c r="N12" s="13"/>
      <c r="O12" s="13"/>
      <c r="P12" s="11"/>
      <c r="Q12" s="11"/>
      <c r="R12" s="13"/>
      <c r="S12" s="13"/>
      <c r="T12" s="11"/>
      <c r="U12" s="11"/>
      <c r="V12" s="13"/>
      <c r="W12" s="13"/>
      <c r="X12" s="11"/>
      <c r="Y12" s="11"/>
      <c r="Z12" s="13"/>
      <c r="AA12" s="13"/>
      <c r="AB12" s="11"/>
      <c r="AC12" s="11"/>
      <c r="AD12" s="13"/>
      <c r="AE12" s="13"/>
      <c r="AF12" s="11"/>
      <c r="AG12" s="11"/>
      <c r="AH12" s="13"/>
      <c r="AI12" s="13"/>
      <c r="AJ12" s="11"/>
      <c r="AK12" s="11"/>
      <c r="AL12" s="21" t="s">
        <v>68</v>
      </c>
      <c r="AM12" s="13"/>
      <c r="AN12" s="11"/>
      <c r="AO12" s="11"/>
    </row>
    <row r="13" spans="1:41" x14ac:dyDescent="0.3">
      <c r="A13" s="2">
        <v>9</v>
      </c>
      <c r="B13" s="192"/>
      <c r="C13" s="7" t="s">
        <v>88</v>
      </c>
      <c r="D13" s="19" t="s">
        <v>89</v>
      </c>
      <c r="E13" s="19"/>
      <c r="F13" s="17" t="s">
        <v>90</v>
      </c>
      <c r="G13" s="16" t="s">
        <v>91</v>
      </c>
      <c r="H13" s="22"/>
      <c r="I13" s="22"/>
      <c r="J13" s="21" t="s">
        <v>68</v>
      </c>
      <c r="K13" s="13"/>
      <c r="L13" s="21" t="s">
        <v>68</v>
      </c>
      <c r="M13" s="11"/>
      <c r="N13" s="13"/>
      <c r="O13" s="13"/>
      <c r="P13" s="11"/>
      <c r="Q13" s="11"/>
      <c r="R13" s="13"/>
      <c r="S13" s="13"/>
      <c r="T13" s="11"/>
      <c r="U13" s="11"/>
      <c r="V13" s="13"/>
      <c r="W13" s="13"/>
      <c r="X13" s="11"/>
      <c r="Y13" s="11"/>
      <c r="Z13" s="13"/>
      <c r="AA13" s="13"/>
      <c r="AB13" s="11"/>
      <c r="AC13" s="11"/>
      <c r="AD13" s="13"/>
      <c r="AE13" s="13"/>
      <c r="AF13" s="11"/>
      <c r="AG13" s="11"/>
      <c r="AH13" s="13"/>
      <c r="AI13" s="13"/>
      <c r="AJ13" s="11"/>
      <c r="AK13" s="11"/>
      <c r="AL13" s="21" t="s">
        <v>68</v>
      </c>
      <c r="AM13" s="13"/>
      <c r="AN13" s="11"/>
      <c r="AO13" s="11"/>
    </row>
    <row r="14" spans="1:41" ht="42.75" customHeight="1" x14ac:dyDescent="0.35">
      <c r="A14" s="2">
        <v>10</v>
      </c>
      <c r="B14" s="192"/>
      <c r="C14" s="7" t="s">
        <v>92</v>
      </c>
      <c r="D14" s="24" t="s">
        <v>93</v>
      </c>
      <c r="E14" s="19"/>
      <c r="F14" s="17" t="s">
        <v>94</v>
      </c>
      <c r="G14" s="16" t="s">
        <v>95</v>
      </c>
      <c r="H14" s="22"/>
      <c r="I14" s="22"/>
      <c r="J14" s="21" t="s">
        <v>68</v>
      </c>
      <c r="K14" s="13"/>
      <c r="L14" s="21" t="s">
        <v>68</v>
      </c>
      <c r="M14" s="11"/>
      <c r="N14" s="13"/>
      <c r="O14" s="13"/>
      <c r="P14" s="11"/>
      <c r="Q14" s="11"/>
      <c r="R14" s="13"/>
      <c r="S14" s="13"/>
      <c r="T14" s="11"/>
      <c r="U14" s="11"/>
      <c r="V14" s="13"/>
      <c r="W14" s="13"/>
      <c r="X14" s="11"/>
      <c r="Y14" s="11"/>
      <c r="Z14" s="13"/>
      <c r="AA14" s="13"/>
      <c r="AB14" s="11"/>
      <c r="AC14" s="11"/>
      <c r="AD14" s="13"/>
      <c r="AE14" s="13"/>
      <c r="AF14" s="11"/>
      <c r="AG14" s="11"/>
      <c r="AH14" s="13"/>
      <c r="AI14" s="13"/>
      <c r="AJ14" s="11"/>
      <c r="AK14" s="11"/>
      <c r="AL14" s="13" t="s">
        <v>66</v>
      </c>
      <c r="AM14" s="13"/>
      <c r="AN14" s="11"/>
      <c r="AO14" s="11"/>
    </row>
    <row r="15" spans="1:41" ht="43.5" x14ac:dyDescent="0.35">
      <c r="A15" s="2">
        <v>11</v>
      </c>
      <c r="B15" s="192"/>
      <c r="C15" s="7" t="s">
        <v>96</v>
      </c>
      <c r="D15" s="24" t="s">
        <v>97</v>
      </c>
      <c r="E15" s="19"/>
      <c r="F15" s="17" t="s">
        <v>98</v>
      </c>
      <c r="G15" s="16" t="s">
        <v>99</v>
      </c>
      <c r="H15" s="22"/>
      <c r="I15" s="22"/>
      <c r="J15" s="13" t="s">
        <v>66</v>
      </c>
      <c r="K15" s="13"/>
      <c r="L15" s="11" t="s">
        <v>66</v>
      </c>
      <c r="M15" s="11"/>
      <c r="N15" s="13"/>
      <c r="O15" s="13"/>
      <c r="P15" s="11"/>
      <c r="Q15" s="11"/>
      <c r="R15" s="13"/>
      <c r="S15" s="13"/>
      <c r="T15" s="11"/>
      <c r="U15" s="11"/>
      <c r="V15" s="13"/>
      <c r="W15" s="13"/>
      <c r="X15" s="11"/>
      <c r="Y15" s="11"/>
      <c r="Z15" s="13"/>
      <c r="AA15" s="13"/>
      <c r="AB15" s="11"/>
      <c r="AC15" s="11"/>
      <c r="AD15" s="13"/>
      <c r="AE15" s="13"/>
      <c r="AF15" s="11"/>
      <c r="AG15" s="11"/>
      <c r="AH15" s="13"/>
      <c r="AI15" s="13"/>
      <c r="AJ15" s="11"/>
      <c r="AK15" s="11"/>
      <c r="AL15" s="13" t="s">
        <v>66</v>
      </c>
      <c r="AM15" s="13"/>
      <c r="AN15" s="11"/>
      <c r="AO15" s="11"/>
    </row>
    <row r="16" spans="1:41" x14ac:dyDescent="0.3">
      <c r="A16" s="2">
        <v>12</v>
      </c>
      <c r="B16" s="192"/>
      <c r="C16" s="7" t="s">
        <v>100</v>
      </c>
      <c r="D16" s="19" t="s">
        <v>78</v>
      </c>
      <c r="E16" s="19"/>
      <c r="F16" s="17"/>
      <c r="G16" s="16" t="s">
        <v>101</v>
      </c>
      <c r="H16" s="22"/>
      <c r="I16" s="22"/>
      <c r="J16" s="13" t="s">
        <v>66</v>
      </c>
      <c r="K16" s="13"/>
      <c r="L16" s="11" t="s">
        <v>66</v>
      </c>
      <c r="M16" s="11"/>
      <c r="N16" s="13"/>
      <c r="O16" s="13"/>
      <c r="P16" s="11"/>
      <c r="Q16" s="11"/>
      <c r="R16" s="13"/>
      <c r="S16" s="13"/>
      <c r="T16" s="11"/>
      <c r="U16" s="11"/>
      <c r="V16" s="13"/>
      <c r="W16" s="13"/>
      <c r="X16" s="11"/>
      <c r="Y16" s="11"/>
      <c r="Z16" s="13"/>
      <c r="AA16" s="13"/>
      <c r="AB16" s="11"/>
      <c r="AC16" s="11"/>
      <c r="AD16" s="13"/>
      <c r="AE16" s="13"/>
      <c r="AF16" s="11"/>
      <c r="AG16" s="11"/>
      <c r="AH16" s="13"/>
      <c r="AI16" s="13"/>
      <c r="AJ16" s="11"/>
      <c r="AK16" s="11"/>
      <c r="AL16" s="13" t="s">
        <v>66</v>
      </c>
      <c r="AM16" s="13"/>
      <c r="AN16" s="11"/>
      <c r="AO16" s="11"/>
    </row>
    <row r="17" spans="1:41" x14ac:dyDescent="0.3">
      <c r="A17" s="2">
        <v>13</v>
      </c>
      <c r="B17" s="192"/>
      <c r="C17" s="7" t="s">
        <v>102</v>
      </c>
      <c r="D17" s="19" t="s">
        <v>78</v>
      </c>
      <c r="E17" s="19"/>
      <c r="F17" s="17"/>
      <c r="G17" s="16" t="s">
        <v>103</v>
      </c>
      <c r="H17" s="22"/>
      <c r="I17" s="22"/>
      <c r="J17" s="13" t="s">
        <v>66</v>
      </c>
      <c r="K17" s="13"/>
      <c r="L17" s="11" t="s">
        <v>66</v>
      </c>
      <c r="M17" s="11"/>
      <c r="N17" s="13"/>
      <c r="O17" s="13"/>
      <c r="P17" s="11"/>
      <c r="Q17" s="11"/>
      <c r="R17" s="13"/>
      <c r="S17" s="13"/>
      <c r="T17" s="11"/>
      <c r="U17" s="11"/>
      <c r="V17" s="13"/>
      <c r="W17" s="13"/>
      <c r="X17" s="11"/>
      <c r="Y17" s="11"/>
      <c r="Z17" s="13"/>
      <c r="AA17" s="13"/>
      <c r="AB17" s="11"/>
      <c r="AC17" s="11"/>
      <c r="AD17" s="13"/>
      <c r="AE17" s="13"/>
      <c r="AF17" s="11"/>
      <c r="AG17" s="11"/>
      <c r="AH17" s="13"/>
      <c r="AI17" s="13"/>
      <c r="AJ17" s="11"/>
      <c r="AK17" s="11"/>
      <c r="AL17" s="13" t="s">
        <v>66</v>
      </c>
      <c r="AM17" s="13"/>
      <c r="AN17" s="11"/>
      <c r="AO17" s="11"/>
    </row>
    <row r="18" spans="1:41" x14ac:dyDescent="0.3">
      <c r="A18" s="2">
        <v>14</v>
      </c>
      <c r="B18" s="193"/>
      <c r="C18" s="7" t="s">
        <v>104</v>
      </c>
      <c r="D18" s="19" t="s">
        <v>78</v>
      </c>
      <c r="E18" s="19"/>
      <c r="F18" s="17"/>
      <c r="G18" s="16" t="s">
        <v>105</v>
      </c>
      <c r="H18" s="22"/>
      <c r="I18" s="22"/>
      <c r="J18" s="13" t="s">
        <v>66</v>
      </c>
      <c r="K18" s="13"/>
      <c r="L18" s="11" t="s">
        <v>66</v>
      </c>
      <c r="M18" s="11"/>
      <c r="N18" s="13"/>
      <c r="O18" s="13"/>
      <c r="P18" s="11"/>
      <c r="Q18" s="11"/>
      <c r="R18" s="13"/>
      <c r="S18" s="13"/>
      <c r="T18" s="11"/>
      <c r="U18" s="11"/>
      <c r="V18" s="13"/>
      <c r="W18" s="13"/>
      <c r="X18" s="11"/>
      <c r="Y18" s="11"/>
      <c r="Z18" s="13"/>
      <c r="AA18" s="13"/>
      <c r="AB18" s="11"/>
      <c r="AC18" s="11"/>
      <c r="AD18" s="13"/>
      <c r="AE18" s="13"/>
      <c r="AF18" s="11"/>
      <c r="AG18" s="11"/>
      <c r="AH18" s="13"/>
      <c r="AI18" s="13"/>
      <c r="AJ18" s="11"/>
      <c r="AK18" s="11"/>
      <c r="AL18" s="13" t="s">
        <v>66</v>
      </c>
      <c r="AM18" s="13"/>
      <c r="AN18" s="11"/>
      <c r="AO18" s="11"/>
    </row>
    <row r="19" spans="1:41" x14ac:dyDescent="0.3">
      <c r="A19" s="2">
        <v>15</v>
      </c>
      <c r="B19" s="191" t="s">
        <v>106</v>
      </c>
      <c r="C19" s="8" t="s">
        <v>107</v>
      </c>
      <c r="D19" s="20" t="s">
        <v>64</v>
      </c>
      <c r="E19" s="20">
        <v>100</v>
      </c>
      <c r="F19" s="57"/>
      <c r="G19" s="57" t="s">
        <v>1754</v>
      </c>
      <c r="H19" s="22"/>
      <c r="I19" s="22"/>
      <c r="J19" s="13" t="s">
        <v>66</v>
      </c>
      <c r="K19" s="13"/>
      <c r="L19" s="11" t="s">
        <v>66</v>
      </c>
      <c r="M19" s="11"/>
      <c r="N19" s="13"/>
      <c r="O19" s="13"/>
      <c r="P19" s="11"/>
      <c r="Q19" s="11"/>
      <c r="R19" s="13"/>
      <c r="S19" s="13"/>
      <c r="T19" s="11"/>
      <c r="U19" s="11"/>
      <c r="V19" s="13"/>
      <c r="W19" s="13"/>
      <c r="X19" s="11"/>
      <c r="Y19" s="11"/>
      <c r="Z19" s="13"/>
      <c r="AA19" s="13"/>
      <c r="AB19" s="11"/>
      <c r="AC19" s="11"/>
      <c r="AD19" s="13"/>
      <c r="AE19" s="13"/>
      <c r="AF19" s="11"/>
      <c r="AG19" s="11"/>
      <c r="AH19" s="13"/>
      <c r="AI19" s="13"/>
      <c r="AJ19" s="11"/>
      <c r="AK19" s="11"/>
      <c r="AL19" s="13" t="s">
        <v>66</v>
      </c>
      <c r="AM19" s="13"/>
      <c r="AN19" s="11"/>
      <c r="AO19" s="11"/>
    </row>
    <row r="20" spans="1:41" x14ac:dyDescent="0.3">
      <c r="A20" s="2">
        <v>16</v>
      </c>
      <c r="B20" s="192"/>
      <c r="C20" s="8" t="s">
        <v>109</v>
      </c>
      <c r="D20" s="20" t="s">
        <v>64</v>
      </c>
      <c r="E20" s="20">
        <v>100</v>
      </c>
      <c r="F20" s="57"/>
      <c r="G20" s="57" t="s">
        <v>1755</v>
      </c>
      <c r="H20" s="22"/>
      <c r="I20" s="22"/>
      <c r="J20" s="13" t="s">
        <v>66</v>
      </c>
      <c r="K20" s="13"/>
      <c r="L20" s="11" t="s">
        <v>66</v>
      </c>
      <c r="M20" s="11"/>
      <c r="N20" s="13"/>
      <c r="O20" s="13"/>
      <c r="P20" s="11"/>
      <c r="Q20" s="11"/>
      <c r="R20" s="13"/>
      <c r="S20" s="13"/>
      <c r="T20" s="11"/>
      <c r="U20" s="11"/>
      <c r="V20" s="13"/>
      <c r="W20" s="13"/>
      <c r="X20" s="11"/>
      <c r="Y20" s="11"/>
      <c r="Z20" s="13"/>
      <c r="AA20" s="13"/>
      <c r="AB20" s="11"/>
      <c r="AC20" s="11"/>
      <c r="AD20" s="13"/>
      <c r="AE20" s="13"/>
      <c r="AF20" s="11"/>
      <c r="AG20" s="11"/>
      <c r="AH20" s="13"/>
      <c r="AI20" s="13"/>
      <c r="AJ20" s="11"/>
      <c r="AK20" s="11"/>
      <c r="AL20" s="21" t="s">
        <v>68</v>
      </c>
      <c r="AM20" s="13"/>
      <c r="AN20" s="11"/>
      <c r="AO20" s="11"/>
    </row>
    <row r="21" spans="1:41" x14ac:dyDescent="0.3">
      <c r="A21" s="2">
        <v>17</v>
      </c>
      <c r="B21" s="192"/>
      <c r="C21" s="8" t="s">
        <v>111</v>
      </c>
      <c r="D21" s="20" t="s">
        <v>64</v>
      </c>
      <c r="E21" s="20">
        <v>100</v>
      </c>
      <c r="F21" s="57"/>
      <c r="G21" s="57" t="s">
        <v>112</v>
      </c>
      <c r="H21" s="22"/>
      <c r="I21" s="22"/>
      <c r="J21" s="21" t="s">
        <v>68</v>
      </c>
      <c r="K21" s="13"/>
      <c r="L21" s="21" t="s">
        <v>68</v>
      </c>
      <c r="M21" s="11"/>
      <c r="N21" s="13"/>
      <c r="O21" s="13"/>
      <c r="P21" s="11"/>
      <c r="Q21" s="11"/>
      <c r="R21" s="13"/>
      <c r="S21" s="13"/>
      <c r="T21" s="11"/>
      <c r="U21" s="11"/>
      <c r="V21" s="13"/>
      <c r="W21" s="13"/>
      <c r="X21" s="11"/>
      <c r="Y21" s="11"/>
      <c r="Z21" s="13"/>
      <c r="AA21" s="13"/>
      <c r="AB21" s="11"/>
      <c r="AC21" s="11"/>
      <c r="AD21" s="13"/>
      <c r="AE21" s="13"/>
      <c r="AF21" s="11"/>
      <c r="AG21" s="11"/>
      <c r="AH21" s="13"/>
      <c r="AI21" s="13"/>
      <c r="AJ21" s="11"/>
      <c r="AK21" s="11"/>
      <c r="AL21" s="21" t="s">
        <v>68</v>
      </c>
      <c r="AM21" s="13"/>
      <c r="AN21" s="11"/>
      <c r="AO21" s="11"/>
    </row>
    <row r="22" spans="1:41" x14ac:dyDescent="0.3">
      <c r="A22" s="2">
        <v>18</v>
      </c>
      <c r="B22" s="192"/>
      <c r="C22" s="8" t="s">
        <v>113</v>
      </c>
      <c r="D22" s="20" t="s">
        <v>64</v>
      </c>
      <c r="E22" s="20">
        <v>100</v>
      </c>
      <c r="F22" s="57"/>
      <c r="G22" s="57" t="s">
        <v>114</v>
      </c>
      <c r="H22" s="22"/>
      <c r="I22" s="22"/>
      <c r="J22" s="21" t="s">
        <v>66</v>
      </c>
      <c r="K22" s="13"/>
      <c r="L22" s="21" t="s">
        <v>66</v>
      </c>
      <c r="M22" s="11"/>
      <c r="N22" s="13"/>
      <c r="O22" s="13"/>
      <c r="P22" s="11"/>
      <c r="Q22" s="11"/>
      <c r="R22" s="13"/>
      <c r="S22" s="13"/>
      <c r="T22" s="11"/>
      <c r="U22" s="11"/>
      <c r="V22" s="13"/>
      <c r="W22" s="13"/>
      <c r="X22" s="11"/>
      <c r="Y22" s="11"/>
      <c r="Z22" s="13"/>
      <c r="AA22" s="13"/>
      <c r="AB22" s="11"/>
      <c r="AC22" s="11"/>
      <c r="AD22" s="13"/>
      <c r="AE22" s="13"/>
      <c r="AF22" s="11"/>
      <c r="AG22" s="11"/>
      <c r="AH22" s="13"/>
      <c r="AI22" s="13"/>
      <c r="AJ22" s="11"/>
      <c r="AK22" s="11"/>
      <c r="AL22" s="21" t="s">
        <v>66</v>
      </c>
      <c r="AM22" s="13"/>
      <c r="AN22" s="11"/>
      <c r="AO22" s="11"/>
    </row>
    <row r="23" spans="1:41" x14ac:dyDescent="0.3">
      <c r="A23" s="2">
        <v>19</v>
      </c>
      <c r="B23" s="192"/>
      <c r="C23" s="8" t="s">
        <v>115</v>
      </c>
      <c r="D23" s="20" t="s">
        <v>64</v>
      </c>
      <c r="E23" s="20">
        <v>50</v>
      </c>
      <c r="F23" s="57"/>
      <c r="G23" s="57" t="s">
        <v>116</v>
      </c>
      <c r="H23" s="22"/>
      <c r="I23" s="22"/>
      <c r="J23" s="21" t="s">
        <v>68</v>
      </c>
      <c r="K23" s="13"/>
      <c r="L23" s="21" t="s">
        <v>68</v>
      </c>
      <c r="M23" s="11"/>
      <c r="N23" s="13"/>
      <c r="O23" s="13"/>
      <c r="P23" s="11"/>
      <c r="Q23" s="11"/>
      <c r="R23" s="13"/>
      <c r="S23" s="13"/>
      <c r="T23" s="11"/>
      <c r="U23" s="11"/>
      <c r="V23" s="13"/>
      <c r="W23" s="13"/>
      <c r="X23" s="11"/>
      <c r="Y23" s="11"/>
      <c r="Z23" s="13"/>
      <c r="AA23" s="13"/>
      <c r="AB23" s="11"/>
      <c r="AC23" s="11"/>
      <c r="AD23" s="13"/>
      <c r="AE23" s="13"/>
      <c r="AF23" s="11"/>
      <c r="AG23" s="11"/>
      <c r="AH23" s="13"/>
      <c r="AI23" s="13"/>
      <c r="AJ23" s="11"/>
      <c r="AK23" s="11"/>
      <c r="AL23" s="21" t="s">
        <v>68</v>
      </c>
      <c r="AM23" s="13"/>
      <c r="AN23" s="11"/>
      <c r="AO23" s="11"/>
    </row>
    <row r="24" spans="1:41" x14ac:dyDescent="0.3">
      <c r="A24" s="2">
        <v>20</v>
      </c>
      <c r="B24" s="192"/>
      <c r="C24" s="8" t="s">
        <v>117</v>
      </c>
      <c r="D24" s="20" t="s">
        <v>64</v>
      </c>
      <c r="E24" s="20">
        <v>50</v>
      </c>
      <c r="F24" s="57"/>
      <c r="G24" s="57" t="s">
        <v>118</v>
      </c>
      <c r="H24" s="22"/>
      <c r="I24" s="22"/>
      <c r="J24" s="21" t="s">
        <v>68</v>
      </c>
      <c r="K24" s="13"/>
      <c r="L24" s="21" t="s">
        <v>68</v>
      </c>
      <c r="M24" s="11"/>
      <c r="N24" s="13"/>
      <c r="O24" s="13"/>
      <c r="P24" s="11"/>
      <c r="Q24" s="11"/>
      <c r="R24" s="13"/>
      <c r="S24" s="13"/>
      <c r="T24" s="11"/>
      <c r="U24" s="11"/>
      <c r="V24" s="13"/>
      <c r="W24" s="13"/>
      <c r="X24" s="11"/>
      <c r="Y24" s="11"/>
      <c r="Z24" s="13"/>
      <c r="AA24" s="13"/>
      <c r="AB24" s="11"/>
      <c r="AC24" s="11"/>
      <c r="AD24" s="13"/>
      <c r="AE24" s="13"/>
      <c r="AF24" s="11"/>
      <c r="AG24" s="11"/>
      <c r="AH24" s="13"/>
      <c r="AI24" s="13"/>
      <c r="AJ24" s="11"/>
      <c r="AK24" s="11"/>
      <c r="AL24" s="21" t="s">
        <v>68</v>
      </c>
      <c r="AM24" s="13"/>
      <c r="AN24" s="11"/>
      <c r="AO24" s="11"/>
    </row>
    <row r="25" spans="1:41" ht="29" x14ac:dyDescent="0.35">
      <c r="A25" s="2">
        <v>21</v>
      </c>
      <c r="B25" s="193"/>
      <c r="C25" s="8" t="s">
        <v>119</v>
      </c>
      <c r="D25" s="25" t="s">
        <v>120</v>
      </c>
      <c r="E25" s="20"/>
      <c r="F25" s="57" t="s">
        <v>75</v>
      </c>
      <c r="G25" s="57" t="s">
        <v>121</v>
      </c>
      <c r="H25" s="22"/>
      <c r="I25" s="22"/>
      <c r="J25" s="21" t="s">
        <v>68</v>
      </c>
      <c r="K25" s="13"/>
      <c r="L25" s="21" t="s">
        <v>68</v>
      </c>
      <c r="M25" s="11"/>
      <c r="N25" s="13"/>
      <c r="O25" s="13"/>
      <c r="P25" s="11"/>
      <c r="Q25" s="11"/>
      <c r="R25" s="13"/>
      <c r="S25" s="13"/>
      <c r="T25" s="11"/>
      <c r="U25" s="11"/>
      <c r="V25" s="13"/>
      <c r="W25" s="13"/>
      <c r="X25" s="11"/>
      <c r="Y25" s="11"/>
      <c r="Z25" s="13"/>
      <c r="AA25" s="13"/>
      <c r="AB25" s="11"/>
      <c r="AC25" s="11"/>
      <c r="AD25" s="13"/>
      <c r="AE25" s="13"/>
      <c r="AF25" s="11"/>
      <c r="AG25" s="11"/>
      <c r="AH25" s="13"/>
      <c r="AI25" s="13"/>
      <c r="AJ25" s="11"/>
      <c r="AK25" s="11"/>
      <c r="AL25" s="21" t="s">
        <v>68</v>
      </c>
      <c r="AM25" s="13"/>
      <c r="AN25" s="11"/>
      <c r="AO25" s="11"/>
    </row>
    <row r="26" spans="1:41" x14ac:dyDescent="0.3">
      <c r="A26" s="189" t="s">
        <v>122</v>
      </c>
      <c r="B26" s="190"/>
      <c r="C26" s="190"/>
      <c r="D26" s="190"/>
      <c r="E26" s="190"/>
      <c r="F26" s="190"/>
      <c r="G26" s="190"/>
      <c r="H26" s="22"/>
      <c r="I26" s="22"/>
      <c r="J26" s="13"/>
      <c r="K26" s="13"/>
      <c r="L26" s="11"/>
      <c r="M26" s="11"/>
      <c r="N26" s="13"/>
      <c r="O26" s="13"/>
      <c r="P26" s="11"/>
      <c r="Q26" s="11"/>
      <c r="R26" s="13"/>
      <c r="S26" s="13"/>
      <c r="T26" s="11"/>
      <c r="U26" s="11"/>
      <c r="V26" s="13"/>
      <c r="W26" s="13"/>
      <c r="X26" s="11"/>
      <c r="Y26" s="11"/>
      <c r="Z26" s="13"/>
      <c r="AA26" s="13"/>
      <c r="AB26" s="11"/>
      <c r="AC26" s="11"/>
      <c r="AD26" s="13"/>
      <c r="AE26" s="13"/>
      <c r="AF26" s="11"/>
      <c r="AG26" s="11"/>
      <c r="AH26" s="13"/>
      <c r="AI26" s="13"/>
      <c r="AJ26" s="11"/>
      <c r="AK26" s="11"/>
      <c r="AL26" s="13"/>
      <c r="AM26" s="13"/>
      <c r="AN26" s="11"/>
      <c r="AO26" s="11"/>
    </row>
    <row r="27" spans="1:41" ht="52.5" x14ac:dyDescent="0.35">
      <c r="A27" s="2">
        <v>22</v>
      </c>
      <c r="B27" s="188" t="s">
        <v>123</v>
      </c>
      <c r="C27" s="19" t="s">
        <v>124</v>
      </c>
      <c r="D27" s="24" t="s">
        <v>1515</v>
      </c>
      <c r="E27" s="17"/>
      <c r="F27" s="17"/>
      <c r="G27" s="17" t="s">
        <v>1517</v>
      </c>
      <c r="H27" s="22"/>
      <c r="I27" s="22"/>
      <c r="J27" s="13"/>
      <c r="K27" s="13"/>
      <c r="L27" s="11"/>
      <c r="M27" s="11"/>
      <c r="N27" s="13"/>
      <c r="O27" s="13" t="s">
        <v>66</v>
      </c>
      <c r="P27" s="11"/>
      <c r="Q27" s="11"/>
      <c r="R27" s="13"/>
      <c r="S27" s="13"/>
      <c r="T27" s="11"/>
      <c r="U27" s="11"/>
      <c r="V27" s="13"/>
      <c r="W27" s="13"/>
      <c r="X27" s="11"/>
      <c r="Y27" s="11"/>
      <c r="Z27" s="13"/>
      <c r="AA27" s="13"/>
      <c r="AB27" s="11"/>
      <c r="AC27" s="11"/>
      <c r="AD27" s="13"/>
      <c r="AE27" s="13"/>
      <c r="AF27" s="11"/>
      <c r="AG27" s="11"/>
      <c r="AH27" s="13"/>
      <c r="AI27" s="13"/>
      <c r="AJ27" s="11"/>
      <c r="AK27" s="11"/>
      <c r="AL27" s="13"/>
      <c r="AM27" s="13"/>
      <c r="AN27" s="11"/>
      <c r="AO27" s="11"/>
    </row>
    <row r="28" spans="1:41" ht="52.5" x14ac:dyDescent="0.35">
      <c r="A28" s="2">
        <v>23</v>
      </c>
      <c r="B28" s="188"/>
      <c r="C28" s="19" t="s">
        <v>125</v>
      </c>
      <c r="D28" s="24" t="s">
        <v>1510</v>
      </c>
      <c r="E28" s="17"/>
      <c r="F28" s="17"/>
      <c r="G28" s="17" t="s">
        <v>1516</v>
      </c>
      <c r="H28" s="22"/>
      <c r="I28" s="22"/>
      <c r="J28" s="13"/>
      <c r="K28" s="13"/>
      <c r="L28" s="11"/>
      <c r="M28" s="11"/>
      <c r="N28" s="13"/>
      <c r="O28" s="13" t="s">
        <v>66</v>
      </c>
      <c r="P28" s="11"/>
      <c r="Q28" s="11"/>
      <c r="R28" s="13"/>
      <c r="S28" s="13"/>
      <c r="T28" s="11"/>
      <c r="U28" s="11"/>
      <c r="V28" s="13"/>
      <c r="W28" s="13"/>
      <c r="X28" s="11"/>
      <c r="Y28" s="11"/>
      <c r="Z28" s="13"/>
      <c r="AA28" s="13"/>
      <c r="AB28" s="11"/>
      <c r="AC28" s="11"/>
      <c r="AD28" s="13"/>
      <c r="AE28" s="13"/>
      <c r="AF28" s="11"/>
      <c r="AG28" s="11"/>
      <c r="AH28" s="13"/>
      <c r="AI28" s="13"/>
      <c r="AJ28" s="11"/>
      <c r="AK28" s="11"/>
      <c r="AL28" s="13"/>
      <c r="AM28" s="13"/>
      <c r="AN28" s="11"/>
      <c r="AO28" s="11"/>
    </row>
    <row r="29" spans="1:41" ht="29" x14ac:dyDescent="0.35">
      <c r="A29" s="2">
        <v>24</v>
      </c>
      <c r="B29" s="188"/>
      <c r="C29" s="7" t="s">
        <v>126</v>
      </c>
      <c r="D29" s="24" t="s">
        <v>127</v>
      </c>
      <c r="E29" s="19"/>
      <c r="F29" s="17" t="s">
        <v>75</v>
      </c>
      <c r="G29" s="17" t="s">
        <v>128</v>
      </c>
      <c r="H29" s="22"/>
      <c r="I29" s="22"/>
      <c r="J29" s="21" t="s">
        <v>68</v>
      </c>
      <c r="K29" s="13"/>
      <c r="L29" s="21" t="s">
        <v>68</v>
      </c>
      <c r="M29" s="11"/>
      <c r="N29" s="13"/>
      <c r="O29" s="13"/>
      <c r="P29" s="11"/>
      <c r="Q29" s="11"/>
      <c r="R29" s="13"/>
      <c r="S29" s="13"/>
      <c r="T29" s="11"/>
      <c r="U29" s="11"/>
      <c r="V29" s="13"/>
      <c r="W29" s="13"/>
      <c r="X29" s="11"/>
      <c r="Y29" s="11"/>
      <c r="Z29" s="13"/>
      <c r="AA29" s="13"/>
      <c r="AB29" s="11"/>
      <c r="AC29" s="11"/>
      <c r="AD29" s="13"/>
      <c r="AE29" s="13"/>
      <c r="AF29" s="11"/>
      <c r="AG29" s="11"/>
      <c r="AH29" s="13"/>
      <c r="AI29" s="13"/>
      <c r="AJ29" s="11"/>
      <c r="AK29" s="11"/>
      <c r="AL29" s="21" t="s">
        <v>68</v>
      </c>
      <c r="AM29" s="13"/>
      <c r="AN29" s="11"/>
      <c r="AO29" s="11"/>
    </row>
    <row r="30" spans="1:41" ht="29" x14ac:dyDescent="0.35">
      <c r="A30" s="2">
        <v>25</v>
      </c>
      <c r="B30" s="188"/>
      <c r="C30" s="7" t="s">
        <v>129</v>
      </c>
      <c r="D30" s="24" t="s">
        <v>130</v>
      </c>
      <c r="E30" s="19"/>
      <c r="F30" s="17" t="s">
        <v>131</v>
      </c>
      <c r="G30" s="17" t="s">
        <v>132</v>
      </c>
      <c r="H30" s="22"/>
      <c r="I30" s="22"/>
      <c r="J30" s="21" t="s">
        <v>68</v>
      </c>
      <c r="K30" s="13"/>
      <c r="L30" s="21" t="s">
        <v>68</v>
      </c>
      <c r="M30" s="11"/>
      <c r="N30" s="13"/>
      <c r="O30" s="13"/>
      <c r="P30" s="11"/>
      <c r="Q30" s="11"/>
      <c r="R30" s="13"/>
      <c r="S30" s="13"/>
      <c r="T30" s="11"/>
      <c r="U30" s="11"/>
      <c r="V30" s="13"/>
      <c r="W30" s="13"/>
      <c r="X30" s="11"/>
      <c r="Y30" s="11"/>
      <c r="Z30" s="13"/>
      <c r="AA30" s="13"/>
      <c r="AB30" s="11"/>
      <c r="AC30" s="11"/>
      <c r="AD30" s="13"/>
      <c r="AE30" s="13"/>
      <c r="AF30" s="11"/>
      <c r="AG30" s="11"/>
      <c r="AH30" s="13"/>
      <c r="AI30" s="13"/>
      <c r="AJ30" s="11"/>
      <c r="AK30" s="11"/>
      <c r="AL30" s="21" t="s">
        <v>68</v>
      </c>
      <c r="AM30" s="13"/>
      <c r="AN30" s="11"/>
      <c r="AO30" s="11"/>
    </row>
    <row r="31" spans="1:41" x14ac:dyDescent="0.3">
      <c r="A31" s="2">
        <v>26</v>
      </c>
      <c r="B31" s="188"/>
      <c r="C31" s="7" t="s">
        <v>133</v>
      </c>
      <c r="D31" s="19" t="s">
        <v>134</v>
      </c>
      <c r="E31" s="19"/>
      <c r="F31" s="17"/>
      <c r="G31" s="90" t="s">
        <v>1360</v>
      </c>
      <c r="H31" s="22"/>
      <c r="I31" s="22"/>
      <c r="J31" s="21" t="s">
        <v>68</v>
      </c>
      <c r="K31" s="13"/>
      <c r="L31" s="21" t="s">
        <v>68</v>
      </c>
      <c r="M31" s="11"/>
      <c r="N31" s="13"/>
      <c r="O31" s="13"/>
      <c r="P31" s="11"/>
      <c r="Q31" s="11"/>
      <c r="R31" s="13"/>
      <c r="S31" s="13"/>
      <c r="T31" s="11"/>
      <c r="U31" s="11"/>
      <c r="V31" s="13"/>
      <c r="W31" s="13"/>
      <c r="X31" s="11"/>
      <c r="Y31" s="11"/>
      <c r="Z31" s="13"/>
      <c r="AA31" s="13"/>
      <c r="AB31" s="11"/>
      <c r="AC31" s="11"/>
      <c r="AD31" s="13"/>
      <c r="AE31" s="13"/>
      <c r="AF31" s="11"/>
      <c r="AG31" s="11"/>
      <c r="AH31" s="13"/>
      <c r="AI31" s="13"/>
      <c r="AJ31" s="11"/>
      <c r="AK31" s="11"/>
      <c r="AL31" s="21" t="s">
        <v>68</v>
      </c>
      <c r="AM31" s="13"/>
      <c r="AN31" s="11"/>
      <c r="AO31" s="11"/>
    </row>
    <row r="32" spans="1:41" ht="14.5" x14ac:dyDescent="0.35">
      <c r="A32" s="2">
        <v>27</v>
      </c>
      <c r="B32" s="188"/>
      <c r="C32" s="7" t="s">
        <v>135</v>
      </c>
      <c r="D32" s="24" t="s">
        <v>136</v>
      </c>
      <c r="E32" s="19"/>
      <c r="F32" s="17" t="s">
        <v>137</v>
      </c>
      <c r="G32" s="17" t="s">
        <v>138</v>
      </c>
      <c r="H32" s="22"/>
      <c r="I32" s="22"/>
      <c r="J32" s="21" t="s">
        <v>68</v>
      </c>
      <c r="K32" s="13"/>
      <c r="L32" s="21" t="s">
        <v>68</v>
      </c>
      <c r="M32" s="11"/>
      <c r="N32" s="13"/>
      <c r="O32" s="13"/>
      <c r="P32" s="11"/>
      <c r="Q32" s="11"/>
      <c r="R32" s="13"/>
      <c r="S32" s="13"/>
      <c r="T32" s="11"/>
      <c r="U32" s="11"/>
      <c r="V32" s="13"/>
      <c r="W32" s="13"/>
      <c r="X32" s="11"/>
      <c r="Y32" s="11"/>
      <c r="Z32" s="13"/>
      <c r="AA32" s="13"/>
      <c r="AB32" s="11"/>
      <c r="AC32" s="11"/>
      <c r="AD32" s="13"/>
      <c r="AE32" s="13"/>
      <c r="AF32" s="11"/>
      <c r="AG32" s="11"/>
      <c r="AH32" s="13"/>
      <c r="AI32" s="13"/>
      <c r="AJ32" s="11"/>
      <c r="AK32" s="11"/>
      <c r="AL32" s="13"/>
      <c r="AM32" s="13"/>
      <c r="AN32" s="11"/>
      <c r="AO32" s="11"/>
    </row>
    <row r="33" spans="1:41" x14ac:dyDescent="0.3">
      <c r="A33" s="2">
        <v>28</v>
      </c>
      <c r="B33" s="188"/>
      <c r="C33" s="7" t="s">
        <v>139</v>
      </c>
      <c r="D33" s="19" t="s">
        <v>64</v>
      </c>
      <c r="E33" s="19">
        <v>100</v>
      </c>
      <c r="F33" s="17"/>
      <c r="G33" s="17" t="s">
        <v>140</v>
      </c>
      <c r="H33" s="22"/>
      <c r="I33" s="22"/>
      <c r="J33" s="13" t="s">
        <v>66</v>
      </c>
      <c r="K33" s="13"/>
      <c r="L33" s="11" t="s">
        <v>66</v>
      </c>
      <c r="M33" s="11"/>
      <c r="N33" s="13"/>
      <c r="O33" s="13"/>
      <c r="P33" s="11"/>
      <c r="Q33" s="11"/>
      <c r="R33" s="13"/>
      <c r="S33" s="13"/>
      <c r="T33" s="11"/>
      <c r="U33" s="11"/>
      <c r="V33" s="13"/>
      <c r="W33" s="13"/>
      <c r="X33" s="11"/>
      <c r="Y33" s="11"/>
      <c r="Z33" s="13"/>
      <c r="AA33" s="13"/>
      <c r="AB33" s="11"/>
      <c r="AC33" s="11"/>
      <c r="AD33" s="13"/>
      <c r="AE33" s="13"/>
      <c r="AF33" s="11"/>
      <c r="AG33" s="11"/>
      <c r="AH33" s="13"/>
      <c r="AI33" s="13"/>
      <c r="AJ33" s="11"/>
      <c r="AK33" s="11"/>
      <c r="AL33" s="13"/>
      <c r="AM33" s="13"/>
      <c r="AN33" s="11"/>
      <c r="AO33" s="11"/>
    </row>
    <row r="34" spans="1:41" x14ac:dyDescent="0.3">
      <c r="A34" s="2">
        <v>29</v>
      </c>
      <c r="B34" s="188"/>
      <c r="C34" s="7" t="s">
        <v>141</v>
      </c>
      <c r="D34" s="19" t="s">
        <v>64</v>
      </c>
      <c r="E34" s="19">
        <v>100</v>
      </c>
      <c r="F34" s="17" t="s">
        <v>142</v>
      </c>
      <c r="G34" s="17" t="s">
        <v>143</v>
      </c>
      <c r="H34" s="22"/>
      <c r="I34" s="22"/>
      <c r="J34" s="21" t="s">
        <v>68</v>
      </c>
      <c r="K34" s="13"/>
      <c r="L34" s="21" t="s">
        <v>68</v>
      </c>
      <c r="M34" s="11"/>
      <c r="N34" s="13"/>
      <c r="O34" s="13"/>
      <c r="P34" s="11"/>
      <c r="Q34" s="11"/>
      <c r="R34" s="13"/>
      <c r="S34" s="13"/>
      <c r="T34" s="11"/>
      <c r="U34" s="11"/>
      <c r="V34" s="13"/>
      <c r="W34" s="13"/>
      <c r="X34" s="11"/>
      <c r="Y34" s="11"/>
      <c r="Z34" s="13"/>
      <c r="AA34" s="13"/>
      <c r="AB34" s="11"/>
      <c r="AC34" s="11"/>
      <c r="AD34" s="13"/>
      <c r="AE34" s="13"/>
      <c r="AF34" s="11"/>
      <c r="AG34" s="11"/>
      <c r="AH34" s="13"/>
      <c r="AI34" s="13"/>
      <c r="AJ34" s="11"/>
      <c r="AK34" s="11"/>
      <c r="AL34" s="13"/>
      <c r="AM34" s="13"/>
      <c r="AN34" s="11"/>
      <c r="AO34" s="11"/>
    </row>
    <row r="35" spans="1:41" x14ac:dyDescent="0.3">
      <c r="A35" s="2">
        <v>30</v>
      </c>
      <c r="B35" s="188"/>
      <c r="C35" s="7" t="s">
        <v>144</v>
      </c>
      <c r="D35" s="19" t="s">
        <v>64</v>
      </c>
      <c r="E35" s="19">
        <v>50</v>
      </c>
      <c r="F35" s="17" t="s">
        <v>142</v>
      </c>
      <c r="G35" s="17" t="s">
        <v>145</v>
      </c>
      <c r="H35" s="22"/>
      <c r="I35" s="22"/>
      <c r="J35" s="13" t="s">
        <v>66</v>
      </c>
      <c r="K35" s="13"/>
      <c r="L35" s="11" t="s">
        <v>66</v>
      </c>
      <c r="M35" s="11"/>
      <c r="N35" s="13"/>
      <c r="O35" s="13"/>
      <c r="P35" s="11"/>
      <c r="Q35" s="11"/>
      <c r="R35" s="13"/>
      <c r="S35" s="13"/>
      <c r="T35" s="11"/>
      <c r="U35" s="11"/>
      <c r="V35" s="13"/>
      <c r="W35" s="13"/>
      <c r="X35" s="11"/>
      <c r="Y35" s="11"/>
      <c r="Z35" s="13"/>
      <c r="AA35" s="13"/>
      <c r="AB35" s="11"/>
      <c r="AC35" s="11"/>
      <c r="AD35" s="13"/>
      <c r="AE35" s="13"/>
      <c r="AF35" s="11"/>
      <c r="AG35" s="11"/>
      <c r="AH35" s="13"/>
      <c r="AI35" s="13"/>
      <c r="AJ35" s="11"/>
      <c r="AK35" s="11"/>
      <c r="AL35" s="13"/>
      <c r="AM35" s="13"/>
      <c r="AN35" s="11"/>
      <c r="AO35" s="11"/>
    </row>
    <row r="36" spans="1:41" x14ac:dyDescent="0.3">
      <c r="A36" s="2">
        <v>31</v>
      </c>
      <c r="B36" s="188"/>
      <c r="C36" s="7" t="s">
        <v>146</v>
      </c>
      <c r="D36" s="19" t="s">
        <v>64</v>
      </c>
      <c r="E36" s="19">
        <v>100</v>
      </c>
      <c r="F36" s="17" t="s">
        <v>142</v>
      </c>
      <c r="G36" s="17" t="s">
        <v>147</v>
      </c>
      <c r="H36" s="22"/>
      <c r="I36" s="22"/>
      <c r="J36" s="21" t="s">
        <v>68</v>
      </c>
      <c r="K36" s="13"/>
      <c r="L36" s="21" t="s">
        <v>68</v>
      </c>
      <c r="M36" s="11"/>
      <c r="N36" s="13"/>
      <c r="O36" s="13"/>
      <c r="P36" s="11"/>
      <c r="Q36" s="11"/>
      <c r="R36" s="13"/>
      <c r="S36" s="13"/>
      <c r="T36" s="11"/>
      <c r="U36" s="11"/>
      <c r="V36" s="13"/>
      <c r="W36" s="13"/>
      <c r="X36" s="11"/>
      <c r="Y36" s="11"/>
      <c r="Z36" s="13"/>
      <c r="AA36" s="13"/>
      <c r="AB36" s="11"/>
      <c r="AC36" s="11"/>
      <c r="AD36" s="13"/>
      <c r="AE36" s="13"/>
      <c r="AF36" s="11"/>
      <c r="AG36" s="11"/>
      <c r="AH36" s="13"/>
      <c r="AI36" s="13"/>
      <c r="AJ36" s="11"/>
      <c r="AK36" s="11"/>
      <c r="AL36" s="13"/>
      <c r="AM36" s="13"/>
      <c r="AN36" s="11"/>
      <c r="AO36" s="11"/>
    </row>
    <row r="37" spans="1:41" x14ac:dyDescent="0.3">
      <c r="A37" s="2">
        <v>32</v>
      </c>
      <c r="B37" s="188"/>
      <c r="C37" s="7" t="s">
        <v>148</v>
      </c>
      <c r="D37" s="19" t="s">
        <v>81</v>
      </c>
      <c r="E37" s="19"/>
      <c r="F37" s="17" t="s">
        <v>149</v>
      </c>
      <c r="G37" s="17" t="s">
        <v>150</v>
      </c>
      <c r="H37" s="22"/>
      <c r="I37" s="22"/>
      <c r="J37" s="21" t="s">
        <v>68</v>
      </c>
      <c r="K37" s="13"/>
      <c r="L37" s="21" t="s">
        <v>68</v>
      </c>
      <c r="M37" s="11"/>
      <c r="N37" s="13"/>
      <c r="O37" s="13"/>
      <c r="P37" s="11"/>
      <c r="Q37" s="11"/>
      <c r="R37" s="13"/>
      <c r="S37" s="13"/>
      <c r="T37" s="11"/>
      <c r="U37" s="11"/>
      <c r="V37" s="13"/>
      <c r="W37" s="13"/>
      <c r="X37" s="11"/>
      <c r="Y37" s="11"/>
      <c r="Z37" s="13"/>
      <c r="AA37" s="13"/>
      <c r="AB37" s="11"/>
      <c r="AC37" s="11"/>
      <c r="AD37" s="13"/>
      <c r="AE37" s="13"/>
      <c r="AF37" s="11"/>
      <c r="AG37" s="11"/>
      <c r="AH37" s="13"/>
      <c r="AI37" s="13"/>
      <c r="AJ37" s="11"/>
      <c r="AK37" s="11"/>
      <c r="AL37" s="21" t="s">
        <v>68</v>
      </c>
      <c r="AM37" s="13"/>
      <c r="AN37" s="11"/>
      <c r="AO37" s="11"/>
    </row>
    <row r="38" spans="1:41" x14ac:dyDescent="0.3">
      <c r="A38" s="2">
        <v>33</v>
      </c>
      <c r="B38" s="188"/>
      <c r="C38" s="7" t="s">
        <v>151</v>
      </c>
      <c r="D38" s="19" t="s">
        <v>89</v>
      </c>
      <c r="E38" s="19"/>
      <c r="F38" s="17" t="s">
        <v>90</v>
      </c>
      <c r="G38" s="17" t="s">
        <v>152</v>
      </c>
      <c r="H38" s="22"/>
      <c r="I38" s="22"/>
      <c r="J38" s="21" t="s">
        <v>68</v>
      </c>
      <c r="K38" s="13"/>
      <c r="L38" s="11"/>
      <c r="M38" s="11"/>
      <c r="N38" s="13"/>
      <c r="O38" s="13"/>
      <c r="P38" s="11"/>
      <c r="Q38" s="11"/>
      <c r="R38" s="13"/>
      <c r="S38" s="13"/>
      <c r="T38" s="11"/>
      <c r="U38" s="11"/>
      <c r="V38" s="13"/>
      <c r="W38" s="13"/>
      <c r="X38" s="11"/>
      <c r="Y38" s="11"/>
      <c r="Z38" s="13"/>
      <c r="AA38" s="13"/>
      <c r="AB38" s="11"/>
      <c r="AC38" s="11"/>
      <c r="AD38" s="13"/>
      <c r="AE38" s="13"/>
      <c r="AF38" s="11"/>
      <c r="AG38" s="11"/>
      <c r="AH38" s="13"/>
      <c r="AI38" s="13"/>
      <c r="AJ38" s="11"/>
      <c r="AK38" s="11"/>
      <c r="AL38" s="13"/>
      <c r="AM38" s="13"/>
      <c r="AN38" s="11"/>
      <c r="AO38" s="11"/>
    </row>
    <row r="39" spans="1:41" x14ac:dyDescent="0.3">
      <c r="A39" s="2">
        <v>34</v>
      </c>
      <c r="B39" s="188"/>
      <c r="C39" s="14" t="s">
        <v>153</v>
      </c>
      <c r="D39" s="19" t="s">
        <v>64</v>
      </c>
      <c r="E39" s="19">
        <v>100</v>
      </c>
      <c r="F39" s="17"/>
      <c r="G39" s="17" t="s">
        <v>154</v>
      </c>
      <c r="H39" s="22"/>
      <c r="I39" s="22"/>
      <c r="J39" s="13" t="s">
        <v>66</v>
      </c>
      <c r="K39" s="13"/>
      <c r="L39" s="11"/>
      <c r="M39" s="11"/>
      <c r="N39" s="13"/>
      <c r="O39" s="13"/>
      <c r="P39" s="11"/>
      <c r="Q39" s="11"/>
      <c r="R39" s="13"/>
      <c r="S39" s="13"/>
      <c r="T39" s="11"/>
      <c r="U39" s="11"/>
      <c r="V39" s="13"/>
      <c r="W39" s="13"/>
      <c r="X39" s="11"/>
      <c r="Y39" s="11"/>
      <c r="Z39" s="13"/>
      <c r="AA39" s="13"/>
      <c r="AB39" s="11"/>
      <c r="AC39" s="11"/>
      <c r="AD39" s="13"/>
      <c r="AE39" s="13"/>
      <c r="AF39" s="11"/>
      <c r="AG39" s="11"/>
      <c r="AH39" s="13"/>
      <c r="AI39" s="13"/>
      <c r="AJ39" s="11"/>
      <c r="AK39" s="11"/>
      <c r="AL39" s="21" t="s">
        <v>68</v>
      </c>
      <c r="AM39" s="13"/>
      <c r="AN39" s="11"/>
      <c r="AO39" s="11"/>
    </row>
    <row r="40" spans="1:41" x14ac:dyDescent="0.3">
      <c r="A40" s="2">
        <v>35</v>
      </c>
      <c r="B40" s="188"/>
      <c r="C40" s="14" t="s">
        <v>155</v>
      </c>
      <c r="D40" s="19" t="s">
        <v>64</v>
      </c>
      <c r="E40" s="19">
        <v>100</v>
      </c>
      <c r="F40" s="17"/>
      <c r="G40" s="17" t="s">
        <v>156</v>
      </c>
      <c r="H40" s="22"/>
      <c r="I40" s="22"/>
      <c r="J40" s="13" t="s">
        <v>66</v>
      </c>
      <c r="K40" s="13"/>
      <c r="L40" s="11"/>
      <c r="M40" s="11"/>
      <c r="N40" s="13"/>
      <c r="O40" s="13"/>
      <c r="P40" s="11"/>
      <c r="Q40" s="11"/>
      <c r="R40" s="13"/>
      <c r="S40" s="13"/>
      <c r="T40" s="11"/>
      <c r="U40" s="11"/>
      <c r="V40" s="13"/>
      <c r="W40" s="13"/>
      <c r="X40" s="11"/>
      <c r="Y40" s="11"/>
      <c r="Z40" s="13"/>
      <c r="AA40" s="13"/>
      <c r="AB40" s="11"/>
      <c r="AC40" s="11"/>
      <c r="AD40" s="13"/>
      <c r="AE40" s="13"/>
      <c r="AF40" s="11"/>
      <c r="AG40" s="11"/>
      <c r="AH40" s="13"/>
      <c r="AI40" s="13"/>
      <c r="AJ40" s="11"/>
      <c r="AK40" s="11"/>
      <c r="AL40" s="21" t="s">
        <v>68</v>
      </c>
      <c r="AM40" s="13"/>
      <c r="AN40" s="11"/>
      <c r="AO40" s="11"/>
    </row>
    <row r="41" spans="1:41" x14ac:dyDescent="0.3">
      <c r="A41" s="2">
        <v>36</v>
      </c>
      <c r="B41" s="188"/>
      <c r="C41" s="14" t="s">
        <v>157</v>
      </c>
      <c r="D41" s="19" t="s">
        <v>89</v>
      </c>
      <c r="E41" s="19"/>
      <c r="F41" s="17" t="s">
        <v>90</v>
      </c>
      <c r="G41" s="17" t="s">
        <v>158</v>
      </c>
      <c r="H41" s="22"/>
      <c r="I41" s="22"/>
      <c r="J41" s="13" t="s">
        <v>66</v>
      </c>
      <c r="K41" s="13"/>
      <c r="L41" s="11"/>
      <c r="M41" s="11"/>
      <c r="N41" s="13"/>
      <c r="O41" s="13"/>
      <c r="P41" s="11"/>
      <c r="Q41" s="11"/>
      <c r="R41" s="13"/>
      <c r="S41" s="13"/>
      <c r="T41" s="11"/>
      <c r="U41" s="11"/>
      <c r="V41" s="13"/>
      <c r="W41" s="13"/>
      <c r="X41" s="11"/>
      <c r="Y41" s="11"/>
      <c r="Z41" s="13"/>
      <c r="AA41" s="13"/>
      <c r="AB41" s="11"/>
      <c r="AC41" s="11"/>
      <c r="AD41" s="13"/>
      <c r="AE41" s="13"/>
      <c r="AF41" s="11"/>
      <c r="AG41" s="11"/>
      <c r="AH41" s="13"/>
      <c r="AI41" s="13"/>
      <c r="AJ41" s="11"/>
      <c r="AK41" s="11"/>
      <c r="AL41" s="21" t="s">
        <v>68</v>
      </c>
      <c r="AM41" s="13"/>
      <c r="AN41" s="11"/>
      <c r="AO41" s="11"/>
    </row>
    <row r="42" spans="1:41" ht="43.5" x14ac:dyDescent="0.35">
      <c r="A42" s="2">
        <v>37</v>
      </c>
      <c r="B42" s="188"/>
      <c r="C42" s="7" t="s">
        <v>159</v>
      </c>
      <c r="D42" s="24" t="s">
        <v>160</v>
      </c>
      <c r="E42" s="19"/>
      <c r="F42" s="17" t="s">
        <v>161</v>
      </c>
      <c r="G42" s="17" t="s">
        <v>162</v>
      </c>
      <c r="H42" s="22"/>
      <c r="I42" s="22"/>
      <c r="J42" s="21" t="s">
        <v>68</v>
      </c>
      <c r="K42" s="13"/>
      <c r="L42" s="21" t="s">
        <v>68</v>
      </c>
      <c r="M42" s="11"/>
      <c r="N42" s="13"/>
      <c r="O42" s="13"/>
      <c r="P42" s="11"/>
      <c r="Q42" s="11"/>
      <c r="R42" s="13"/>
      <c r="S42" s="13"/>
      <c r="T42" s="11"/>
      <c r="U42" s="11"/>
      <c r="V42" s="13"/>
      <c r="W42" s="13"/>
      <c r="X42" s="11"/>
      <c r="Y42" s="11"/>
      <c r="Z42" s="13"/>
      <c r="AA42" s="13"/>
      <c r="AB42" s="11"/>
      <c r="AC42" s="11"/>
      <c r="AD42" s="13"/>
      <c r="AE42" s="13"/>
      <c r="AF42" s="11"/>
      <c r="AG42" s="11"/>
      <c r="AH42" s="13"/>
      <c r="AI42" s="13"/>
      <c r="AJ42" s="11"/>
      <c r="AK42" s="11"/>
      <c r="AL42" s="21" t="s">
        <v>68</v>
      </c>
      <c r="AM42" s="13"/>
      <c r="AN42" s="11"/>
      <c r="AO42" s="11"/>
    </row>
    <row r="43" spans="1:41" x14ac:dyDescent="0.3">
      <c r="A43" s="2">
        <v>38</v>
      </c>
      <c r="B43" s="188"/>
      <c r="C43" s="7" t="s">
        <v>163</v>
      </c>
      <c r="D43" s="19" t="s">
        <v>64</v>
      </c>
      <c r="E43" s="19">
        <v>15</v>
      </c>
      <c r="F43" s="17" t="s">
        <v>164</v>
      </c>
      <c r="G43" s="17" t="s">
        <v>165</v>
      </c>
      <c r="H43" s="22"/>
      <c r="I43" s="22"/>
      <c r="J43" s="21" t="s">
        <v>68</v>
      </c>
      <c r="K43" s="13"/>
      <c r="L43" s="21" t="s">
        <v>68</v>
      </c>
      <c r="M43" s="11"/>
      <c r="N43" s="13"/>
      <c r="O43" s="13"/>
      <c r="P43" s="11"/>
      <c r="Q43" s="11"/>
      <c r="R43" s="13"/>
      <c r="S43" s="13"/>
      <c r="T43" s="11"/>
      <c r="U43" s="11"/>
      <c r="V43" s="13"/>
      <c r="W43" s="13"/>
      <c r="X43" s="11"/>
      <c r="Y43" s="11"/>
      <c r="Z43" s="13"/>
      <c r="AA43" s="13"/>
      <c r="AB43" s="11"/>
      <c r="AC43" s="11"/>
      <c r="AD43" s="13"/>
      <c r="AE43" s="13"/>
      <c r="AF43" s="11"/>
      <c r="AG43" s="11"/>
      <c r="AH43" s="13"/>
      <c r="AI43" s="13"/>
      <c r="AJ43" s="11"/>
      <c r="AK43" s="11"/>
      <c r="AL43" s="21" t="s">
        <v>68</v>
      </c>
      <c r="AM43" s="13"/>
      <c r="AN43" s="11"/>
      <c r="AO43" s="11"/>
    </row>
    <row r="44" spans="1:41" ht="39" x14ac:dyDescent="0.3">
      <c r="A44" s="2">
        <v>39</v>
      </c>
      <c r="B44" s="188"/>
      <c r="C44" s="71" t="s">
        <v>166</v>
      </c>
      <c r="D44" s="72" t="s">
        <v>167</v>
      </c>
      <c r="E44" s="72">
        <v>200</v>
      </c>
      <c r="F44" s="73" t="s">
        <v>168</v>
      </c>
      <c r="G44" s="17" t="s">
        <v>169</v>
      </c>
      <c r="H44" s="22"/>
      <c r="I44" s="22"/>
      <c r="J44" s="21" t="s">
        <v>68</v>
      </c>
      <c r="K44" s="13"/>
      <c r="L44" s="21" t="s">
        <v>68</v>
      </c>
      <c r="M44" s="11"/>
      <c r="N44" s="13"/>
      <c r="O44" s="13"/>
      <c r="P44" s="11"/>
      <c r="Q44" s="11"/>
      <c r="R44" s="13"/>
      <c r="S44" s="13"/>
      <c r="T44" s="11"/>
      <c r="U44" s="11"/>
      <c r="V44" s="13"/>
      <c r="W44" s="13"/>
      <c r="X44" s="11"/>
      <c r="Y44" s="11"/>
      <c r="Z44" s="13"/>
      <c r="AA44" s="13"/>
      <c r="AB44" s="11"/>
      <c r="AC44" s="11"/>
      <c r="AD44" s="13"/>
      <c r="AE44" s="13"/>
      <c r="AF44" s="11"/>
      <c r="AG44" s="11"/>
      <c r="AH44" s="13"/>
      <c r="AI44" s="13"/>
      <c r="AJ44" s="11"/>
      <c r="AK44" s="11"/>
      <c r="AL44" s="21" t="s">
        <v>68</v>
      </c>
      <c r="AM44" s="13"/>
      <c r="AN44" s="11"/>
      <c r="AO44" s="11"/>
    </row>
    <row r="45" spans="1:41" ht="43.5" x14ac:dyDescent="0.35">
      <c r="A45" s="2">
        <v>40</v>
      </c>
      <c r="B45" s="188"/>
      <c r="C45" s="7" t="s">
        <v>170</v>
      </c>
      <c r="D45" s="24" t="s">
        <v>160</v>
      </c>
      <c r="E45" s="19"/>
      <c r="F45" s="17" t="s">
        <v>161</v>
      </c>
      <c r="G45" s="17" t="s">
        <v>171</v>
      </c>
      <c r="H45" s="22"/>
      <c r="I45" s="22"/>
      <c r="J45" s="21" t="s">
        <v>68</v>
      </c>
      <c r="K45" s="13"/>
      <c r="L45" s="11"/>
      <c r="M45" s="11"/>
      <c r="N45" s="13"/>
      <c r="O45" s="13"/>
      <c r="P45" s="11"/>
      <c r="Q45" s="11"/>
      <c r="R45" s="13"/>
      <c r="S45" s="13"/>
      <c r="T45" s="11"/>
      <c r="U45" s="11"/>
      <c r="V45" s="13"/>
      <c r="W45" s="13"/>
      <c r="X45" s="11"/>
      <c r="Y45" s="11"/>
      <c r="Z45" s="13"/>
      <c r="AA45" s="13"/>
      <c r="AB45" s="11"/>
      <c r="AC45" s="11"/>
      <c r="AD45" s="13"/>
      <c r="AE45" s="13"/>
      <c r="AF45" s="11"/>
      <c r="AG45" s="11"/>
      <c r="AH45" s="13"/>
      <c r="AI45" s="13"/>
      <c r="AJ45" s="11"/>
      <c r="AK45" s="11"/>
      <c r="AL45" s="21" t="s">
        <v>68</v>
      </c>
      <c r="AM45" s="13"/>
      <c r="AN45" s="11"/>
      <c r="AO45" s="11"/>
    </row>
    <row r="46" spans="1:41" x14ac:dyDescent="0.3">
      <c r="A46" s="2">
        <v>41</v>
      </c>
      <c r="B46" s="188"/>
      <c r="C46" s="7" t="s">
        <v>172</v>
      </c>
      <c r="D46" s="19" t="s">
        <v>64</v>
      </c>
      <c r="E46" s="19">
        <v>15</v>
      </c>
      <c r="F46" s="17" t="s">
        <v>164</v>
      </c>
      <c r="G46" s="17" t="s">
        <v>173</v>
      </c>
      <c r="H46" s="22"/>
      <c r="I46" s="22"/>
      <c r="J46" s="13" t="s">
        <v>66</v>
      </c>
      <c r="K46" s="13"/>
      <c r="L46" s="11"/>
      <c r="M46" s="11"/>
      <c r="N46" s="13"/>
      <c r="O46" s="13"/>
      <c r="P46" s="11"/>
      <c r="Q46" s="11"/>
      <c r="R46" s="13"/>
      <c r="S46" s="13"/>
      <c r="T46" s="11"/>
      <c r="U46" s="11"/>
      <c r="V46" s="13"/>
      <c r="W46" s="13"/>
      <c r="X46" s="11"/>
      <c r="Y46" s="11"/>
      <c r="Z46" s="13"/>
      <c r="AA46" s="13"/>
      <c r="AB46" s="11"/>
      <c r="AC46" s="11"/>
      <c r="AD46" s="13"/>
      <c r="AE46" s="13"/>
      <c r="AF46" s="11"/>
      <c r="AG46" s="11"/>
      <c r="AH46" s="13"/>
      <c r="AI46" s="13"/>
      <c r="AJ46" s="11"/>
      <c r="AK46" s="11"/>
      <c r="AL46" s="13" t="s">
        <v>66</v>
      </c>
      <c r="AM46" s="13"/>
      <c r="AN46" s="11"/>
      <c r="AO46" s="11"/>
    </row>
    <row r="47" spans="1:41" ht="29" x14ac:dyDescent="0.35">
      <c r="A47" s="2">
        <v>42</v>
      </c>
      <c r="B47" s="188"/>
      <c r="C47" s="14" t="s">
        <v>174</v>
      </c>
      <c r="D47" s="24" t="s">
        <v>175</v>
      </c>
      <c r="E47" s="19"/>
      <c r="F47" s="19"/>
      <c r="G47" s="17" t="s">
        <v>176</v>
      </c>
      <c r="H47" s="22"/>
      <c r="I47" s="22"/>
      <c r="J47" s="13"/>
      <c r="K47" s="13"/>
      <c r="L47" s="11"/>
      <c r="M47" s="11"/>
      <c r="N47" s="13"/>
      <c r="O47" s="13"/>
      <c r="P47" s="11"/>
      <c r="Q47" s="11"/>
      <c r="R47" s="13"/>
      <c r="S47" s="13"/>
      <c r="T47" s="11"/>
      <c r="U47" s="11"/>
      <c r="V47" s="13"/>
      <c r="W47" s="13"/>
      <c r="X47" s="11"/>
      <c r="Y47" s="11"/>
      <c r="Z47" s="13"/>
      <c r="AA47" s="13"/>
      <c r="AB47" s="11"/>
      <c r="AC47" s="11"/>
      <c r="AD47" s="13"/>
      <c r="AE47" s="13"/>
      <c r="AF47" s="11"/>
      <c r="AG47" s="11"/>
      <c r="AH47" s="13"/>
      <c r="AI47" s="13"/>
      <c r="AJ47" s="11"/>
      <c r="AK47" s="11"/>
      <c r="AL47" s="13"/>
      <c r="AM47" s="13"/>
      <c r="AN47" s="11"/>
      <c r="AO47" s="11"/>
    </row>
    <row r="48" spans="1:41" ht="26" x14ac:dyDescent="0.3">
      <c r="A48" s="2">
        <v>43</v>
      </c>
      <c r="B48" s="188"/>
      <c r="C48" s="14" t="s">
        <v>177</v>
      </c>
      <c r="D48" s="19" t="s">
        <v>64</v>
      </c>
      <c r="E48" s="19">
        <v>200</v>
      </c>
      <c r="F48" s="17"/>
      <c r="G48" s="17" t="s">
        <v>178</v>
      </c>
      <c r="H48" s="22"/>
      <c r="I48" s="22"/>
      <c r="J48" s="13"/>
      <c r="K48" s="13"/>
      <c r="L48" s="11"/>
      <c r="M48" s="11"/>
      <c r="N48" s="13"/>
      <c r="O48" s="13"/>
      <c r="P48" s="11"/>
      <c r="Q48" s="11"/>
      <c r="R48" s="13"/>
      <c r="S48" s="13"/>
      <c r="T48" s="11"/>
      <c r="U48" s="11"/>
      <c r="V48" s="13"/>
      <c r="W48" s="13"/>
      <c r="X48" s="11"/>
      <c r="Y48" s="11"/>
      <c r="Z48" s="13"/>
      <c r="AA48" s="13"/>
      <c r="AB48" s="11"/>
      <c r="AC48" s="11"/>
      <c r="AD48" s="13"/>
      <c r="AE48" s="13"/>
      <c r="AF48" s="11"/>
      <c r="AG48" s="11"/>
      <c r="AH48" s="13"/>
      <c r="AI48" s="13"/>
      <c r="AJ48" s="11"/>
      <c r="AK48" s="11"/>
      <c r="AL48" s="13"/>
      <c r="AM48" s="13"/>
      <c r="AN48" s="11"/>
      <c r="AO48" s="11"/>
    </row>
    <row r="49" spans="1:41" x14ac:dyDescent="0.3">
      <c r="A49" s="2">
        <v>44</v>
      </c>
      <c r="B49" s="188"/>
      <c r="C49" s="14" t="s">
        <v>179</v>
      </c>
      <c r="D49" s="19" t="s">
        <v>134</v>
      </c>
      <c r="E49" s="19"/>
      <c r="F49" s="17"/>
      <c r="G49" s="17" t="s">
        <v>180</v>
      </c>
      <c r="H49" s="22"/>
      <c r="I49" s="22"/>
      <c r="J49" s="13"/>
      <c r="K49" s="13"/>
      <c r="L49" s="11"/>
      <c r="M49" s="11"/>
      <c r="N49" s="13"/>
      <c r="O49" s="13"/>
      <c r="P49" s="11"/>
      <c r="Q49" s="11"/>
      <c r="R49" s="13"/>
      <c r="S49" s="13"/>
      <c r="T49" s="11"/>
      <c r="U49" s="11"/>
      <c r="V49" s="13"/>
      <c r="W49" s="13"/>
      <c r="X49" s="11"/>
      <c r="Y49" s="11"/>
      <c r="Z49" s="13"/>
      <c r="AA49" s="13"/>
      <c r="AB49" s="11"/>
      <c r="AC49" s="11"/>
      <c r="AD49" s="13"/>
      <c r="AE49" s="13"/>
      <c r="AF49" s="11"/>
      <c r="AG49" s="11"/>
      <c r="AH49" s="13"/>
      <c r="AI49" s="13"/>
      <c r="AJ49" s="11"/>
      <c r="AK49" s="11"/>
      <c r="AL49" s="13"/>
      <c r="AM49" s="13"/>
      <c r="AN49" s="11"/>
      <c r="AO49" s="11"/>
    </row>
    <row r="50" spans="1:41" ht="29" x14ac:dyDescent="0.35">
      <c r="A50" s="2">
        <v>45</v>
      </c>
      <c r="B50" s="188"/>
      <c r="C50" s="7" t="s">
        <v>181</v>
      </c>
      <c r="D50" s="24" t="s">
        <v>182</v>
      </c>
      <c r="E50" s="19"/>
      <c r="F50" s="17" t="s">
        <v>183</v>
      </c>
      <c r="G50" s="17" t="s">
        <v>184</v>
      </c>
      <c r="H50" s="22"/>
      <c r="I50" s="22"/>
      <c r="J50" s="21" t="s">
        <v>68</v>
      </c>
      <c r="K50" s="13"/>
      <c r="L50" s="11"/>
      <c r="M50" s="11"/>
      <c r="N50" s="13"/>
      <c r="O50" s="13"/>
      <c r="P50" s="11"/>
      <c r="Q50" s="11"/>
      <c r="R50" s="13"/>
      <c r="S50" s="13"/>
      <c r="T50" s="11"/>
      <c r="U50" s="11"/>
      <c r="V50" s="13"/>
      <c r="W50" s="13"/>
      <c r="X50" s="11"/>
      <c r="Y50" s="11"/>
      <c r="Z50" s="13"/>
      <c r="AA50" s="13"/>
      <c r="AB50" s="11"/>
      <c r="AC50" s="11"/>
      <c r="AD50" s="13"/>
      <c r="AE50" s="13"/>
      <c r="AF50" s="11"/>
      <c r="AG50" s="11"/>
      <c r="AH50" s="13"/>
      <c r="AI50" s="13"/>
      <c r="AJ50" s="11"/>
      <c r="AK50" s="11"/>
      <c r="AL50" s="13"/>
      <c r="AM50" s="13"/>
      <c r="AN50" s="11"/>
      <c r="AO50" s="11"/>
    </row>
    <row r="51" spans="1:41" x14ac:dyDescent="0.3">
      <c r="A51" s="2">
        <v>46</v>
      </c>
      <c r="B51" s="188"/>
      <c r="C51" s="7" t="s">
        <v>185</v>
      </c>
      <c r="D51" s="19" t="s">
        <v>64</v>
      </c>
      <c r="E51" s="19">
        <v>100</v>
      </c>
      <c r="F51" s="17" t="s">
        <v>186</v>
      </c>
      <c r="G51" s="17" t="s">
        <v>187</v>
      </c>
      <c r="H51" s="22"/>
      <c r="I51" s="22"/>
      <c r="J51" s="13" t="s">
        <v>66</v>
      </c>
      <c r="K51" s="13"/>
      <c r="L51" s="11"/>
      <c r="M51" s="11"/>
      <c r="N51" s="13"/>
      <c r="O51" s="13"/>
      <c r="P51" s="11"/>
      <c r="Q51" s="11"/>
      <c r="R51" s="13"/>
      <c r="S51" s="13"/>
      <c r="T51" s="11"/>
      <c r="U51" s="11"/>
      <c r="V51" s="13"/>
      <c r="W51" s="13"/>
      <c r="X51" s="11"/>
      <c r="Y51" s="11"/>
      <c r="Z51" s="13"/>
      <c r="AA51" s="13"/>
      <c r="AB51" s="11"/>
      <c r="AC51" s="11"/>
      <c r="AD51" s="13"/>
      <c r="AE51" s="13"/>
      <c r="AF51" s="11"/>
      <c r="AG51" s="11"/>
      <c r="AH51" s="13"/>
      <c r="AI51" s="13"/>
      <c r="AJ51" s="11"/>
      <c r="AK51" s="11"/>
      <c r="AL51" s="13"/>
      <c r="AM51" s="13"/>
      <c r="AN51" s="11"/>
      <c r="AO51" s="11"/>
    </row>
    <row r="52" spans="1:41" ht="29" x14ac:dyDescent="0.35">
      <c r="A52" s="2">
        <v>47</v>
      </c>
      <c r="B52" s="188"/>
      <c r="C52" s="7" t="s">
        <v>188</v>
      </c>
      <c r="D52" s="24" t="s">
        <v>189</v>
      </c>
      <c r="E52" s="19"/>
      <c r="F52" s="17" t="s">
        <v>131</v>
      </c>
      <c r="G52" s="17" t="s">
        <v>190</v>
      </c>
      <c r="H52" s="22"/>
      <c r="I52" s="22"/>
      <c r="J52" s="21" t="s">
        <v>68</v>
      </c>
      <c r="K52" s="13"/>
      <c r="L52" s="11"/>
      <c r="M52" s="11"/>
      <c r="N52" s="13"/>
      <c r="O52" s="13"/>
      <c r="P52" s="11"/>
      <c r="Q52" s="11"/>
      <c r="R52" s="13"/>
      <c r="S52" s="13"/>
      <c r="T52" s="11"/>
      <c r="U52" s="11"/>
      <c r="V52" s="13"/>
      <c r="W52" s="13"/>
      <c r="X52" s="11"/>
      <c r="Y52" s="11"/>
      <c r="Z52" s="13"/>
      <c r="AA52" s="13"/>
      <c r="AB52" s="11"/>
      <c r="AC52" s="11"/>
      <c r="AD52" s="13"/>
      <c r="AE52" s="13"/>
      <c r="AF52" s="11"/>
      <c r="AG52" s="11"/>
      <c r="AH52" s="13"/>
      <c r="AI52" s="13"/>
      <c r="AJ52" s="11"/>
      <c r="AK52" s="11"/>
      <c r="AL52" s="13"/>
      <c r="AM52" s="13"/>
      <c r="AN52" s="11"/>
      <c r="AO52" s="11"/>
    </row>
    <row r="53" spans="1:41" x14ac:dyDescent="0.3">
      <c r="A53" s="2">
        <v>48</v>
      </c>
      <c r="B53" s="188"/>
      <c r="C53" s="7" t="s">
        <v>191</v>
      </c>
      <c r="D53" s="19" t="s">
        <v>64</v>
      </c>
      <c r="E53" s="17">
        <v>65535</v>
      </c>
      <c r="F53" s="17"/>
      <c r="G53" s="17" t="s">
        <v>192</v>
      </c>
      <c r="H53" s="22"/>
      <c r="I53" s="22"/>
      <c r="J53" s="13" t="s">
        <v>66</v>
      </c>
      <c r="K53" s="13"/>
      <c r="L53" s="11"/>
      <c r="M53" s="11"/>
      <c r="N53" s="13"/>
      <c r="O53" s="13"/>
      <c r="P53" s="11"/>
      <c r="Q53" s="11"/>
      <c r="R53" s="13"/>
      <c r="S53" s="13"/>
      <c r="T53" s="11"/>
      <c r="U53" s="11"/>
      <c r="V53" s="13"/>
      <c r="W53" s="13"/>
      <c r="X53" s="11"/>
      <c r="Y53" s="11"/>
      <c r="Z53" s="13"/>
      <c r="AA53" s="13"/>
      <c r="AB53" s="11"/>
      <c r="AC53" s="11"/>
      <c r="AD53" s="13"/>
      <c r="AE53" s="13"/>
      <c r="AF53" s="11"/>
      <c r="AG53" s="11"/>
      <c r="AH53" s="13"/>
      <c r="AI53" s="13"/>
      <c r="AJ53" s="11"/>
      <c r="AK53" s="11"/>
      <c r="AL53" s="13" t="s">
        <v>66</v>
      </c>
      <c r="AM53" s="13"/>
      <c r="AN53" s="11"/>
      <c r="AO53" s="11"/>
    </row>
    <row r="54" spans="1:41" x14ac:dyDescent="0.3">
      <c r="A54" s="2">
        <v>49</v>
      </c>
      <c r="B54" s="188"/>
      <c r="C54" s="7" t="s">
        <v>193</v>
      </c>
      <c r="D54" s="19" t="s">
        <v>134</v>
      </c>
      <c r="E54" s="19"/>
      <c r="F54" s="17"/>
      <c r="G54" s="17" t="s">
        <v>194</v>
      </c>
      <c r="H54" s="22"/>
      <c r="I54" s="22"/>
      <c r="J54" s="21" t="s">
        <v>68</v>
      </c>
      <c r="K54" s="13"/>
      <c r="L54" s="11"/>
      <c r="M54" s="11"/>
      <c r="N54" s="13"/>
      <c r="O54" s="13"/>
      <c r="P54" s="11"/>
      <c r="Q54" s="11"/>
      <c r="R54" s="13"/>
      <c r="S54" s="13"/>
      <c r="T54" s="11"/>
      <c r="U54" s="11"/>
      <c r="V54" s="13"/>
      <c r="W54" s="13"/>
      <c r="X54" s="11"/>
      <c r="Y54" s="11"/>
      <c r="Z54" s="13"/>
      <c r="AA54" s="13"/>
      <c r="AB54" s="11"/>
      <c r="AC54" s="11"/>
      <c r="AD54" s="13"/>
      <c r="AE54" s="13"/>
      <c r="AF54" s="11"/>
      <c r="AG54" s="11"/>
      <c r="AH54" s="13"/>
      <c r="AI54" s="13"/>
      <c r="AJ54" s="11"/>
      <c r="AK54" s="11"/>
      <c r="AL54" s="13"/>
      <c r="AM54" s="13"/>
      <c r="AN54" s="11"/>
      <c r="AO54" s="11"/>
    </row>
    <row r="55" spans="1:41" x14ac:dyDescent="0.3">
      <c r="A55" s="2">
        <v>50</v>
      </c>
      <c r="B55" s="188" t="s">
        <v>195</v>
      </c>
      <c r="C55" s="8" t="s">
        <v>141</v>
      </c>
      <c r="D55" s="20" t="s">
        <v>64</v>
      </c>
      <c r="E55" s="20">
        <v>100</v>
      </c>
      <c r="F55" s="57" t="s">
        <v>142</v>
      </c>
      <c r="G55" s="57" t="s">
        <v>143</v>
      </c>
      <c r="H55" s="22"/>
      <c r="I55" s="22"/>
      <c r="J55" s="13" t="s">
        <v>66</v>
      </c>
      <c r="K55" s="13"/>
      <c r="L55" s="11"/>
      <c r="M55" s="11"/>
      <c r="N55" s="13"/>
      <c r="O55" s="13"/>
      <c r="P55" s="11"/>
      <c r="Q55" s="11"/>
      <c r="R55" s="13"/>
      <c r="S55" s="13"/>
      <c r="T55" s="11"/>
      <c r="U55" s="11"/>
      <c r="V55" s="13"/>
      <c r="W55" s="13"/>
      <c r="X55" s="11"/>
      <c r="Y55" s="11"/>
      <c r="Z55" s="13"/>
      <c r="AA55" s="13"/>
      <c r="AB55" s="11"/>
      <c r="AC55" s="11"/>
      <c r="AD55" s="13"/>
      <c r="AE55" s="13"/>
      <c r="AF55" s="11"/>
      <c r="AG55" s="11"/>
      <c r="AH55" s="13"/>
      <c r="AI55" s="13"/>
      <c r="AJ55" s="11"/>
      <c r="AK55" s="11"/>
      <c r="AL55" s="13"/>
      <c r="AM55" s="13"/>
      <c r="AN55" s="11"/>
      <c r="AO55" s="11"/>
    </row>
    <row r="56" spans="1:41" x14ac:dyDescent="0.3">
      <c r="A56" s="2">
        <v>51</v>
      </c>
      <c r="B56" s="188"/>
      <c r="C56" s="8" t="s">
        <v>144</v>
      </c>
      <c r="D56" s="20" t="s">
        <v>64</v>
      </c>
      <c r="E56" s="20">
        <v>50</v>
      </c>
      <c r="F56" s="57" t="s">
        <v>142</v>
      </c>
      <c r="G56" s="57" t="s">
        <v>145</v>
      </c>
      <c r="H56" s="22"/>
      <c r="I56" s="22"/>
      <c r="J56" s="13" t="s">
        <v>66</v>
      </c>
      <c r="K56" s="13"/>
      <c r="L56" s="11"/>
      <c r="M56" s="11"/>
      <c r="N56" s="13"/>
      <c r="O56" s="13"/>
      <c r="P56" s="11"/>
      <c r="Q56" s="11"/>
      <c r="R56" s="13"/>
      <c r="S56" s="13"/>
      <c r="T56" s="11"/>
      <c r="U56" s="11"/>
      <c r="V56" s="13"/>
      <c r="W56" s="13"/>
      <c r="X56" s="11"/>
      <c r="Y56" s="11"/>
      <c r="Z56" s="13"/>
      <c r="AA56" s="13"/>
      <c r="AB56" s="11"/>
      <c r="AC56" s="11"/>
      <c r="AD56" s="13"/>
      <c r="AE56" s="13"/>
      <c r="AF56" s="11"/>
      <c r="AG56" s="11"/>
      <c r="AH56" s="13"/>
      <c r="AI56" s="13"/>
      <c r="AJ56" s="11"/>
      <c r="AK56" s="11"/>
      <c r="AL56" s="13"/>
      <c r="AM56" s="13"/>
      <c r="AN56" s="11"/>
      <c r="AO56" s="11"/>
    </row>
    <row r="57" spans="1:41" x14ac:dyDescent="0.3">
      <c r="A57" s="2">
        <v>52</v>
      </c>
      <c r="B57" s="188"/>
      <c r="C57" s="8" t="s">
        <v>196</v>
      </c>
      <c r="D57" s="20" t="s">
        <v>64</v>
      </c>
      <c r="E57" s="20">
        <v>100</v>
      </c>
      <c r="F57" s="57" t="s">
        <v>142</v>
      </c>
      <c r="G57" s="57" t="s">
        <v>147</v>
      </c>
      <c r="H57" s="22"/>
      <c r="I57" s="22"/>
      <c r="J57" s="13" t="s">
        <v>66</v>
      </c>
      <c r="K57" s="13"/>
      <c r="L57" s="11"/>
      <c r="M57" s="11"/>
      <c r="N57" s="13"/>
      <c r="O57" s="13"/>
      <c r="P57" s="11"/>
      <c r="Q57" s="11"/>
      <c r="R57" s="13"/>
      <c r="S57" s="13"/>
      <c r="T57" s="11"/>
      <c r="U57" s="11"/>
      <c r="V57" s="13"/>
      <c r="W57" s="13"/>
      <c r="X57" s="11"/>
      <c r="Y57" s="11"/>
      <c r="Z57" s="13"/>
      <c r="AA57" s="13"/>
      <c r="AB57" s="11"/>
      <c r="AC57" s="11"/>
      <c r="AD57" s="13"/>
      <c r="AE57" s="13"/>
      <c r="AF57" s="11"/>
      <c r="AG57" s="11"/>
      <c r="AH57" s="13"/>
      <c r="AI57" s="13"/>
      <c r="AJ57" s="11"/>
      <c r="AK57" s="11"/>
      <c r="AL57" s="13"/>
      <c r="AM57" s="13"/>
      <c r="AN57" s="11"/>
      <c r="AO57" s="11"/>
    </row>
    <row r="58" spans="1:41" x14ac:dyDescent="0.3">
      <c r="A58" s="2">
        <v>53</v>
      </c>
      <c r="B58" s="188"/>
      <c r="C58" s="8" t="s">
        <v>197</v>
      </c>
      <c r="D58" s="20" t="s">
        <v>89</v>
      </c>
      <c r="E58" s="20"/>
      <c r="F58" s="57" t="s">
        <v>90</v>
      </c>
      <c r="G58" s="57" t="s">
        <v>198</v>
      </c>
      <c r="H58" s="22"/>
      <c r="I58" s="22"/>
      <c r="J58" s="13" t="s">
        <v>66</v>
      </c>
      <c r="K58" s="13"/>
      <c r="L58" s="11"/>
      <c r="M58" s="11"/>
      <c r="N58" s="13"/>
      <c r="O58" s="13"/>
      <c r="P58" s="11"/>
      <c r="Q58" s="11"/>
      <c r="R58" s="13"/>
      <c r="S58" s="13"/>
      <c r="T58" s="11"/>
      <c r="U58" s="11"/>
      <c r="V58" s="13"/>
      <c r="W58" s="13"/>
      <c r="X58" s="11"/>
      <c r="Y58" s="11"/>
      <c r="Z58" s="13"/>
      <c r="AA58" s="13"/>
      <c r="AB58" s="11"/>
      <c r="AC58" s="11"/>
      <c r="AD58" s="13"/>
      <c r="AE58" s="13"/>
      <c r="AF58" s="11"/>
      <c r="AG58" s="11"/>
      <c r="AH58" s="13"/>
      <c r="AI58" s="13"/>
      <c r="AJ58" s="11"/>
      <c r="AK58" s="11"/>
      <c r="AL58" s="13"/>
      <c r="AM58" s="13"/>
      <c r="AN58" s="11"/>
      <c r="AO58" s="11"/>
    </row>
    <row r="59" spans="1:41" x14ac:dyDescent="0.3">
      <c r="A59" s="2">
        <v>54</v>
      </c>
      <c r="B59" s="188" t="s">
        <v>199</v>
      </c>
      <c r="C59" s="7" t="s">
        <v>107</v>
      </c>
      <c r="D59" s="19" t="s">
        <v>64</v>
      </c>
      <c r="E59" s="19">
        <v>100</v>
      </c>
      <c r="F59" s="17"/>
      <c r="G59" s="17" t="s">
        <v>108</v>
      </c>
      <c r="H59" s="22"/>
      <c r="I59" s="22"/>
      <c r="J59" s="13" t="s">
        <v>66</v>
      </c>
      <c r="K59" s="13"/>
      <c r="L59" s="11"/>
      <c r="M59" s="11"/>
      <c r="N59" s="13"/>
      <c r="O59" s="13"/>
      <c r="P59" s="11"/>
      <c r="Q59" s="11"/>
      <c r="R59" s="13"/>
      <c r="S59" s="13"/>
      <c r="T59" s="11"/>
      <c r="U59" s="11"/>
      <c r="V59" s="13"/>
      <c r="W59" s="13"/>
      <c r="X59" s="11"/>
      <c r="Y59" s="11"/>
      <c r="Z59" s="13"/>
      <c r="AA59" s="13"/>
      <c r="AB59" s="11"/>
      <c r="AC59" s="11"/>
      <c r="AD59" s="13"/>
      <c r="AE59" s="13"/>
      <c r="AF59" s="11"/>
      <c r="AG59" s="11"/>
      <c r="AH59" s="13"/>
      <c r="AI59" s="13"/>
      <c r="AJ59" s="11"/>
      <c r="AK59" s="11"/>
      <c r="AL59" s="13"/>
      <c r="AM59" s="13"/>
      <c r="AN59" s="11"/>
      <c r="AO59" s="11"/>
    </row>
    <row r="60" spans="1:41" x14ac:dyDescent="0.3">
      <c r="A60" s="2">
        <v>55</v>
      </c>
      <c r="B60" s="188"/>
      <c r="C60" s="7" t="s">
        <v>109</v>
      </c>
      <c r="D60" s="19" t="s">
        <v>64</v>
      </c>
      <c r="E60" s="19">
        <v>100</v>
      </c>
      <c r="F60" s="17"/>
      <c r="G60" s="17" t="s">
        <v>110</v>
      </c>
      <c r="H60" s="22"/>
      <c r="I60" s="22"/>
      <c r="J60" s="13" t="s">
        <v>66</v>
      </c>
      <c r="K60" s="13"/>
      <c r="L60" s="11"/>
      <c r="M60" s="11"/>
      <c r="N60" s="13"/>
      <c r="O60" s="13"/>
      <c r="P60" s="11"/>
      <c r="Q60" s="11"/>
      <c r="R60" s="13"/>
      <c r="S60" s="13"/>
      <c r="T60" s="11"/>
      <c r="U60" s="11"/>
      <c r="V60" s="13"/>
      <c r="W60" s="13"/>
      <c r="X60" s="11"/>
      <c r="Y60" s="11"/>
      <c r="Z60" s="13"/>
      <c r="AA60" s="13"/>
      <c r="AB60" s="11"/>
      <c r="AC60" s="11"/>
      <c r="AD60" s="13"/>
      <c r="AE60" s="13"/>
      <c r="AF60" s="11"/>
      <c r="AG60" s="11"/>
      <c r="AH60" s="13"/>
      <c r="AI60" s="13"/>
      <c r="AJ60" s="11"/>
      <c r="AK60" s="11"/>
      <c r="AL60" s="13"/>
      <c r="AM60" s="13"/>
      <c r="AN60" s="11"/>
      <c r="AO60" s="11"/>
    </row>
    <row r="61" spans="1:41" x14ac:dyDescent="0.3">
      <c r="A61" s="2">
        <v>56</v>
      </c>
      <c r="B61" s="188"/>
      <c r="C61" s="7" t="s">
        <v>111</v>
      </c>
      <c r="D61" s="19" t="s">
        <v>64</v>
      </c>
      <c r="E61" s="19">
        <v>100</v>
      </c>
      <c r="F61" s="17"/>
      <c r="G61" s="17" t="s">
        <v>112</v>
      </c>
      <c r="H61" s="22"/>
      <c r="I61" s="22"/>
      <c r="J61" s="21" t="s">
        <v>68</v>
      </c>
      <c r="K61" s="13"/>
      <c r="L61" s="11"/>
      <c r="M61" s="11"/>
      <c r="N61" s="13"/>
      <c r="O61" s="13"/>
      <c r="P61" s="11"/>
      <c r="Q61" s="11"/>
      <c r="R61" s="13"/>
      <c r="S61" s="13"/>
      <c r="T61" s="11"/>
      <c r="U61" s="11"/>
      <c r="V61" s="13"/>
      <c r="W61" s="13"/>
      <c r="X61" s="11"/>
      <c r="Y61" s="11"/>
      <c r="Z61" s="13"/>
      <c r="AA61" s="13"/>
      <c r="AB61" s="11"/>
      <c r="AC61" s="11"/>
      <c r="AD61" s="13"/>
      <c r="AE61" s="13"/>
      <c r="AF61" s="11"/>
      <c r="AG61" s="11"/>
      <c r="AH61" s="13"/>
      <c r="AI61" s="13"/>
      <c r="AJ61" s="11"/>
      <c r="AK61" s="11"/>
      <c r="AL61" s="13"/>
      <c r="AM61" s="13"/>
      <c r="AN61" s="11"/>
      <c r="AO61" s="11"/>
    </row>
    <row r="62" spans="1:41" x14ac:dyDescent="0.3">
      <c r="A62" s="2">
        <v>57</v>
      </c>
      <c r="B62" s="188"/>
      <c r="C62" s="7" t="s">
        <v>113</v>
      </c>
      <c r="D62" s="19" t="s">
        <v>64</v>
      </c>
      <c r="E62" s="19">
        <v>100</v>
      </c>
      <c r="F62" s="17"/>
      <c r="G62" s="17" t="s">
        <v>114</v>
      </c>
      <c r="H62" s="22"/>
      <c r="I62" s="22"/>
      <c r="J62" s="21" t="s">
        <v>66</v>
      </c>
      <c r="K62" s="13"/>
      <c r="L62" s="11"/>
      <c r="M62" s="11"/>
      <c r="N62" s="13"/>
      <c r="O62" s="13"/>
      <c r="P62" s="11"/>
      <c r="Q62" s="11"/>
      <c r="R62" s="13"/>
      <c r="S62" s="13"/>
      <c r="T62" s="11"/>
      <c r="U62" s="11"/>
      <c r="V62" s="13"/>
      <c r="W62" s="13"/>
      <c r="X62" s="11"/>
      <c r="Y62" s="11"/>
      <c r="Z62" s="13"/>
      <c r="AA62" s="13"/>
      <c r="AB62" s="11"/>
      <c r="AC62" s="11"/>
      <c r="AD62" s="13"/>
      <c r="AE62" s="13"/>
      <c r="AF62" s="11"/>
      <c r="AG62" s="11"/>
      <c r="AH62" s="13"/>
      <c r="AI62" s="13"/>
      <c r="AJ62" s="11"/>
      <c r="AK62" s="11"/>
      <c r="AL62" s="13"/>
      <c r="AM62" s="13"/>
      <c r="AN62" s="11"/>
      <c r="AO62" s="11"/>
    </row>
    <row r="63" spans="1:41" x14ac:dyDescent="0.3">
      <c r="A63" s="2">
        <v>58</v>
      </c>
      <c r="B63" s="188"/>
      <c r="C63" s="7" t="s">
        <v>115</v>
      </c>
      <c r="D63" s="19" t="s">
        <v>64</v>
      </c>
      <c r="E63" s="19">
        <v>100</v>
      </c>
      <c r="F63" s="17"/>
      <c r="G63" s="17" t="s">
        <v>116</v>
      </c>
      <c r="H63" s="22"/>
      <c r="I63" s="22"/>
      <c r="J63" s="21" t="s">
        <v>68</v>
      </c>
      <c r="K63" s="13"/>
      <c r="L63" s="11"/>
      <c r="M63" s="11"/>
      <c r="N63" s="13"/>
      <c r="O63" s="13"/>
      <c r="P63" s="11"/>
      <c r="Q63" s="11"/>
      <c r="R63" s="13"/>
      <c r="S63" s="13"/>
      <c r="T63" s="11"/>
      <c r="U63" s="11"/>
      <c r="V63" s="13"/>
      <c r="W63" s="13"/>
      <c r="X63" s="11"/>
      <c r="Y63" s="11"/>
      <c r="Z63" s="13"/>
      <c r="AA63" s="13"/>
      <c r="AB63" s="11"/>
      <c r="AC63" s="11"/>
      <c r="AD63" s="13"/>
      <c r="AE63" s="13"/>
      <c r="AF63" s="11"/>
      <c r="AG63" s="11"/>
      <c r="AH63" s="13"/>
      <c r="AI63" s="13"/>
      <c r="AJ63" s="11"/>
      <c r="AK63" s="11"/>
      <c r="AL63" s="13"/>
      <c r="AM63" s="13"/>
      <c r="AN63" s="11"/>
      <c r="AO63" s="11"/>
    </row>
    <row r="64" spans="1:41" x14ac:dyDescent="0.3">
      <c r="A64" s="2">
        <v>59</v>
      </c>
      <c r="B64" s="188"/>
      <c r="C64" s="7" t="s">
        <v>117</v>
      </c>
      <c r="D64" s="19" t="s">
        <v>64</v>
      </c>
      <c r="E64" s="19">
        <v>50</v>
      </c>
      <c r="F64" s="17"/>
      <c r="G64" s="17" t="s">
        <v>118</v>
      </c>
      <c r="H64" s="22"/>
      <c r="I64" s="22"/>
      <c r="J64" s="21" t="s">
        <v>68</v>
      </c>
      <c r="K64" s="13"/>
      <c r="L64" s="11"/>
      <c r="M64" s="11"/>
      <c r="N64" s="13"/>
      <c r="O64" s="13"/>
      <c r="P64" s="11"/>
      <c r="Q64" s="11"/>
      <c r="R64" s="13"/>
      <c r="S64" s="13"/>
      <c r="T64" s="11"/>
      <c r="U64" s="11"/>
      <c r="V64" s="13"/>
      <c r="W64" s="13"/>
      <c r="X64" s="11"/>
      <c r="Y64" s="11"/>
      <c r="Z64" s="13"/>
      <c r="AA64" s="13"/>
      <c r="AB64" s="11"/>
      <c r="AC64" s="11"/>
      <c r="AD64" s="13"/>
      <c r="AE64" s="13"/>
      <c r="AF64" s="11"/>
      <c r="AG64" s="11"/>
      <c r="AH64" s="13"/>
      <c r="AI64" s="13"/>
      <c r="AJ64" s="11"/>
      <c r="AK64" s="11"/>
      <c r="AL64" s="13"/>
      <c r="AM64" s="13"/>
      <c r="AN64" s="11"/>
      <c r="AO64" s="11"/>
    </row>
    <row r="65" spans="1:41" ht="43.5" x14ac:dyDescent="0.35">
      <c r="A65" s="2">
        <v>60</v>
      </c>
      <c r="B65" s="188"/>
      <c r="C65" s="7" t="s">
        <v>200</v>
      </c>
      <c r="D65" s="24" t="s">
        <v>160</v>
      </c>
      <c r="E65" s="19"/>
      <c r="F65" s="17" t="s">
        <v>161</v>
      </c>
      <c r="G65" s="17" t="s">
        <v>201</v>
      </c>
      <c r="H65" s="22"/>
      <c r="I65" s="22"/>
      <c r="J65" s="21" t="s">
        <v>68</v>
      </c>
      <c r="K65" s="13"/>
      <c r="L65" s="11"/>
      <c r="M65" s="11"/>
      <c r="N65" s="13"/>
      <c r="O65" s="13"/>
      <c r="P65" s="11"/>
      <c r="Q65" s="11"/>
      <c r="R65" s="13"/>
      <c r="S65" s="13"/>
      <c r="T65" s="11"/>
      <c r="U65" s="11"/>
      <c r="V65" s="13"/>
      <c r="W65" s="13"/>
      <c r="X65" s="11"/>
      <c r="Y65" s="11"/>
      <c r="Z65" s="13"/>
      <c r="AA65" s="13"/>
      <c r="AB65" s="11"/>
      <c r="AC65" s="11"/>
      <c r="AD65" s="13"/>
      <c r="AE65" s="13"/>
      <c r="AF65" s="11"/>
      <c r="AG65" s="11"/>
      <c r="AH65" s="13"/>
      <c r="AI65" s="13"/>
      <c r="AJ65" s="11"/>
      <c r="AK65" s="11"/>
      <c r="AL65" s="13"/>
      <c r="AM65" s="13"/>
      <c r="AN65" s="11"/>
      <c r="AO65" s="11"/>
    </row>
    <row r="66" spans="1:41" x14ac:dyDescent="0.3">
      <c r="A66" s="2">
        <v>61</v>
      </c>
      <c r="B66" s="188"/>
      <c r="C66" s="7" t="s">
        <v>202</v>
      </c>
      <c r="D66" s="19" t="s">
        <v>134</v>
      </c>
      <c r="E66" s="19"/>
      <c r="F66" s="17"/>
      <c r="G66" s="17" t="s">
        <v>203</v>
      </c>
      <c r="H66" s="22"/>
      <c r="I66" s="22"/>
      <c r="J66" s="21" t="s">
        <v>68</v>
      </c>
      <c r="K66" s="13"/>
      <c r="L66" s="11"/>
      <c r="M66" s="11"/>
      <c r="N66" s="13"/>
      <c r="O66" s="13"/>
      <c r="P66" s="11"/>
      <c r="Q66" s="11"/>
      <c r="R66" s="13"/>
      <c r="S66" s="13"/>
      <c r="T66" s="11"/>
      <c r="U66" s="11"/>
      <c r="V66" s="13"/>
      <c r="W66" s="13"/>
      <c r="X66" s="11"/>
      <c r="Y66" s="11"/>
      <c r="Z66" s="13"/>
      <c r="AA66" s="13"/>
      <c r="AB66" s="11"/>
      <c r="AC66" s="11"/>
      <c r="AD66" s="13"/>
      <c r="AE66" s="13"/>
      <c r="AF66" s="11"/>
      <c r="AG66" s="11"/>
      <c r="AH66" s="13"/>
      <c r="AI66" s="13"/>
      <c r="AJ66" s="11"/>
      <c r="AK66" s="11"/>
      <c r="AL66" s="13"/>
      <c r="AM66" s="13"/>
      <c r="AN66" s="11"/>
      <c r="AO66" s="11"/>
    </row>
    <row r="67" spans="1:41" ht="29" x14ac:dyDescent="0.35">
      <c r="A67" s="2">
        <v>62</v>
      </c>
      <c r="B67" s="188"/>
      <c r="C67" s="7" t="s">
        <v>204</v>
      </c>
      <c r="D67" s="24" t="s">
        <v>205</v>
      </c>
      <c r="E67" s="19"/>
      <c r="F67" s="17" t="s">
        <v>131</v>
      </c>
      <c r="G67" s="17" t="s">
        <v>206</v>
      </c>
      <c r="H67" s="22"/>
      <c r="I67" s="22"/>
      <c r="J67" s="21" t="s">
        <v>68</v>
      </c>
      <c r="K67" s="13"/>
      <c r="L67" s="11"/>
      <c r="M67" s="11"/>
      <c r="N67" s="13"/>
      <c r="O67" s="13"/>
      <c r="P67" s="11"/>
      <c r="Q67" s="11"/>
      <c r="R67" s="13"/>
      <c r="S67" s="13"/>
      <c r="T67" s="11"/>
      <c r="U67" s="11"/>
      <c r="V67" s="13"/>
      <c r="W67" s="13"/>
      <c r="X67" s="11"/>
      <c r="Y67" s="11"/>
      <c r="Z67" s="13"/>
      <c r="AA67" s="13"/>
      <c r="AB67" s="11"/>
      <c r="AC67" s="11"/>
      <c r="AD67" s="13"/>
      <c r="AE67" s="13"/>
      <c r="AF67" s="11"/>
      <c r="AG67" s="11"/>
      <c r="AH67" s="13"/>
      <c r="AI67" s="13"/>
      <c r="AJ67" s="11"/>
      <c r="AK67" s="11"/>
      <c r="AL67" s="13"/>
      <c r="AM67" s="13"/>
      <c r="AN67" s="11"/>
      <c r="AO67" s="11"/>
    </row>
    <row r="68" spans="1:41" ht="14.5" x14ac:dyDescent="0.35">
      <c r="A68" s="2">
        <v>63</v>
      </c>
      <c r="B68" s="188"/>
      <c r="C68" s="7" t="s">
        <v>207</v>
      </c>
      <c r="D68" s="24" t="s">
        <v>208</v>
      </c>
      <c r="E68" s="19"/>
      <c r="F68" s="17" t="s">
        <v>209</v>
      </c>
      <c r="G68" s="17" t="s">
        <v>210</v>
      </c>
      <c r="H68" s="22"/>
      <c r="I68" s="22"/>
      <c r="J68" s="21" t="s">
        <v>68</v>
      </c>
      <c r="K68" s="13"/>
      <c r="L68" s="11"/>
      <c r="M68" s="11"/>
      <c r="N68" s="13"/>
      <c r="O68" s="13"/>
      <c r="P68" s="11"/>
      <c r="Q68" s="11"/>
      <c r="R68" s="13"/>
      <c r="S68" s="13"/>
      <c r="T68" s="11"/>
      <c r="U68" s="11"/>
      <c r="V68" s="13"/>
      <c r="W68" s="13"/>
      <c r="X68" s="11"/>
      <c r="Y68" s="11"/>
      <c r="Z68" s="13"/>
      <c r="AA68" s="13"/>
      <c r="AB68" s="11"/>
      <c r="AC68" s="11"/>
      <c r="AD68" s="13"/>
      <c r="AE68" s="13"/>
      <c r="AF68" s="11"/>
      <c r="AG68" s="11"/>
      <c r="AH68" s="13"/>
      <c r="AI68" s="13"/>
      <c r="AJ68" s="11"/>
      <c r="AK68" s="11"/>
      <c r="AL68" s="13"/>
      <c r="AM68" s="13"/>
      <c r="AN68" s="11"/>
      <c r="AO68" s="11"/>
    </row>
    <row r="69" spans="1:41" x14ac:dyDescent="0.3">
      <c r="A69" s="2">
        <v>64</v>
      </c>
      <c r="B69" s="188"/>
      <c r="C69" s="7" t="s">
        <v>211</v>
      </c>
      <c r="D69" s="19" t="s">
        <v>78</v>
      </c>
      <c r="E69" s="19">
        <v>4</v>
      </c>
      <c r="F69" s="17" t="s">
        <v>212</v>
      </c>
      <c r="G69" s="17" t="s">
        <v>213</v>
      </c>
      <c r="H69" s="22"/>
      <c r="I69" s="22"/>
      <c r="J69" s="21" t="s">
        <v>68</v>
      </c>
      <c r="K69" s="13"/>
      <c r="L69" s="11"/>
      <c r="M69" s="11"/>
      <c r="N69" s="13"/>
      <c r="O69" s="13"/>
      <c r="P69" s="11"/>
      <c r="Q69" s="11"/>
      <c r="R69" s="13"/>
      <c r="S69" s="13"/>
      <c r="T69" s="11"/>
      <c r="U69" s="11"/>
      <c r="V69" s="13"/>
      <c r="W69" s="13"/>
      <c r="X69" s="11"/>
      <c r="Y69" s="11"/>
      <c r="Z69" s="13"/>
      <c r="AA69" s="13"/>
      <c r="AB69" s="11"/>
      <c r="AC69" s="11"/>
      <c r="AD69" s="13"/>
      <c r="AE69" s="13"/>
      <c r="AF69" s="11"/>
      <c r="AG69" s="11"/>
      <c r="AH69" s="13"/>
      <c r="AI69" s="13"/>
      <c r="AJ69" s="11"/>
      <c r="AK69" s="11"/>
      <c r="AL69" s="13"/>
      <c r="AM69" s="13"/>
      <c r="AN69" s="11"/>
      <c r="AO69" s="11"/>
    </row>
    <row r="70" spans="1:41" ht="29" x14ac:dyDescent="0.35">
      <c r="A70" s="2">
        <v>65</v>
      </c>
      <c r="B70" s="188" t="s">
        <v>214</v>
      </c>
      <c r="C70" s="8" t="s">
        <v>215</v>
      </c>
      <c r="D70" s="25" t="s">
        <v>216</v>
      </c>
      <c r="E70" s="20"/>
      <c r="F70" s="57" t="s">
        <v>86</v>
      </c>
      <c r="G70" s="57" t="s">
        <v>217</v>
      </c>
      <c r="H70" s="22"/>
      <c r="I70" s="22"/>
      <c r="J70" s="21" t="s">
        <v>68</v>
      </c>
      <c r="K70" s="13"/>
      <c r="L70" s="11"/>
      <c r="M70" s="11"/>
      <c r="N70" s="13"/>
      <c r="O70" s="13"/>
      <c r="P70" s="11"/>
      <c r="Q70" s="11"/>
      <c r="R70" s="13"/>
      <c r="S70" s="13"/>
      <c r="T70" s="11"/>
      <c r="U70" s="11"/>
      <c r="V70" s="13"/>
      <c r="W70" s="13"/>
      <c r="X70" s="11"/>
      <c r="Y70" s="11"/>
      <c r="Z70" s="13"/>
      <c r="AA70" s="13"/>
      <c r="AB70" s="11"/>
      <c r="AC70" s="11"/>
      <c r="AD70" s="13"/>
      <c r="AE70" s="13"/>
      <c r="AF70" s="11"/>
      <c r="AG70" s="11"/>
      <c r="AH70" s="13"/>
      <c r="AI70" s="13"/>
      <c r="AJ70" s="11"/>
      <c r="AK70" s="11"/>
      <c r="AL70" s="13"/>
      <c r="AM70" s="13"/>
      <c r="AN70" s="11"/>
      <c r="AO70" s="11"/>
    </row>
    <row r="71" spans="1:41" x14ac:dyDescent="0.3">
      <c r="A71" s="2">
        <v>66</v>
      </c>
      <c r="B71" s="188"/>
      <c r="C71" s="8" t="s">
        <v>218</v>
      </c>
      <c r="D71" s="20" t="s">
        <v>81</v>
      </c>
      <c r="E71" s="20"/>
      <c r="F71" s="57" t="s">
        <v>149</v>
      </c>
      <c r="G71" s="57" t="s">
        <v>219</v>
      </c>
      <c r="H71" s="22"/>
      <c r="I71" s="22"/>
      <c r="J71" s="13" t="s">
        <v>66</v>
      </c>
      <c r="K71" s="13"/>
      <c r="L71" s="11"/>
      <c r="M71" s="11"/>
      <c r="N71" s="13"/>
      <c r="O71" s="13"/>
      <c r="P71" s="11"/>
      <c r="Q71" s="11"/>
      <c r="R71" s="13"/>
      <c r="S71" s="13"/>
      <c r="T71" s="11"/>
      <c r="U71" s="11"/>
      <c r="V71" s="13"/>
      <c r="W71" s="13"/>
      <c r="X71" s="11"/>
      <c r="Y71" s="11"/>
      <c r="Z71" s="13"/>
      <c r="AA71" s="13"/>
      <c r="AB71" s="11"/>
      <c r="AC71" s="11"/>
      <c r="AD71" s="13"/>
      <c r="AE71" s="13"/>
      <c r="AF71" s="11"/>
      <c r="AG71" s="11"/>
      <c r="AH71" s="13"/>
      <c r="AI71" s="13"/>
      <c r="AJ71" s="11"/>
      <c r="AK71" s="11"/>
      <c r="AL71" s="13"/>
      <c r="AM71" s="13"/>
      <c r="AN71" s="11"/>
      <c r="AO71" s="11"/>
    </row>
    <row r="72" spans="1:41" x14ac:dyDescent="0.3">
      <c r="A72" s="2">
        <v>67</v>
      </c>
      <c r="B72" s="188"/>
      <c r="C72" s="8" t="s">
        <v>220</v>
      </c>
      <c r="D72" s="20" t="s">
        <v>64</v>
      </c>
      <c r="E72" s="20">
        <v>500</v>
      </c>
      <c r="F72" s="57"/>
      <c r="G72" s="57" t="s">
        <v>221</v>
      </c>
      <c r="H72" s="22"/>
      <c r="I72" s="22"/>
      <c r="J72" s="13" t="s">
        <v>66</v>
      </c>
      <c r="K72" s="13"/>
      <c r="L72" s="11"/>
      <c r="M72" s="11"/>
      <c r="N72" s="13"/>
      <c r="O72" s="13"/>
      <c r="P72" s="11"/>
      <c r="Q72" s="11"/>
      <c r="R72" s="13"/>
      <c r="S72" s="13"/>
      <c r="T72" s="11"/>
      <c r="U72" s="11"/>
      <c r="V72" s="13"/>
      <c r="W72" s="13"/>
      <c r="X72" s="11"/>
      <c r="Y72" s="11"/>
      <c r="Z72" s="13"/>
      <c r="AA72" s="13"/>
      <c r="AB72" s="11"/>
      <c r="AC72" s="11"/>
      <c r="AD72" s="13"/>
      <c r="AE72" s="13"/>
      <c r="AF72" s="11"/>
      <c r="AG72" s="11"/>
      <c r="AH72" s="13"/>
      <c r="AI72" s="13"/>
      <c r="AJ72" s="11"/>
      <c r="AK72" s="11"/>
      <c r="AL72" s="13"/>
      <c r="AM72" s="13"/>
      <c r="AN72" s="11"/>
      <c r="AO72" s="11"/>
    </row>
    <row r="73" spans="1:41" ht="43.5" x14ac:dyDescent="0.35">
      <c r="A73" s="2">
        <v>68</v>
      </c>
      <c r="B73" s="188"/>
      <c r="C73" s="8" t="s">
        <v>222</v>
      </c>
      <c r="D73" s="68" t="s">
        <v>160</v>
      </c>
      <c r="E73" s="20"/>
      <c r="F73" s="57" t="s">
        <v>161</v>
      </c>
      <c r="G73" s="57" t="s">
        <v>223</v>
      </c>
      <c r="H73" s="22"/>
      <c r="I73" s="22"/>
      <c r="J73" s="21" t="s">
        <v>68</v>
      </c>
      <c r="K73" s="13"/>
      <c r="L73" s="11"/>
      <c r="M73" s="11"/>
      <c r="N73" s="13"/>
      <c r="O73" s="13"/>
      <c r="P73" s="11"/>
      <c r="Q73" s="11"/>
      <c r="R73" s="13"/>
      <c r="S73" s="13"/>
      <c r="T73" s="11"/>
      <c r="U73" s="11"/>
      <c r="V73" s="13"/>
      <c r="W73" s="13"/>
      <c r="X73" s="11"/>
      <c r="Y73" s="11"/>
      <c r="Z73" s="13"/>
      <c r="AA73" s="13"/>
      <c r="AB73" s="11"/>
      <c r="AC73" s="11"/>
      <c r="AD73" s="13"/>
      <c r="AE73" s="13"/>
      <c r="AF73" s="11"/>
      <c r="AG73" s="11"/>
      <c r="AH73" s="13"/>
      <c r="AI73" s="13"/>
      <c r="AJ73" s="11"/>
      <c r="AK73" s="11"/>
      <c r="AL73" s="13"/>
      <c r="AM73" s="13"/>
      <c r="AN73" s="11"/>
      <c r="AO73" s="11"/>
    </row>
    <row r="74" spans="1:41" x14ac:dyDescent="0.3">
      <c r="A74" s="2">
        <v>69</v>
      </c>
      <c r="B74" s="188"/>
      <c r="C74" s="8" t="s">
        <v>224</v>
      </c>
      <c r="D74" s="20" t="s">
        <v>64</v>
      </c>
      <c r="E74" s="20">
        <v>15</v>
      </c>
      <c r="F74" s="57" t="s">
        <v>164</v>
      </c>
      <c r="G74" s="57" t="s">
        <v>225</v>
      </c>
      <c r="H74" s="22"/>
      <c r="I74" s="22"/>
      <c r="J74" s="13" t="s">
        <v>66</v>
      </c>
      <c r="K74" s="13"/>
      <c r="L74" s="11"/>
      <c r="M74" s="11"/>
      <c r="N74" s="13"/>
      <c r="O74" s="13"/>
      <c r="P74" s="11"/>
      <c r="Q74" s="11"/>
      <c r="R74" s="13"/>
      <c r="S74" s="13"/>
      <c r="T74" s="11"/>
      <c r="U74" s="11"/>
      <c r="V74" s="13"/>
      <c r="W74" s="13"/>
      <c r="X74" s="11"/>
      <c r="Y74" s="11"/>
      <c r="Z74" s="13"/>
      <c r="AA74" s="13"/>
      <c r="AB74" s="11"/>
      <c r="AC74" s="11"/>
      <c r="AD74" s="13"/>
      <c r="AE74" s="13"/>
      <c r="AF74" s="11"/>
      <c r="AG74" s="11"/>
      <c r="AH74" s="13"/>
      <c r="AI74" s="13"/>
      <c r="AJ74" s="11"/>
      <c r="AK74" s="11"/>
      <c r="AL74" s="13"/>
      <c r="AM74" s="13"/>
      <c r="AN74" s="11"/>
      <c r="AO74" s="11"/>
    </row>
    <row r="75" spans="1:41" ht="43.5" x14ac:dyDescent="0.35">
      <c r="A75" s="2">
        <v>70</v>
      </c>
      <c r="B75" s="188"/>
      <c r="C75" s="8" t="s">
        <v>226</v>
      </c>
      <c r="D75" s="68" t="s">
        <v>160</v>
      </c>
      <c r="E75" s="20"/>
      <c r="F75" s="57" t="s">
        <v>161</v>
      </c>
      <c r="G75" s="57" t="s">
        <v>227</v>
      </c>
      <c r="H75" s="22"/>
      <c r="I75" s="22"/>
      <c r="J75" s="21" t="s">
        <v>68</v>
      </c>
      <c r="K75" s="13"/>
      <c r="L75" s="11"/>
      <c r="M75" s="11"/>
      <c r="N75" s="13"/>
      <c r="O75" s="13"/>
      <c r="P75" s="11"/>
      <c r="Q75" s="11"/>
      <c r="R75" s="13"/>
      <c r="S75" s="13"/>
      <c r="T75" s="11"/>
      <c r="U75" s="11"/>
      <c r="V75" s="13"/>
      <c r="W75" s="13"/>
      <c r="X75" s="11"/>
      <c r="Y75" s="11"/>
      <c r="Z75" s="13"/>
      <c r="AA75" s="13"/>
      <c r="AB75" s="11"/>
      <c r="AC75" s="11"/>
      <c r="AD75" s="13"/>
      <c r="AE75" s="13"/>
      <c r="AF75" s="11"/>
      <c r="AG75" s="11"/>
      <c r="AH75" s="13"/>
      <c r="AI75" s="13"/>
      <c r="AJ75" s="11"/>
      <c r="AK75" s="11"/>
      <c r="AL75" s="13"/>
      <c r="AM75" s="13"/>
      <c r="AN75" s="11"/>
      <c r="AO75" s="11"/>
    </row>
    <row r="76" spans="1:41" x14ac:dyDescent="0.3">
      <c r="A76" s="2">
        <v>71</v>
      </c>
      <c r="B76" s="188"/>
      <c r="C76" s="8" t="s">
        <v>228</v>
      </c>
      <c r="D76" s="20" t="s">
        <v>64</v>
      </c>
      <c r="E76" s="20">
        <v>15</v>
      </c>
      <c r="F76" s="57" t="s">
        <v>164</v>
      </c>
      <c r="G76" s="57" t="s">
        <v>229</v>
      </c>
      <c r="H76" s="22"/>
      <c r="I76" s="22"/>
      <c r="J76" s="13" t="s">
        <v>66</v>
      </c>
      <c r="K76" s="13"/>
      <c r="L76" s="11"/>
      <c r="M76" s="11"/>
      <c r="N76" s="13"/>
      <c r="O76" s="13"/>
      <c r="P76" s="11"/>
      <c r="Q76" s="11"/>
      <c r="R76" s="13"/>
      <c r="S76" s="13"/>
      <c r="T76" s="11"/>
      <c r="U76" s="11"/>
      <c r="V76" s="13"/>
      <c r="W76" s="13"/>
      <c r="X76" s="11"/>
      <c r="Y76" s="11"/>
      <c r="Z76" s="13"/>
      <c r="AA76" s="13"/>
      <c r="AB76" s="11"/>
      <c r="AC76" s="11"/>
      <c r="AD76" s="13"/>
      <c r="AE76" s="13"/>
      <c r="AF76" s="11"/>
      <c r="AG76" s="11"/>
      <c r="AH76" s="13"/>
      <c r="AI76" s="13"/>
      <c r="AJ76" s="11"/>
      <c r="AK76" s="11"/>
      <c r="AL76" s="13"/>
      <c r="AM76" s="13"/>
      <c r="AN76" s="11"/>
      <c r="AO76" s="11"/>
    </row>
    <row r="77" spans="1:41" ht="39" x14ac:dyDescent="0.3">
      <c r="A77" s="2">
        <v>72</v>
      </c>
      <c r="B77" s="188"/>
      <c r="C77" s="8" t="s">
        <v>230</v>
      </c>
      <c r="D77" s="20" t="s">
        <v>167</v>
      </c>
      <c r="E77" s="20">
        <v>200</v>
      </c>
      <c r="F77" s="57" t="s">
        <v>168</v>
      </c>
      <c r="G77" s="57" t="s">
        <v>231</v>
      </c>
      <c r="H77" s="22"/>
      <c r="I77" s="22"/>
      <c r="J77" s="13" t="s">
        <v>66</v>
      </c>
      <c r="K77" s="13"/>
      <c r="L77" s="11"/>
      <c r="M77" s="11"/>
      <c r="N77" s="13"/>
      <c r="O77" s="13"/>
      <c r="P77" s="11"/>
      <c r="Q77" s="11"/>
      <c r="R77" s="13"/>
      <c r="S77" s="13"/>
      <c r="T77" s="11"/>
      <c r="U77" s="11"/>
      <c r="V77" s="13"/>
      <c r="W77" s="13"/>
      <c r="X77" s="11"/>
      <c r="Y77" s="11"/>
      <c r="Z77" s="13"/>
      <c r="AA77" s="13"/>
      <c r="AB77" s="11"/>
      <c r="AC77" s="11"/>
      <c r="AD77" s="13"/>
      <c r="AE77" s="13"/>
      <c r="AF77" s="11"/>
      <c r="AG77" s="11"/>
      <c r="AH77" s="13"/>
      <c r="AI77" s="13"/>
      <c r="AJ77" s="11"/>
      <c r="AK77" s="11"/>
      <c r="AL77" s="13"/>
      <c r="AM77" s="13"/>
      <c r="AN77" s="11"/>
      <c r="AO77" s="11"/>
    </row>
    <row r="78" spans="1:41" x14ac:dyDescent="0.3">
      <c r="A78" s="2">
        <v>73</v>
      </c>
      <c r="B78" s="188"/>
      <c r="C78" s="70" t="s">
        <v>232</v>
      </c>
      <c r="D78" s="20" t="s">
        <v>64</v>
      </c>
      <c r="E78" s="20">
        <v>100</v>
      </c>
      <c r="F78" s="57"/>
      <c r="G78" s="57" t="s">
        <v>108</v>
      </c>
      <c r="H78" s="22"/>
      <c r="I78" s="22"/>
      <c r="J78" s="13" t="s">
        <v>66</v>
      </c>
      <c r="K78" s="13"/>
      <c r="L78" s="11"/>
      <c r="M78" s="11"/>
      <c r="N78" s="13"/>
      <c r="O78" s="13"/>
      <c r="P78" s="11"/>
      <c r="Q78" s="11"/>
      <c r="R78" s="13"/>
      <c r="S78" s="13"/>
      <c r="T78" s="11"/>
      <c r="U78" s="11"/>
      <c r="V78" s="13"/>
      <c r="W78" s="13"/>
      <c r="X78" s="11"/>
      <c r="Y78" s="11"/>
      <c r="Z78" s="13"/>
      <c r="AA78" s="13"/>
      <c r="AB78" s="11"/>
      <c r="AC78" s="11"/>
      <c r="AD78" s="13"/>
      <c r="AE78" s="13"/>
      <c r="AF78" s="11"/>
      <c r="AG78" s="11"/>
      <c r="AH78" s="13"/>
      <c r="AI78" s="13"/>
      <c r="AJ78" s="11"/>
      <c r="AK78" s="11"/>
      <c r="AL78" s="13"/>
      <c r="AM78" s="13"/>
      <c r="AN78" s="11"/>
      <c r="AO78" s="11"/>
    </row>
    <row r="79" spans="1:41" x14ac:dyDescent="0.3">
      <c r="A79" s="2">
        <v>74</v>
      </c>
      <c r="B79" s="188"/>
      <c r="C79" s="70" t="s">
        <v>233</v>
      </c>
      <c r="D79" s="20" t="s">
        <v>64</v>
      </c>
      <c r="E79" s="20">
        <v>100</v>
      </c>
      <c r="F79" s="57"/>
      <c r="G79" s="57" t="s">
        <v>110</v>
      </c>
      <c r="H79" s="22"/>
      <c r="I79" s="22"/>
      <c r="J79" s="13" t="s">
        <v>66</v>
      </c>
      <c r="K79" s="13"/>
      <c r="L79" s="11"/>
      <c r="M79" s="11"/>
      <c r="N79" s="13"/>
      <c r="O79" s="13"/>
      <c r="P79" s="11"/>
      <c r="Q79" s="11"/>
      <c r="R79" s="13"/>
      <c r="S79" s="13"/>
      <c r="T79" s="11"/>
      <c r="U79" s="11"/>
      <c r="V79" s="13"/>
      <c r="W79" s="13"/>
      <c r="X79" s="11"/>
      <c r="Y79" s="11"/>
      <c r="Z79" s="13"/>
      <c r="AA79" s="13"/>
      <c r="AB79" s="11"/>
      <c r="AC79" s="11"/>
      <c r="AD79" s="13"/>
      <c r="AE79" s="13"/>
      <c r="AF79" s="11"/>
      <c r="AG79" s="11"/>
      <c r="AH79" s="13"/>
      <c r="AI79" s="13"/>
      <c r="AJ79" s="11"/>
      <c r="AK79" s="11"/>
      <c r="AL79" s="13"/>
      <c r="AM79" s="13"/>
      <c r="AN79" s="11"/>
      <c r="AO79" s="11"/>
    </row>
    <row r="80" spans="1:41" x14ac:dyDescent="0.3">
      <c r="A80" s="2">
        <v>75</v>
      </c>
      <c r="B80" s="188"/>
      <c r="C80" s="8" t="s">
        <v>111</v>
      </c>
      <c r="D80" s="20" t="s">
        <v>64</v>
      </c>
      <c r="E80" s="20">
        <v>100</v>
      </c>
      <c r="F80" s="57"/>
      <c r="G80" s="57" t="s">
        <v>112</v>
      </c>
      <c r="H80" s="22"/>
      <c r="I80" s="22"/>
      <c r="J80" s="13" t="s">
        <v>66</v>
      </c>
      <c r="K80" s="13"/>
      <c r="L80" s="11"/>
      <c r="M80" s="11"/>
      <c r="N80" s="13"/>
      <c r="O80" s="13"/>
      <c r="P80" s="11"/>
      <c r="Q80" s="11"/>
      <c r="R80" s="13"/>
      <c r="S80" s="13"/>
      <c r="T80" s="11"/>
      <c r="U80" s="11"/>
      <c r="V80" s="13"/>
      <c r="W80" s="13"/>
      <c r="X80" s="11"/>
      <c r="Y80" s="11"/>
      <c r="Z80" s="13"/>
      <c r="AA80" s="13"/>
      <c r="AB80" s="11"/>
      <c r="AC80" s="11"/>
      <c r="AD80" s="13"/>
      <c r="AE80" s="13"/>
      <c r="AF80" s="11"/>
      <c r="AG80" s="11"/>
      <c r="AH80" s="13"/>
      <c r="AI80" s="13"/>
      <c r="AJ80" s="11"/>
      <c r="AK80" s="11"/>
      <c r="AL80" s="13"/>
      <c r="AM80" s="13"/>
      <c r="AN80" s="11"/>
      <c r="AO80" s="11"/>
    </row>
    <row r="81" spans="1:41" x14ac:dyDescent="0.3">
      <c r="A81" s="2">
        <v>76</v>
      </c>
      <c r="B81" s="188"/>
      <c r="C81" s="8" t="s">
        <v>113</v>
      </c>
      <c r="D81" s="20" t="s">
        <v>64</v>
      </c>
      <c r="E81" s="20">
        <v>100</v>
      </c>
      <c r="F81" s="57"/>
      <c r="G81" s="57" t="s">
        <v>114</v>
      </c>
      <c r="H81" s="22"/>
      <c r="I81" s="22"/>
      <c r="J81" s="13" t="s">
        <v>66</v>
      </c>
      <c r="K81" s="13"/>
      <c r="L81" s="11"/>
      <c r="M81" s="11"/>
      <c r="N81" s="13"/>
      <c r="O81" s="13"/>
      <c r="P81" s="11"/>
      <c r="Q81" s="11"/>
      <c r="R81" s="13"/>
      <c r="S81" s="13"/>
      <c r="T81" s="11"/>
      <c r="U81" s="11"/>
      <c r="V81" s="13"/>
      <c r="W81" s="13"/>
      <c r="X81" s="11"/>
      <c r="Y81" s="11"/>
      <c r="Z81" s="13"/>
      <c r="AA81" s="13"/>
      <c r="AB81" s="11"/>
      <c r="AC81" s="11"/>
      <c r="AD81" s="13"/>
      <c r="AE81" s="13"/>
      <c r="AF81" s="11"/>
      <c r="AG81" s="11"/>
      <c r="AH81" s="13"/>
      <c r="AI81" s="13"/>
      <c r="AJ81" s="11"/>
      <c r="AK81" s="11"/>
      <c r="AL81" s="13"/>
      <c r="AM81" s="13"/>
      <c r="AN81" s="11"/>
      <c r="AO81" s="11"/>
    </row>
    <row r="82" spans="1:41" x14ac:dyDescent="0.3">
      <c r="A82" s="2">
        <v>77</v>
      </c>
      <c r="B82" s="188"/>
      <c r="C82" s="8" t="s">
        <v>115</v>
      </c>
      <c r="D82" s="20" t="s">
        <v>64</v>
      </c>
      <c r="E82" s="20">
        <v>50</v>
      </c>
      <c r="F82" s="57"/>
      <c r="G82" s="57" t="s">
        <v>116</v>
      </c>
      <c r="H82" s="22"/>
      <c r="I82" s="22"/>
      <c r="J82" s="13" t="s">
        <v>66</v>
      </c>
      <c r="K82" s="13"/>
      <c r="L82" s="11"/>
      <c r="M82" s="11"/>
      <c r="N82" s="13"/>
      <c r="O82" s="13"/>
      <c r="P82" s="11"/>
      <c r="Q82" s="11"/>
      <c r="R82" s="13"/>
      <c r="S82" s="13"/>
      <c r="T82" s="11"/>
      <c r="U82" s="11"/>
      <c r="V82" s="13"/>
      <c r="W82" s="13"/>
      <c r="X82" s="11"/>
      <c r="Y82" s="11"/>
      <c r="Z82" s="13"/>
      <c r="AA82" s="13"/>
      <c r="AB82" s="11"/>
      <c r="AC82" s="11"/>
      <c r="AD82" s="13"/>
      <c r="AE82" s="13"/>
      <c r="AF82" s="11"/>
      <c r="AG82" s="11"/>
      <c r="AH82" s="13"/>
      <c r="AI82" s="13"/>
      <c r="AJ82" s="11"/>
      <c r="AK82" s="11"/>
      <c r="AL82" s="13"/>
      <c r="AM82" s="13"/>
      <c r="AN82" s="11"/>
      <c r="AO82" s="11"/>
    </row>
    <row r="83" spans="1:41" ht="43.5" x14ac:dyDescent="0.35">
      <c r="A83" s="2">
        <v>78</v>
      </c>
      <c r="B83" s="188"/>
      <c r="C83" s="8" t="s">
        <v>200</v>
      </c>
      <c r="D83" s="68" t="s">
        <v>160</v>
      </c>
      <c r="E83" s="20"/>
      <c r="F83" s="57" t="s">
        <v>161</v>
      </c>
      <c r="G83" s="57" t="s">
        <v>201</v>
      </c>
      <c r="H83" s="22"/>
      <c r="I83" s="22"/>
      <c r="J83" s="21" t="s">
        <v>68</v>
      </c>
      <c r="K83" s="13"/>
      <c r="L83" s="11"/>
      <c r="M83" s="11"/>
      <c r="N83" s="13"/>
      <c r="O83" s="13"/>
      <c r="P83" s="11"/>
      <c r="Q83" s="11"/>
      <c r="R83" s="13"/>
      <c r="S83" s="13"/>
      <c r="T83" s="11"/>
      <c r="U83" s="11"/>
      <c r="V83" s="13"/>
      <c r="W83" s="13"/>
      <c r="X83" s="11"/>
      <c r="Y83" s="11"/>
      <c r="Z83" s="13"/>
      <c r="AA83" s="13"/>
      <c r="AB83" s="11"/>
      <c r="AC83" s="11"/>
      <c r="AD83" s="13"/>
      <c r="AE83" s="13"/>
      <c r="AF83" s="11"/>
      <c r="AG83" s="11"/>
      <c r="AH83" s="13"/>
      <c r="AI83" s="13"/>
      <c r="AJ83" s="11"/>
      <c r="AK83" s="11"/>
      <c r="AL83" s="13"/>
      <c r="AM83" s="13"/>
      <c r="AN83" s="11"/>
      <c r="AO83" s="11"/>
    </row>
    <row r="84" spans="1:41" x14ac:dyDescent="0.3">
      <c r="A84" s="2">
        <v>79</v>
      </c>
      <c r="B84" s="188"/>
      <c r="C84" s="8" t="s">
        <v>117</v>
      </c>
      <c r="D84" s="20" t="s">
        <v>64</v>
      </c>
      <c r="E84" s="20">
        <v>50</v>
      </c>
      <c r="F84" s="57"/>
      <c r="G84" s="57" t="s">
        <v>118</v>
      </c>
      <c r="H84" s="22"/>
      <c r="I84" s="22"/>
      <c r="J84" s="13" t="s">
        <v>66</v>
      </c>
      <c r="K84" s="13"/>
      <c r="L84" s="11"/>
      <c r="M84" s="11"/>
      <c r="N84" s="13"/>
      <c r="O84" s="13"/>
      <c r="P84" s="11"/>
      <c r="Q84" s="11"/>
      <c r="R84" s="13"/>
      <c r="S84" s="13"/>
      <c r="T84" s="11"/>
      <c r="U84" s="11"/>
      <c r="V84" s="13"/>
      <c r="W84" s="13"/>
      <c r="X84" s="11"/>
      <c r="Y84" s="11"/>
      <c r="Z84" s="13"/>
      <c r="AA84" s="13"/>
      <c r="AB84" s="11"/>
      <c r="AC84" s="11"/>
      <c r="AD84" s="13"/>
      <c r="AE84" s="13"/>
      <c r="AF84" s="11"/>
      <c r="AG84" s="11"/>
      <c r="AH84" s="13"/>
      <c r="AI84" s="13"/>
      <c r="AJ84" s="11"/>
      <c r="AK84" s="11"/>
      <c r="AL84" s="13"/>
      <c r="AM84" s="13"/>
      <c r="AN84" s="11"/>
      <c r="AO84" s="11"/>
    </row>
    <row r="85" spans="1:41" x14ac:dyDescent="0.3">
      <c r="A85" s="2">
        <v>80</v>
      </c>
      <c r="B85" s="188" t="s">
        <v>234</v>
      </c>
      <c r="C85" s="7" t="s">
        <v>235</v>
      </c>
      <c r="D85" s="19" t="s">
        <v>134</v>
      </c>
      <c r="E85" s="19"/>
      <c r="F85" s="17"/>
      <c r="G85" s="17" t="s">
        <v>236</v>
      </c>
      <c r="H85" s="22"/>
      <c r="I85" s="22"/>
      <c r="J85" s="21" t="s">
        <v>68</v>
      </c>
      <c r="K85" s="13"/>
      <c r="L85" s="11"/>
      <c r="M85" s="11"/>
      <c r="N85" s="13"/>
      <c r="O85" s="13"/>
      <c r="P85" s="11"/>
      <c r="Q85" s="11"/>
      <c r="R85" s="13"/>
      <c r="S85" s="13"/>
      <c r="T85" s="11"/>
      <c r="U85" s="11"/>
      <c r="V85" s="13"/>
      <c r="W85" s="13"/>
      <c r="X85" s="11"/>
      <c r="Y85" s="11"/>
      <c r="Z85" s="13"/>
      <c r="AA85" s="13"/>
      <c r="AB85" s="11"/>
      <c r="AC85" s="11"/>
      <c r="AD85" s="13"/>
      <c r="AE85" s="13"/>
      <c r="AF85" s="11"/>
      <c r="AG85" s="11"/>
      <c r="AH85" s="13"/>
      <c r="AI85" s="13"/>
      <c r="AJ85" s="11"/>
      <c r="AK85" s="11"/>
      <c r="AL85" s="13"/>
      <c r="AM85" s="13"/>
      <c r="AN85" s="11"/>
      <c r="AO85" s="11"/>
    </row>
    <row r="86" spans="1:41" x14ac:dyDescent="0.3">
      <c r="A86" s="2">
        <v>81</v>
      </c>
      <c r="B86" s="188"/>
      <c r="C86" s="7" t="s">
        <v>237</v>
      </c>
      <c r="D86" s="19" t="s">
        <v>134</v>
      </c>
      <c r="E86" s="19"/>
      <c r="F86" s="17"/>
      <c r="G86" s="17" t="s">
        <v>238</v>
      </c>
      <c r="H86" s="22"/>
      <c r="I86" s="22"/>
      <c r="J86" s="21" t="s">
        <v>68</v>
      </c>
      <c r="K86" s="13"/>
      <c r="L86" s="11"/>
      <c r="M86" s="11"/>
      <c r="N86" s="13"/>
      <c r="O86" s="13"/>
      <c r="P86" s="11"/>
      <c r="Q86" s="11"/>
      <c r="R86" s="13"/>
      <c r="S86" s="13"/>
      <c r="T86" s="11"/>
      <c r="U86" s="11"/>
      <c r="V86" s="13"/>
      <c r="W86" s="13"/>
      <c r="X86" s="11"/>
      <c r="Y86" s="11"/>
      <c r="Z86" s="13"/>
      <c r="AA86" s="13"/>
      <c r="AB86" s="11"/>
      <c r="AC86" s="11"/>
      <c r="AD86" s="13"/>
      <c r="AE86" s="13"/>
      <c r="AF86" s="11"/>
      <c r="AG86" s="11"/>
      <c r="AH86" s="13"/>
      <c r="AI86" s="13"/>
      <c r="AJ86" s="11"/>
      <c r="AK86" s="11"/>
      <c r="AL86" s="13"/>
      <c r="AM86" s="13"/>
      <c r="AN86" s="11"/>
      <c r="AO86" s="11"/>
    </row>
    <row r="87" spans="1:41" x14ac:dyDescent="0.3">
      <c r="A87" s="2">
        <v>82</v>
      </c>
      <c r="B87" s="188"/>
      <c r="C87" s="7" t="s">
        <v>239</v>
      </c>
      <c r="D87" s="19" t="s">
        <v>134</v>
      </c>
      <c r="E87" s="19"/>
      <c r="F87" s="17"/>
      <c r="G87" s="17" t="s">
        <v>240</v>
      </c>
      <c r="H87" s="22"/>
      <c r="I87" s="22"/>
      <c r="J87" s="21" t="s">
        <v>68</v>
      </c>
      <c r="K87" s="13"/>
      <c r="L87" s="11"/>
      <c r="M87" s="11"/>
      <c r="N87" s="13"/>
      <c r="O87" s="13"/>
      <c r="P87" s="11"/>
      <c r="Q87" s="11"/>
      <c r="R87" s="13"/>
      <c r="S87" s="13"/>
      <c r="T87" s="11"/>
      <c r="U87" s="11"/>
      <c r="V87" s="13"/>
      <c r="W87" s="13"/>
      <c r="X87" s="11"/>
      <c r="Y87" s="11"/>
      <c r="Z87" s="13"/>
      <c r="AA87" s="13"/>
      <c r="AB87" s="11"/>
      <c r="AC87" s="11"/>
      <c r="AD87" s="13"/>
      <c r="AE87" s="13"/>
      <c r="AF87" s="11"/>
      <c r="AG87" s="11"/>
      <c r="AH87" s="13"/>
      <c r="AI87" s="13"/>
      <c r="AJ87" s="11"/>
      <c r="AK87" s="11"/>
      <c r="AL87" s="13"/>
      <c r="AM87" s="13"/>
      <c r="AN87" s="11"/>
      <c r="AO87" s="11"/>
    </row>
    <row r="88" spans="1:41" x14ac:dyDescent="0.3">
      <c r="A88" s="2">
        <v>83</v>
      </c>
      <c r="B88" s="188"/>
      <c r="C88" s="7" t="s">
        <v>241</v>
      </c>
      <c r="D88" s="19" t="s">
        <v>134</v>
      </c>
      <c r="E88" s="19"/>
      <c r="F88" s="17"/>
      <c r="G88" s="17" t="s">
        <v>242</v>
      </c>
      <c r="H88" s="22"/>
      <c r="I88" s="22"/>
      <c r="J88" s="21" t="s">
        <v>68</v>
      </c>
      <c r="K88" s="13"/>
      <c r="L88" s="11"/>
      <c r="M88" s="11"/>
      <c r="N88" s="13"/>
      <c r="O88" s="13"/>
      <c r="P88" s="11"/>
      <c r="Q88" s="11"/>
      <c r="R88" s="13"/>
      <c r="S88" s="13"/>
      <c r="T88" s="11"/>
      <c r="U88" s="11"/>
      <c r="V88" s="13"/>
      <c r="W88" s="13"/>
      <c r="X88" s="11"/>
      <c r="Y88" s="11"/>
      <c r="Z88" s="13"/>
      <c r="AA88" s="13"/>
      <c r="AB88" s="11"/>
      <c r="AC88" s="11"/>
      <c r="AD88" s="13"/>
      <c r="AE88" s="13"/>
      <c r="AF88" s="11"/>
      <c r="AG88" s="11"/>
      <c r="AH88" s="13"/>
      <c r="AI88" s="13"/>
      <c r="AJ88" s="11"/>
      <c r="AK88" s="11"/>
      <c r="AL88" s="13"/>
      <c r="AM88" s="13"/>
      <c r="AN88" s="11"/>
      <c r="AO88" s="11"/>
    </row>
    <row r="89" spans="1:41" x14ac:dyDescent="0.3">
      <c r="A89" s="2">
        <v>84</v>
      </c>
      <c r="B89" s="188"/>
      <c r="C89" s="7" t="s">
        <v>243</v>
      </c>
      <c r="D89" s="19" t="s">
        <v>134</v>
      </c>
      <c r="E89" s="19"/>
      <c r="F89" s="17"/>
      <c r="G89" s="17" t="s">
        <v>244</v>
      </c>
      <c r="H89" s="22"/>
      <c r="I89" s="22"/>
      <c r="J89" s="21" t="s">
        <v>68</v>
      </c>
      <c r="K89" s="13"/>
      <c r="L89" s="11"/>
      <c r="M89" s="11"/>
      <c r="N89" s="13"/>
      <c r="O89" s="13"/>
      <c r="P89" s="11"/>
      <c r="Q89" s="11"/>
      <c r="R89" s="13"/>
      <c r="S89" s="13"/>
      <c r="T89" s="11"/>
      <c r="U89" s="11"/>
      <c r="V89" s="13"/>
      <c r="W89" s="13"/>
      <c r="X89" s="11"/>
      <c r="Y89" s="11"/>
      <c r="Z89" s="13"/>
      <c r="AA89" s="13"/>
      <c r="AB89" s="11"/>
      <c r="AC89" s="11"/>
      <c r="AD89" s="13"/>
      <c r="AE89" s="13"/>
      <c r="AF89" s="11"/>
      <c r="AG89" s="11"/>
      <c r="AH89" s="13"/>
      <c r="AI89" s="13"/>
      <c r="AJ89" s="11"/>
      <c r="AK89" s="11"/>
      <c r="AL89" s="13"/>
      <c r="AM89" s="13"/>
      <c r="AN89" s="11"/>
      <c r="AO89" s="11"/>
    </row>
    <row r="90" spans="1:41" ht="26" x14ac:dyDescent="0.3">
      <c r="A90" s="2">
        <v>85</v>
      </c>
      <c r="B90" s="188"/>
      <c r="C90" s="7" t="s">
        <v>245</v>
      </c>
      <c r="D90" s="19" t="s">
        <v>64</v>
      </c>
      <c r="E90" s="19">
        <v>1000</v>
      </c>
      <c r="F90" s="17"/>
      <c r="G90" s="17" t="s">
        <v>246</v>
      </c>
      <c r="H90" s="22"/>
      <c r="I90" s="22"/>
      <c r="J90" s="21" t="s">
        <v>68</v>
      </c>
      <c r="K90" s="13"/>
      <c r="L90" s="11"/>
      <c r="M90" s="11"/>
      <c r="N90" s="13"/>
      <c r="O90" s="13"/>
      <c r="P90" s="11"/>
      <c r="Q90" s="11"/>
      <c r="R90" s="13"/>
      <c r="S90" s="13"/>
      <c r="T90" s="11"/>
      <c r="U90" s="11"/>
      <c r="V90" s="13"/>
      <c r="W90" s="13"/>
      <c r="X90" s="11"/>
      <c r="Y90" s="11"/>
      <c r="Z90" s="13"/>
      <c r="AA90" s="13"/>
      <c r="AB90" s="11"/>
      <c r="AC90" s="11"/>
      <c r="AD90" s="13"/>
      <c r="AE90" s="13"/>
      <c r="AF90" s="11"/>
      <c r="AG90" s="11"/>
      <c r="AH90" s="13"/>
      <c r="AI90" s="13"/>
      <c r="AJ90" s="11"/>
      <c r="AK90" s="11"/>
      <c r="AL90" s="13"/>
      <c r="AM90" s="13"/>
      <c r="AN90" s="11"/>
      <c r="AO90" s="11"/>
    </row>
    <row r="91" spans="1:41" x14ac:dyDescent="0.3">
      <c r="A91" s="189" t="s">
        <v>247</v>
      </c>
      <c r="B91" s="190"/>
      <c r="C91" s="190"/>
      <c r="D91" s="190"/>
      <c r="E91" s="190"/>
      <c r="F91" s="190"/>
      <c r="G91" s="190"/>
      <c r="H91" s="22"/>
      <c r="I91" s="22"/>
      <c r="J91" s="13"/>
      <c r="K91" s="13"/>
      <c r="L91" s="11"/>
      <c r="M91" s="11"/>
      <c r="N91" s="13"/>
      <c r="O91" s="13"/>
      <c r="P91" s="11"/>
      <c r="Q91" s="11"/>
      <c r="R91" s="13"/>
      <c r="S91" s="13"/>
      <c r="T91" s="11"/>
      <c r="U91" s="11"/>
      <c r="V91" s="13"/>
      <c r="W91" s="13"/>
      <c r="X91" s="11"/>
      <c r="Y91" s="11"/>
      <c r="Z91" s="13"/>
      <c r="AA91" s="13"/>
      <c r="AB91" s="11"/>
      <c r="AC91" s="11"/>
      <c r="AD91" s="13"/>
      <c r="AE91" s="13"/>
      <c r="AF91" s="11"/>
      <c r="AG91" s="11"/>
      <c r="AH91" s="13"/>
      <c r="AI91" s="13"/>
      <c r="AJ91" s="11"/>
      <c r="AK91" s="11"/>
      <c r="AL91" s="13"/>
      <c r="AM91" s="13"/>
      <c r="AN91" s="11"/>
      <c r="AO91" s="11"/>
    </row>
    <row r="92" spans="1:41" ht="40" customHeight="1" x14ac:dyDescent="0.35">
      <c r="A92" s="3">
        <v>86</v>
      </c>
      <c r="B92" s="188" t="s">
        <v>248</v>
      </c>
      <c r="C92" s="2" t="s">
        <v>249</v>
      </c>
      <c r="D92" s="59" t="s">
        <v>250</v>
      </c>
      <c r="E92" s="60"/>
      <c r="F92" s="61" t="s">
        <v>251</v>
      </c>
      <c r="G92" s="61" t="s">
        <v>252</v>
      </c>
      <c r="H92" s="22"/>
      <c r="I92" s="22"/>
      <c r="J92" s="21" t="s">
        <v>68</v>
      </c>
      <c r="K92" s="13"/>
      <c r="L92" s="11"/>
      <c r="M92" s="11"/>
      <c r="N92" s="13"/>
      <c r="O92" s="13"/>
      <c r="P92" s="11"/>
      <c r="Q92" s="11"/>
      <c r="R92" s="13"/>
      <c r="S92" s="13"/>
      <c r="T92" s="11"/>
      <c r="U92" s="11"/>
      <c r="V92" s="13"/>
      <c r="W92" s="13"/>
      <c r="X92" s="11"/>
      <c r="Y92" s="11"/>
      <c r="Z92" s="13"/>
      <c r="AA92" s="13"/>
      <c r="AB92" s="11"/>
      <c r="AC92" s="11"/>
      <c r="AD92" s="13"/>
      <c r="AE92" s="13"/>
      <c r="AF92" s="11"/>
      <c r="AG92" s="11"/>
      <c r="AH92" s="13"/>
      <c r="AI92" s="13"/>
      <c r="AJ92" s="11"/>
      <c r="AK92" s="11"/>
      <c r="AL92" s="13"/>
      <c r="AM92" s="13"/>
      <c r="AN92" s="11"/>
      <c r="AO92" s="11"/>
    </row>
    <row r="93" spans="1:41" ht="40" customHeight="1" x14ac:dyDescent="0.35">
      <c r="A93" s="3">
        <v>87</v>
      </c>
      <c r="B93" s="188"/>
      <c r="C93" s="2" t="s">
        <v>253</v>
      </c>
      <c r="D93" s="59" t="s">
        <v>254</v>
      </c>
      <c r="E93" s="60"/>
      <c r="F93" s="61" t="s">
        <v>75</v>
      </c>
      <c r="G93" s="61" t="s">
        <v>255</v>
      </c>
      <c r="H93" s="22"/>
      <c r="I93" s="22"/>
      <c r="J93" s="21" t="s">
        <v>68</v>
      </c>
      <c r="K93" s="13"/>
      <c r="L93" s="11"/>
      <c r="M93" s="11"/>
      <c r="N93" s="13"/>
      <c r="O93" s="13"/>
      <c r="P93" s="11"/>
      <c r="Q93" s="11"/>
      <c r="R93" s="13"/>
      <c r="S93" s="13"/>
      <c r="T93" s="11"/>
      <c r="U93" s="11"/>
      <c r="V93" s="13"/>
      <c r="W93" s="13"/>
      <c r="X93" s="11"/>
      <c r="Y93" s="11"/>
      <c r="Z93" s="13"/>
      <c r="AA93" s="13"/>
      <c r="AB93" s="11"/>
      <c r="AC93" s="11"/>
      <c r="AD93" s="13"/>
      <c r="AE93" s="13"/>
      <c r="AF93" s="11"/>
      <c r="AG93" s="11"/>
      <c r="AH93" s="13"/>
      <c r="AI93" s="13"/>
      <c r="AJ93" s="11"/>
      <c r="AK93" s="11"/>
      <c r="AL93" s="13"/>
      <c r="AM93" s="13"/>
      <c r="AN93" s="11"/>
      <c r="AO93" s="11"/>
    </row>
    <row r="94" spans="1:41" ht="43.5" x14ac:dyDescent="0.35">
      <c r="A94" s="3">
        <v>88</v>
      </c>
      <c r="B94" s="196" t="s">
        <v>256</v>
      </c>
      <c r="C94" s="8" t="s">
        <v>257</v>
      </c>
      <c r="D94" s="68" t="s">
        <v>160</v>
      </c>
      <c r="E94" s="20"/>
      <c r="F94" s="57" t="s">
        <v>161</v>
      </c>
      <c r="G94" s="57" t="s">
        <v>258</v>
      </c>
      <c r="H94" s="22"/>
      <c r="I94" s="22"/>
      <c r="J94" s="13" t="s">
        <v>66</v>
      </c>
      <c r="K94" s="13"/>
      <c r="L94" s="11"/>
      <c r="M94" s="11"/>
      <c r="N94" s="13"/>
      <c r="O94" s="13"/>
      <c r="P94" s="11"/>
      <c r="Q94" s="11"/>
      <c r="R94" s="13"/>
      <c r="S94" s="13"/>
      <c r="T94" s="11"/>
      <c r="U94" s="11"/>
      <c r="V94" s="13"/>
      <c r="W94" s="13"/>
      <c r="X94" s="11"/>
      <c r="Y94" s="11"/>
      <c r="Z94" s="13"/>
      <c r="AA94" s="13"/>
      <c r="AB94" s="11"/>
      <c r="AC94" s="11"/>
      <c r="AD94" s="13"/>
      <c r="AE94" s="13"/>
      <c r="AF94" s="11"/>
      <c r="AG94" s="11"/>
      <c r="AH94" s="13"/>
      <c r="AI94" s="13"/>
      <c r="AJ94" s="11"/>
      <c r="AK94" s="11"/>
      <c r="AL94" s="13"/>
      <c r="AM94" s="13"/>
      <c r="AN94" s="11"/>
      <c r="AO94" s="11"/>
    </row>
    <row r="95" spans="1:41" x14ac:dyDescent="0.3">
      <c r="A95" s="3">
        <v>89</v>
      </c>
      <c r="B95" s="196"/>
      <c r="C95" s="8" t="s">
        <v>259</v>
      </c>
      <c r="D95" s="20" t="s">
        <v>64</v>
      </c>
      <c r="E95" s="20">
        <v>100</v>
      </c>
      <c r="F95" s="57" t="s">
        <v>142</v>
      </c>
      <c r="G95" s="57" t="s">
        <v>260</v>
      </c>
      <c r="H95" s="22"/>
      <c r="I95" s="22"/>
      <c r="J95" s="13" t="s">
        <v>66</v>
      </c>
      <c r="K95" s="13"/>
      <c r="L95" s="11"/>
      <c r="M95" s="11"/>
      <c r="N95" s="13"/>
      <c r="O95" s="13"/>
      <c r="P95" s="11"/>
      <c r="Q95" s="11"/>
      <c r="R95" s="13"/>
      <c r="S95" s="13"/>
      <c r="T95" s="11"/>
      <c r="U95" s="11"/>
      <c r="V95" s="13"/>
      <c r="W95" s="13"/>
      <c r="X95" s="11"/>
      <c r="Y95" s="11"/>
      <c r="Z95" s="13"/>
      <c r="AA95" s="13"/>
      <c r="AB95" s="11"/>
      <c r="AC95" s="11"/>
      <c r="AD95" s="13"/>
      <c r="AE95" s="13"/>
      <c r="AF95" s="11"/>
      <c r="AG95" s="11"/>
      <c r="AH95" s="13"/>
      <c r="AI95" s="13"/>
      <c r="AJ95" s="11"/>
      <c r="AK95" s="11"/>
      <c r="AL95" s="13"/>
      <c r="AM95" s="13"/>
      <c r="AN95" s="11"/>
      <c r="AO95" s="11"/>
    </row>
    <row r="96" spans="1:41" x14ac:dyDescent="0.3">
      <c r="A96" s="3">
        <v>90</v>
      </c>
      <c r="B96" s="196"/>
      <c r="C96" s="8" t="s">
        <v>261</v>
      </c>
      <c r="D96" s="20" t="s">
        <v>64</v>
      </c>
      <c r="E96" s="20">
        <v>100</v>
      </c>
      <c r="F96" s="57" t="s">
        <v>262</v>
      </c>
      <c r="G96" s="57" t="s">
        <v>263</v>
      </c>
      <c r="H96" s="22"/>
      <c r="I96" s="22"/>
      <c r="J96" s="13" t="s">
        <v>66</v>
      </c>
      <c r="K96" s="13"/>
      <c r="L96" s="11"/>
      <c r="M96" s="11"/>
      <c r="N96" s="13"/>
      <c r="O96" s="13"/>
      <c r="P96" s="11"/>
      <c r="Q96" s="11"/>
      <c r="R96" s="13"/>
      <c r="S96" s="13"/>
      <c r="T96" s="11"/>
      <c r="U96" s="11"/>
      <c r="V96" s="13"/>
      <c r="W96" s="13"/>
      <c r="X96" s="11"/>
      <c r="Y96" s="11"/>
      <c r="Z96" s="13"/>
      <c r="AA96" s="13"/>
      <c r="AB96" s="11"/>
      <c r="AC96" s="11"/>
      <c r="AD96" s="13"/>
      <c r="AE96" s="13"/>
      <c r="AF96" s="11"/>
      <c r="AG96" s="11"/>
      <c r="AH96" s="13"/>
      <c r="AI96" s="13"/>
      <c r="AJ96" s="11"/>
      <c r="AK96" s="11"/>
      <c r="AL96" s="13"/>
      <c r="AM96" s="13"/>
      <c r="AN96" s="11"/>
      <c r="AO96" s="11"/>
    </row>
    <row r="97" spans="1:41" x14ac:dyDescent="0.3">
      <c r="A97" s="3">
        <v>91</v>
      </c>
      <c r="B97" s="196"/>
      <c r="C97" s="8" t="s">
        <v>264</v>
      </c>
      <c r="D97" s="20" t="s">
        <v>89</v>
      </c>
      <c r="E97" s="20"/>
      <c r="F97" s="57" t="s">
        <v>265</v>
      </c>
      <c r="G97" s="57" t="s">
        <v>266</v>
      </c>
      <c r="H97" s="22"/>
      <c r="I97" s="22"/>
      <c r="J97" s="13" t="s">
        <v>66</v>
      </c>
      <c r="K97" s="13"/>
      <c r="L97" s="11"/>
      <c r="M97" s="11"/>
      <c r="N97" s="13"/>
      <c r="O97" s="13"/>
      <c r="P97" s="11"/>
      <c r="Q97" s="11"/>
      <c r="R97" s="13"/>
      <c r="S97" s="13"/>
      <c r="T97" s="11"/>
      <c r="U97" s="11"/>
      <c r="V97" s="13"/>
      <c r="W97" s="13"/>
      <c r="X97" s="11"/>
      <c r="Y97" s="11"/>
      <c r="Z97" s="13"/>
      <c r="AA97" s="13"/>
      <c r="AB97" s="11"/>
      <c r="AC97" s="11"/>
      <c r="AD97" s="13"/>
      <c r="AE97" s="13"/>
      <c r="AF97" s="11"/>
      <c r="AG97" s="11"/>
      <c r="AH97" s="13"/>
      <c r="AI97" s="13"/>
      <c r="AJ97" s="11"/>
      <c r="AK97" s="11"/>
      <c r="AL97" s="13"/>
      <c r="AM97" s="13"/>
      <c r="AN97" s="11"/>
      <c r="AO97" s="11"/>
    </row>
    <row r="98" spans="1:41" x14ac:dyDescent="0.3">
      <c r="A98" s="3">
        <v>92</v>
      </c>
      <c r="B98" s="196"/>
      <c r="C98" s="8" t="s">
        <v>267</v>
      </c>
      <c r="D98" s="20" t="s">
        <v>81</v>
      </c>
      <c r="E98" s="20"/>
      <c r="F98" s="57" t="s">
        <v>149</v>
      </c>
      <c r="G98" s="57" t="s">
        <v>268</v>
      </c>
      <c r="H98" s="22"/>
      <c r="I98" s="22"/>
      <c r="J98" s="13" t="s">
        <v>66</v>
      </c>
      <c r="K98" s="13"/>
      <c r="L98" s="11"/>
      <c r="M98" s="11"/>
      <c r="N98" s="13"/>
      <c r="O98" s="13"/>
      <c r="P98" s="11"/>
      <c r="Q98" s="11"/>
      <c r="R98" s="13"/>
      <c r="S98" s="13"/>
      <c r="T98" s="11"/>
      <c r="U98" s="11"/>
      <c r="V98" s="13"/>
      <c r="W98" s="13"/>
      <c r="X98" s="11"/>
      <c r="Y98" s="11"/>
      <c r="Z98" s="13"/>
      <c r="AA98" s="13"/>
      <c r="AB98" s="11"/>
      <c r="AC98" s="11"/>
      <c r="AD98" s="13"/>
      <c r="AE98" s="13"/>
      <c r="AF98" s="11"/>
      <c r="AG98" s="11"/>
      <c r="AH98" s="13"/>
      <c r="AI98" s="13"/>
      <c r="AJ98" s="11"/>
      <c r="AK98" s="11"/>
      <c r="AL98" s="13"/>
      <c r="AM98" s="13"/>
      <c r="AN98" s="11"/>
      <c r="AO98" s="11"/>
    </row>
    <row r="99" spans="1:41" ht="33" customHeight="1" x14ac:dyDescent="0.3">
      <c r="A99" s="3">
        <v>93</v>
      </c>
      <c r="B99" s="196"/>
      <c r="C99" s="8" t="s">
        <v>269</v>
      </c>
      <c r="D99" s="20" t="s">
        <v>134</v>
      </c>
      <c r="E99" s="20"/>
      <c r="F99" s="57"/>
      <c r="G99" s="57" t="s">
        <v>270</v>
      </c>
      <c r="H99" s="22"/>
      <c r="I99" s="22"/>
      <c r="J99" s="13" t="s">
        <v>66</v>
      </c>
      <c r="K99" s="13"/>
      <c r="L99" s="11"/>
      <c r="M99" s="11"/>
      <c r="N99" s="13"/>
      <c r="O99" s="13"/>
      <c r="P99" s="11"/>
      <c r="Q99" s="11"/>
      <c r="R99" s="13"/>
      <c r="S99" s="13"/>
      <c r="T99" s="11"/>
      <c r="U99" s="11"/>
      <c r="V99" s="13"/>
      <c r="W99" s="13"/>
      <c r="X99" s="11"/>
      <c r="Y99" s="11"/>
      <c r="Z99" s="13"/>
      <c r="AA99" s="13"/>
      <c r="AB99" s="11"/>
      <c r="AC99" s="11"/>
      <c r="AD99" s="13"/>
      <c r="AE99" s="13"/>
      <c r="AF99" s="11"/>
      <c r="AG99" s="11"/>
      <c r="AH99" s="13"/>
      <c r="AI99" s="13"/>
      <c r="AJ99" s="11"/>
      <c r="AK99" s="11"/>
      <c r="AL99" s="13"/>
      <c r="AM99" s="13"/>
      <c r="AN99" s="11"/>
      <c r="AO99" s="11"/>
    </row>
    <row r="100" spans="1:41" ht="27.75" customHeight="1" x14ac:dyDescent="0.3">
      <c r="A100" s="3">
        <v>94</v>
      </c>
      <c r="B100" s="196"/>
      <c r="C100" s="8" t="s">
        <v>271</v>
      </c>
      <c r="D100" s="20" t="s">
        <v>134</v>
      </c>
      <c r="E100" s="20"/>
      <c r="F100" s="57"/>
      <c r="G100" s="57" t="s">
        <v>272</v>
      </c>
      <c r="H100" s="22"/>
      <c r="I100" s="22"/>
      <c r="J100" s="13" t="s">
        <v>66</v>
      </c>
      <c r="K100" s="13"/>
      <c r="L100" s="11"/>
      <c r="M100" s="11"/>
      <c r="N100" s="13"/>
      <c r="O100" s="13"/>
      <c r="P100" s="11"/>
      <c r="Q100" s="11"/>
      <c r="R100" s="13"/>
      <c r="S100" s="13"/>
      <c r="T100" s="11"/>
      <c r="U100" s="11"/>
      <c r="V100" s="13"/>
      <c r="W100" s="13"/>
      <c r="X100" s="11"/>
      <c r="Y100" s="11"/>
      <c r="Z100" s="13"/>
      <c r="AA100" s="13"/>
      <c r="AB100" s="11"/>
      <c r="AC100" s="11"/>
      <c r="AD100" s="13"/>
      <c r="AE100" s="13"/>
      <c r="AF100" s="11"/>
      <c r="AG100" s="11"/>
      <c r="AH100" s="13"/>
      <c r="AI100" s="13"/>
      <c r="AJ100" s="11"/>
      <c r="AK100" s="11"/>
      <c r="AL100" s="13"/>
      <c r="AM100" s="13"/>
      <c r="AN100" s="11"/>
      <c r="AO100" s="11"/>
    </row>
    <row r="101" spans="1:41" ht="29" x14ac:dyDescent="0.35">
      <c r="A101" s="3">
        <v>95</v>
      </c>
      <c r="B101" s="196"/>
      <c r="C101" s="74" t="s">
        <v>273</v>
      </c>
      <c r="D101" s="68" t="s">
        <v>254</v>
      </c>
      <c r="E101" s="75"/>
      <c r="F101" s="76" t="s">
        <v>75</v>
      </c>
      <c r="G101" s="57" t="s">
        <v>255</v>
      </c>
      <c r="H101" s="22"/>
      <c r="I101" s="22"/>
      <c r="J101" s="13" t="s">
        <v>66</v>
      </c>
      <c r="K101" s="13"/>
      <c r="L101" s="11"/>
      <c r="M101" s="11"/>
      <c r="N101" s="13"/>
      <c r="O101" s="13"/>
      <c r="P101" s="11"/>
      <c r="Q101" s="11"/>
      <c r="R101" s="13"/>
      <c r="S101" s="13"/>
      <c r="T101" s="11"/>
      <c r="U101" s="11"/>
      <c r="V101" s="13"/>
      <c r="W101" s="13"/>
      <c r="X101" s="11"/>
      <c r="Y101" s="11"/>
      <c r="Z101" s="13"/>
      <c r="AA101" s="13"/>
      <c r="AB101" s="11"/>
      <c r="AC101" s="11"/>
      <c r="AD101" s="13"/>
      <c r="AE101" s="13"/>
      <c r="AF101" s="11"/>
      <c r="AG101" s="11"/>
      <c r="AH101" s="13"/>
      <c r="AI101" s="13"/>
      <c r="AJ101" s="11"/>
      <c r="AK101" s="11"/>
      <c r="AL101" s="13"/>
      <c r="AM101" s="13"/>
      <c r="AN101" s="11"/>
      <c r="AO101" s="11"/>
    </row>
    <row r="102" spans="1:41" x14ac:dyDescent="0.3">
      <c r="A102" s="3">
        <v>96</v>
      </c>
      <c r="B102" s="196"/>
      <c r="C102" s="74" t="s">
        <v>274</v>
      </c>
      <c r="D102" s="75" t="s">
        <v>81</v>
      </c>
      <c r="E102" s="75"/>
      <c r="F102" s="76" t="s">
        <v>149</v>
      </c>
      <c r="G102" s="57" t="s">
        <v>275</v>
      </c>
      <c r="H102" s="22"/>
      <c r="I102" s="22"/>
      <c r="J102" s="13" t="s">
        <v>66</v>
      </c>
      <c r="K102" s="13"/>
      <c r="L102" s="11"/>
      <c r="M102" s="11"/>
      <c r="N102" s="13"/>
      <c r="O102" s="13"/>
      <c r="P102" s="11"/>
      <c r="Q102" s="11"/>
      <c r="R102" s="13"/>
      <c r="S102" s="13"/>
      <c r="T102" s="11"/>
      <c r="U102" s="11"/>
      <c r="V102" s="13"/>
      <c r="W102" s="13"/>
      <c r="X102" s="11"/>
      <c r="Y102" s="11"/>
      <c r="Z102" s="13"/>
      <c r="AA102" s="13"/>
      <c r="AB102" s="11"/>
      <c r="AC102" s="11"/>
      <c r="AD102" s="13"/>
      <c r="AE102" s="13"/>
      <c r="AF102" s="11"/>
      <c r="AG102" s="11"/>
      <c r="AH102" s="13"/>
      <c r="AI102" s="13"/>
      <c r="AJ102" s="11"/>
      <c r="AK102" s="11"/>
      <c r="AL102" s="13"/>
      <c r="AM102" s="13"/>
      <c r="AN102" s="11"/>
      <c r="AO102" s="11"/>
    </row>
    <row r="103" spans="1:41" ht="29" x14ac:dyDescent="0.35">
      <c r="A103" s="3">
        <v>97</v>
      </c>
      <c r="B103" s="196"/>
      <c r="C103" s="74" t="s">
        <v>276</v>
      </c>
      <c r="D103" s="68" t="s">
        <v>254</v>
      </c>
      <c r="E103" s="75"/>
      <c r="F103" s="76" t="s">
        <v>75</v>
      </c>
      <c r="G103" s="57" t="s">
        <v>255</v>
      </c>
      <c r="H103" s="22"/>
      <c r="I103" s="22"/>
      <c r="J103" s="13" t="s">
        <v>66</v>
      </c>
      <c r="K103" s="13"/>
      <c r="L103" s="11"/>
      <c r="M103" s="11"/>
      <c r="N103" s="13"/>
      <c r="O103" s="13"/>
      <c r="P103" s="11"/>
      <c r="Q103" s="11"/>
      <c r="R103" s="13"/>
      <c r="S103" s="13"/>
      <c r="T103" s="11"/>
      <c r="U103" s="11"/>
      <c r="V103" s="13"/>
      <c r="W103" s="13"/>
      <c r="X103" s="11"/>
      <c r="Y103" s="11"/>
      <c r="Z103" s="13"/>
      <c r="AA103" s="13"/>
      <c r="AB103" s="11"/>
      <c r="AC103" s="11"/>
      <c r="AD103" s="13"/>
      <c r="AE103" s="13"/>
      <c r="AF103" s="11"/>
      <c r="AG103" s="11"/>
      <c r="AH103" s="13"/>
      <c r="AI103" s="13"/>
      <c r="AJ103" s="11"/>
      <c r="AK103" s="11"/>
      <c r="AL103" s="13"/>
      <c r="AM103" s="13"/>
      <c r="AN103" s="11"/>
      <c r="AO103" s="11"/>
    </row>
    <row r="104" spans="1:41" x14ac:dyDescent="0.3">
      <c r="A104" s="3">
        <v>98</v>
      </c>
      <c r="B104" s="196"/>
      <c r="C104" s="8" t="s">
        <v>277</v>
      </c>
      <c r="D104" s="20" t="s">
        <v>81</v>
      </c>
      <c r="E104" s="20"/>
      <c r="F104" s="57" t="s">
        <v>149</v>
      </c>
      <c r="G104" s="57" t="s">
        <v>278</v>
      </c>
      <c r="H104" s="22"/>
      <c r="I104" s="22"/>
      <c r="J104" s="13" t="s">
        <v>66</v>
      </c>
      <c r="K104" s="13"/>
      <c r="L104" s="11"/>
      <c r="M104" s="11"/>
      <c r="N104" s="13"/>
      <c r="O104" s="13"/>
      <c r="P104" s="11"/>
      <c r="Q104" s="11"/>
      <c r="R104" s="13"/>
      <c r="S104" s="13"/>
      <c r="T104" s="11"/>
      <c r="U104" s="11"/>
      <c r="V104" s="13"/>
      <c r="W104" s="13"/>
      <c r="X104" s="11"/>
      <c r="Y104" s="11"/>
      <c r="Z104" s="13"/>
      <c r="AA104" s="13"/>
      <c r="AB104" s="11"/>
      <c r="AC104" s="11"/>
      <c r="AD104" s="13"/>
      <c r="AE104" s="13"/>
      <c r="AF104" s="11"/>
      <c r="AG104" s="11"/>
      <c r="AH104" s="13"/>
      <c r="AI104" s="13"/>
      <c r="AJ104" s="11"/>
      <c r="AK104" s="11"/>
      <c r="AL104" s="13"/>
      <c r="AM104" s="13"/>
      <c r="AN104" s="11"/>
      <c r="AO104" s="11"/>
    </row>
    <row r="105" spans="1:41" x14ac:dyDescent="0.3">
      <c r="A105" s="3">
        <v>99</v>
      </c>
      <c r="B105" s="196"/>
      <c r="C105" s="8" t="s">
        <v>279</v>
      </c>
      <c r="D105" s="20" t="s">
        <v>64</v>
      </c>
      <c r="E105" s="20">
        <v>100</v>
      </c>
      <c r="F105" s="57"/>
      <c r="G105" s="57" t="s">
        <v>280</v>
      </c>
      <c r="H105" s="22"/>
      <c r="I105" s="22"/>
      <c r="J105" s="13" t="s">
        <v>66</v>
      </c>
      <c r="K105" s="13"/>
      <c r="L105" s="11"/>
      <c r="M105" s="11"/>
      <c r="N105" s="13"/>
      <c r="O105" s="13"/>
      <c r="P105" s="11"/>
      <c r="Q105" s="11"/>
      <c r="R105" s="13"/>
      <c r="S105" s="13"/>
      <c r="T105" s="11"/>
      <c r="U105" s="11"/>
      <c r="V105" s="13"/>
      <c r="W105" s="13"/>
      <c r="X105" s="11"/>
      <c r="Y105" s="11"/>
      <c r="Z105" s="13"/>
      <c r="AA105" s="13"/>
      <c r="AB105" s="11"/>
      <c r="AC105" s="11"/>
      <c r="AD105" s="13"/>
      <c r="AE105" s="13"/>
      <c r="AF105" s="11"/>
      <c r="AG105" s="11"/>
      <c r="AH105" s="13"/>
      <c r="AI105" s="13"/>
      <c r="AJ105" s="11"/>
      <c r="AK105" s="11"/>
      <c r="AL105" s="13"/>
      <c r="AM105" s="13"/>
      <c r="AN105" s="11"/>
      <c r="AO105" s="11"/>
    </row>
    <row r="106" spans="1:41" ht="29" x14ac:dyDescent="0.35">
      <c r="A106" s="3">
        <v>100</v>
      </c>
      <c r="B106" s="196"/>
      <c r="C106" s="74" t="s">
        <v>281</v>
      </c>
      <c r="D106" s="68" t="s">
        <v>254</v>
      </c>
      <c r="E106" s="75"/>
      <c r="F106" s="76" t="s">
        <v>75</v>
      </c>
      <c r="G106" s="57" t="s">
        <v>282</v>
      </c>
      <c r="H106" s="22"/>
      <c r="I106" s="22"/>
      <c r="J106" s="13" t="s">
        <v>66</v>
      </c>
      <c r="K106" s="13"/>
      <c r="L106" s="11"/>
      <c r="M106" s="11"/>
      <c r="N106" s="13"/>
      <c r="O106" s="13"/>
      <c r="P106" s="11"/>
      <c r="Q106" s="11"/>
      <c r="R106" s="13"/>
      <c r="S106" s="13"/>
      <c r="T106" s="11"/>
      <c r="U106" s="11"/>
      <c r="V106" s="13"/>
      <c r="W106" s="13"/>
      <c r="X106" s="11"/>
      <c r="Y106" s="11"/>
      <c r="Z106" s="13"/>
      <c r="AA106" s="13"/>
      <c r="AB106" s="11"/>
      <c r="AC106" s="11"/>
      <c r="AD106" s="13"/>
      <c r="AE106" s="13"/>
      <c r="AF106" s="11"/>
      <c r="AG106" s="11"/>
      <c r="AH106" s="13"/>
      <c r="AI106" s="13"/>
      <c r="AJ106" s="11"/>
      <c r="AK106" s="11"/>
      <c r="AL106" s="13"/>
      <c r="AM106" s="13"/>
      <c r="AN106" s="11"/>
      <c r="AO106" s="11"/>
    </row>
    <row r="107" spans="1:41" x14ac:dyDescent="0.3">
      <c r="A107" s="3">
        <v>101</v>
      </c>
      <c r="B107" s="196"/>
      <c r="C107" s="8" t="s">
        <v>283</v>
      </c>
      <c r="D107" s="20" t="s">
        <v>64</v>
      </c>
      <c r="E107" s="20">
        <v>100</v>
      </c>
      <c r="F107" s="57"/>
      <c r="G107" s="57" t="s">
        <v>284</v>
      </c>
      <c r="H107" s="22"/>
      <c r="I107" s="22"/>
      <c r="J107" s="13" t="s">
        <v>66</v>
      </c>
      <c r="K107" s="13"/>
      <c r="L107" s="11"/>
      <c r="M107" s="11"/>
      <c r="N107" s="13"/>
      <c r="O107" s="13"/>
      <c r="P107" s="11"/>
      <c r="Q107" s="11"/>
      <c r="R107" s="13"/>
      <c r="S107" s="13"/>
      <c r="T107" s="11"/>
      <c r="U107" s="11"/>
      <c r="V107" s="13"/>
      <c r="W107" s="13"/>
      <c r="X107" s="11"/>
      <c r="Y107" s="11"/>
      <c r="Z107" s="13"/>
      <c r="AA107" s="13"/>
      <c r="AB107" s="11"/>
      <c r="AC107" s="11"/>
      <c r="AD107" s="13"/>
      <c r="AE107" s="13"/>
      <c r="AF107" s="11"/>
      <c r="AG107" s="11"/>
      <c r="AH107" s="13"/>
      <c r="AI107" s="13"/>
      <c r="AJ107" s="11"/>
      <c r="AK107" s="11"/>
      <c r="AL107" s="13"/>
      <c r="AM107" s="13"/>
      <c r="AN107" s="11"/>
      <c r="AO107" s="11"/>
    </row>
    <row r="108" spans="1:41" ht="43.5" x14ac:dyDescent="0.35">
      <c r="A108" s="3">
        <v>102</v>
      </c>
      <c r="B108" s="196"/>
      <c r="C108" s="74" t="s">
        <v>285</v>
      </c>
      <c r="D108" s="68" t="s">
        <v>160</v>
      </c>
      <c r="E108" s="75"/>
      <c r="F108" s="76" t="s">
        <v>161</v>
      </c>
      <c r="G108" s="57" t="s">
        <v>286</v>
      </c>
      <c r="H108" s="22"/>
      <c r="I108" s="22"/>
      <c r="J108" s="13" t="s">
        <v>66</v>
      </c>
      <c r="K108" s="13"/>
      <c r="L108" s="11"/>
      <c r="M108" s="11"/>
      <c r="N108" s="13"/>
      <c r="O108" s="13"/>
      <c r="P108" s="11"/>
      <c r="Q108" s="11"/>
      <c r="R108" s="13"/>
      <c r="S108" s="13"/>
      <c r="T108" s="11"/>
      <c r="U108" s="11"/>
      <c r="V108" s="13"/>
      <c r="W108" s="13"/>
      <c r="X108" s="11"/>
      <c r="Y108" s="11"/>
      <c r="Z108" s="13"/>
      <c r="AA108" s="13"/>
      <c r="AB108" s="11"/>
      <c r="AC108" s="11"/>
      <c r="AD108" s="13"/>
      <c r="AE108" s="13"/>
      <c r="AF108" s="11"/>
      <c r="AG108" s="11"/>
      <c r="AH108" s="13"/>
      <c r="AI108" s="13"/>
      <c r="AJ108" s="11"/>
      <c r="AK108" s="11"/>
      <c r="AL108" s="13"/>
      <c r="AM108" s="13"/>
      <c r="AN108" s="11"/>
      <c r="AO108" s="11"/>
    </row>
    <row r="109" spans="1:41" x14ac:dyDescent="0.3">
      <c r="A109" s="3">
        <v>103</v>
      </c>
      <c r="B109" s="196"/>
      <c r="C109" s="74" t="s">
        <v>287</v>
      </c>
      <c r="D109" s="75" t="s">
        <v>64</v>
      </c>
      <c r="E109" s="75">
        <v>15</v>
      </c>
      <c r="F109" s="76" t="s">
        <v>164</v>
      </c>
      <c r="G109" s="57" t="s">
        <v>288</v>
      </c>
      <c r="H109" s="22"/>
      <c r="I109" s="22"/>
      <c r="J109" s="13" t="s">
        <v>66</v>
      </c>
      <c r="K109" s="13"/>
      <c r="L109" s="11"/>
      <c r="M109" s="11"/>
      <c r="N109" s="13"/>
      <c r="O109" s="13"/>
      <c r="P109" s="11"/>
      <c r="Q109" s="11"/>
      <c r="R109" s="13"/>
      <c r="S109" s="13"/>
      <c r="T109" s="11"/>
      <c r="U109" s="11"/>
      <c r="V109" s="13"/>
      <c r="W109" s="13"/>
      <c r="X109" s="11"/>
      <c r="Y109" s="11"/>
      <c r="Z109" s="13"/>
      <c r="AA109" s="13"/>
      <c r="AB109" s="11"/>
      <c r="AC109" s="11"/>
      <c r="AD109" s="13"/>
      <c r="AE109" s="13"/>
      <c r="AF109" s="11"/>
      <c r="AG109" s="11"/>
      <c r="AH109" s="13"/>
      <c r="AI109" s="13"/>
      <c r="AJ109" s="11"/>
      <c r="AK109" s="11"/>
      <c r="AL109" s="13"/>
      <c r="AM109" s="13"/>
      <c r="AN109" s="11"/>
      <c r="AO109" s="11"/>
    </row>
    <row r="110" spans="1:41" ht="43.5" x14ac:dyDescent="0.35">
      <c r="A110" s="3">
        <v>104</v>
      </c>
      <c r="B110" s="196"/>
      <c r="C110" s="74" t="s">
        <v>289</v>
      </c>
      <c r="D110" s="68" t="s">
        <v>160</v>
      </c>
      <c r="E110" s="75"/>
      <c r="F110" s="76" t="s">
        <v>161</v>
      </c>
      <c r="G110" s="57" t="s">
        <v>290</v>
      </c>
      <c r="H110" s="22"/>
      <c r="I110" s="22"/>
      <c r="J110" s="13" t="s">
        <v>66</v>
      </c>
      <c r="K110" s="13"/>
      <c r="L110" s="11"/>
      <c r="M110" s="11"/>
      <c r="N110" s="13"/>
      <c r="O110" s="13"/>
      <c r="P110" s="11"/>
      <c r="Q110" s="11"/>
      <c r="R110" s="13"/>
      <c r="S110" s="13"/>
      <c r="T110" s="11"/>
      <c r="U110" s="11"/>
      <c r="V110" s="13"/>
      <c r="W110" s="13"/>
      <c r="X110" s="11"/>
      <c r="Y110" s="11"/>
      <c r="Z110" s="13"/>
      <c r="AA110" s="13"/>
      <c r="AB110" s="11"/>
      <c r="AC110" s="11"/>
      <c r="AD110" s="13"/>
      <c r="AE110" s="13"/>
      <c r="AF110" s="11"/>
      <c r="AG110" s="11"/>
      <c r="AH110" s="13"/>
      <c r="AI110" s="13"/>
      <c r="AJ110" s="11"/>
      <c r="AK110" s="11"/>
      <c r="AL110" s="13"/>
      <c r="AM110" s="13"/>
      <c r="AN110" s="11"/>
      <c r="AO110" s="11"/>
    </row>
    <row r="111" spans="1:41" x14ac:dyDescent="0.3">
      <c r="A111" s="3">
        <v>105</v>
      </c>
      <c r="B111" s="196"/>
      <c r="C111" s="74" t="s">
        <v>291</v>
      </c>
      <c r="D111" s="75" t="s">
        <v>64</v>
      </c>
      <c r="E111" s="75">
        <v>15</v>
      </c>
      <c r="F111" s="76" t="s">
        <v>164</v>
      </c>
      <c r="G111" s="57" t="s">
        <v>292</v>
      </c>
      <c r="H111" s="22"/>
      <c r="I111" s="22"/>
      <c r="J111" s="13" t="s">
        <v>66</v>
      </c>
      <c r="K111" s="13"/>
      <c r="L111" s="11"/>
      <c r="M111" s="11"/>
      <c r="N111" s="13"/>
      <c r="O111" s="13"/>
      <c r="P111" s="11"/>
      <c r="Q111" s="11"/>
      <c r="R111" s="13"/>
      <c r="S111" s="13"/>
      <c r="T111" s="11"/>
      <c r="U111" s="11"/>
      <c r="V111" s="13"/>
      <c r="W111" s="13"/>
      <c r="X111" s="11"/>
      <c r="Y111" s="11"/>
      <c r="Z111" s="13"/>
      <c r="AA111" s="13"/>
      <c r="AB111" s="11"/>
      <c r="AC111" s="11"/>
      <c r="AD111" s="13"/>
      <c r="AE111" s="13"/>
      <c r="AF111" s="11"/>
      <c r="AG111" s="11"/>
      <c r="AH111" s="13"/>
      <c r="AI111" s="13"/>
      <c r="AJ111" s="11"/>
      <c r="AK111" s="11"/>
      <c r="AL111" s="13"/>
      <c r="AM111" s="13"/>
      <c r="AN111" s="11"/>
      <c r="AO111" s="11"/>
    </row>
    <row r="112" spans="1:41" ht="39" x14ac:dyDescent="0.3">
      <c r="A112" s="3">
        <v>106</v>
      </c>
      <c r="B112" s="196"/>
      <c r="C112" s="8" t="s">
        <v>293</v>
      </c>
      <c r="D112" s="20" t="s">
        <v>167</v>
      </c>
      <c r="E112" s="20">
        <v>200</v>
      </c>
      <c r="F112" s="57" t="s">
        <v>168</v>
      </c>
      <c r="G112" s="57" t="s">
        <v>294</v>
      </c>
      <c r="H112" s="22"/>
      <c r="I112" s="22"/>
      <c r="J112" s="13" t="s">
        <v>66</v>
      </c>
      <c r="K112" s="13"/>
      <c r="L112" s="11"/>
      <c r="M112" s="11"/>
      <c r="N112" s="13"/>
      <c r="O112" s="13"/>
      <c r="P112" s="11"/>
      <c r="Q112" s="11"/>
      <c r="R112" s="13"/>
      <c r="S112" s="13"/>
      <c r="T112" s="11"/>
      <c r="U112" s="11"/>
      <c r="V112" s="13"/>
      <c r="W112" s="13"/>
      <c r="X112" s="11"/>
      <c r="Y112" s="11"/>
      <c r="Z112" s="13"/>
      <c r="AA112" s="13"/>
      <c r="AB112" s="11"/>
      <c r="AC112" s="11"/>
      <c r="AD112" s="13"/>
      <c r="AE112" s="13"/>
      <c r="AF112" s="11"/>
      <c r="AG112" s="11"/>
      <c r="AH112" s="13"/>
      <c r="AI112" s="13"/>
      <c r="AJ112" s="11"/>
      <c r="AK112" s="11"/>
      <c r="AL112" s="13"/>
      <c r="AM112" s="13"/>
      <c r="AN112" s="11"/>
      <c r="AO112" s="11"/>
    </row>
    <row r="113" spans="1:41" x14ac:dyDescent="0.3">
      <c r="A113" s="3">
        <v>107</v>
      </c>
      <c r="B113" s="196"/>
      <c r="C113" s="8" t="s">
        <v>295</v>
      </c>
      <c r="D113" s="20" t="s">
        <v>64</v>
      </c>
      <c r="E113" s="20">
        <v>100</v>
      </c>
      <c r="F113" s="57"/>
      <c r="G113" s="57" t="s">
        <v>296</v>
      </c>
      <c r="H113" s="22"/>
      <c r="I113" s="22"/>
      <c r="J113" s="13" t="s">
        <v>66</v>
      </c>
      <c r="K113" s="13"/>
      <c r="L113" s="11"/>
      <c r="M113" s="11"/>
      <c r="N113" s="13"/>
      <c r="O113" s="13"/>
      <c r="P113" s="11"/>
      <c r="Q113" s="11"/>
      <c r="R113" s="13"/>
      <c r="S113" s="13"/>
      <c r="T113" s="11"/>
      <c r="U113" s="11"/>
      <c r="V113" s="13"/>
      <c r="W113" s="13"/>
      <c r="X113" s="11"/>
      <c r="Y113" s="11"/>
      <c r="Z113" s="13"/>
      <c r="AA113" s="13"/>
      <c r="AB113" s="11"/>
      <c r="AC113" s="11"/>
      <c r="AD113" s="13"/>
      <c r="AE113" s="13"/>
      <c r="AF113" s="11"/>
      <c r="AG113" s="11"/>
      <c r="AH113" s="13"/>
      <c r="AI113" s="13"/>
      <c r="AJ113" s="11"/>
      <c r="AK113" s="11"/>
      <c r="AL113" s="13"/>
      <c r="AM113" s="13"/>
      <c r="AN113" s="11"/>
      <c r="AO113" s="11"/>
    </row>
    <row r="114" spans="1:41" x14ac:dyDescent="0.3">
      <c r="A114" s="3">
        <v>108</v>
      </c>
      <c r="B114" s="196"/>
      <c r="C114" s="8" t="s">
        <v>111</v>
      </c>
      <c r="D114" s="20" t="s">
        <v>64</v>
      </c>
      <c r="E114" s="20">
        <v>100</v>
      </c>
      <c r="F114" s="57"/>
      <c r="G114" s="57" t="s">
        <v>112</v>
      </c>
      <c r="H114" s="22"/>
      <c r="I114" s="22"/>
      <c r="J114" s="13" t="s">
        <v>66</v>
      </c>
      <c r="K114" s="13"/>
      <c r="L114" s="11"/>
      <c r="M114" s="11"/>
      <c r="N114" s="13"/>
      <c r="O114" s="13"/>
      <c r="P114" s="11"/>
      <c r="Q114" s="11"/>
      <c r="R114" s="13"/>
      <c r="S114" s="13"/>
      <c r="T114" s="11"/>
      <c r="U114" s="11"/>
      <c r="V114" s="13"/>
      <c r="W114" s="13"/>
      <c r="X114" s="11"/>
      <c r="Y114" s="11"/>
      <c r="Z114" s="13"/>
      <c r="AA114" s="13"/>
      <c r="AB114" s="11"/>
      <c r="AC114" s="11"/>
      <c r="AD114" s="13"/>
      <c r="AE114" s="13"/>
      <c r="AF114" s="11"/>
      <c r="AG114" s="11"/>
      <c r="AH114" s="13"/>
      <c r="AI114" s="13"/>
      <c r="AJ114" s="11"/>
      <c r="AK114" s="11"/>
      <c r="AL114" s="13"/>
      <c r="AM114" s="13"/>
      <c r="AN114" s="11"/>
      <c r="AO114" s="11"/>
    </row>
    <row r="115" spans="1:41" x14ac:dyDescent="0.3">
      <c r="A115" s="3">
        <v>109</v>
      </c>
      <c r="B115" s="196"/>
      <c r="C115" s="8" t="s">
        <v>113</v>
      </c>
      <c r="D115" s="20" t="s">
        <v>64</v>
      </c>
      <c r="E115" s="20">
        <v>100</v>
      </c>
      <c r="F115" s="57"/>
      <c r="G115" s="57" t="s">
        <v>114</v>
      </c>
      <c r="H115" s="22"/>
      <c r="I115" s="22"/>
      <c r="J115" s="13" t="s">
        <v>66</v>
      </c>
      <c r="K115" s="13"/>
      <c r="L115" s="11"/>
      <c r="M115" s="11"/>
      <c r="N115" s="13"/>
      <c r="O115" s="13"/>
      <c r="P115" s="11"/>
      <c r="Q115" s="11"/>
      <c r="R115" s="13"/>
      <c r="S115" s="13"/>
      <c r="T115" s="11"/>
      <c r="U115" s="11"/>
      <c r="V115" s="13"/>
      <c r="W115" s="13"/>
      <c r="X115" s="11"/>
      <c r="Y115" s="11"/>
      <c r="Z115" s="13"/>
      <c r="AA115" s="13"/>
      <c r="AB115" s="11"/>
      <c r="AC115" s="11"/>
      <c r="AD115" s="13"/>
      <c r="AE115" s="13"/>
      <c r="AF115" s="11"/>
      <c r="AG115" s="11"/>
      <c r="AH115" s="13"/>
      <c r="AI115" s="13"/>
      <c r="AJ115" s="11"/>
      <c r="AK115" s="11"/>
      <c r="AL115" s="13"/>
      <c r="AM115" s="13"/>
      <c r="AN115" s="11"/>
      <c r="AO115" s="11"/>
    </row>
    <row r="116" spans="1:41" x14ac:dyDescent="0.3">
      <c r="A116" s="3">
        <v>110</v>
      </c>
      <c r="B116" s="196"/>
      <c r="C116" s="8" t="s">
        <v>297</v>
      </c>
      <c r="D116" s="20" t="s">
        <v>64</v>
      </c>
      <c r="E116" s="20">
        <v>100</v>
      </c>
      <c r="F116" s="57"/>
      <c r="G116" s="57" t="s">
        <v>116</v>
      </c>
      <c r="H116" s="22"/>
      <c r="I116" s="22"/>
      <c r="J116" s="13" t="s">
        <v>66</v>
      </c>
      <c r="K116" s="13"/>
      <c r="L116" s="11"/>
      <c r="M116" s="11"/>
      <c r="N116" s="13"/>
      <c r="O116" s="13"/>
      <c r="P116" s="11"/>
      <c r="Q116" s="11"/>
      <c r="R116" s="13"/>
      <c r="S116" s="13"/>
      <c r="T116" s="11"/>
      <c r="U116" s="11"/>
      <c r="V116" s="13"/>
      <c r="W116" s="13"/>
      <c r="X116" s="11"/>
      <c r="Y116" s="11"/>
      <c r="Z116" s="13"/>
      <c r="AA116" s="13"/>
      <c r="AB116" s="11"/>
      <c r="AC116" s="11"/>
      <c r="AD116" s="13"/>
      <c r="AE116" s="13"/>
      <c r="AF116" s="11"/>
      <c r="AG116" s="11"/>
      <c r="AH116" s="13"/>
      <c r="AI116" s="13"/>
      <c r="AJ116" s="11"/>
      <c r="AK116" s="11"/>
      <c r="AL116" s="13"/>
      <c r="AM116" s="13"/>
      <c r="AN116" s="11"/>
      <c r="AO116" s="11"/>
    </row>
    <row r="117" spans="1:41" x14ac:dyDescent="0.3">
      <c r="A117" s="3">
        <v>111</v>
      </c>
      <c r="B117" s="196"/>
      <c r="C117" s="8" t="s">
        <v>298</v>
      </c>
      <c r="D117" s="20" t="s">
        <v>64</v>
      </c>
      <c r="E117" s="20">
        <v>100</v>
      </c>
      <c r="F117" s="57"/>
      <c r="G117" s="57" t="s">
        <v>118</v>
      </c>
      <c r="H117" s="22"/>
      <c r="I117" s="22"/>
      <c r="J117" s="13" t="s">
        <v>66</v>
      </c>
      <c r="K117" s="13"/>
      <c r="L117" s="11"/>
      <c r="M117" s="11"/>
      <c r="N117" s="13"/>
      <c r="O117" s="13"/>
      <c r="P117" s="11"/>
      <c r="Q117" s="11"/>
      <c r="R117" s="13"/>
      <c r="S117" s="13"/>
      <c r="T117" s="11"/>
      <c r="U117" s="11"/>
      <c r="V117" s="13"/>
      <c r="W117" s="13"/>
      <c r="X117" s="11"/>
      <c r="Y117" s="11"/>
      <c r="Z117" s="13"/>
      <c r="AA117" s="13"/>
      <c r="AB117" s="11"/>
      <c r="AC117" s="11"/>
      <c r="AD117" s="13"/>
      <c r="AE117" s="13"/>
      <c r="AF117" s="11"/>
      <c r="AG117" s="11"/>
      <c r="AH117" s="13"/>
      <c r="AI117" s="13"/>
      <c r="AJ117" s="11"/>
      <c r="AK117" s="11"/>
      <c r="AL117" s="13"/>
      <c r="AM117" s="13"/>
      <c r="AN117" s="11"/>
      <c r="AO117" s="11"/>
    </row>
    <row r="118" spans="1:41" ht="43.5" x14ac:dyDescent="0.35">
      <c r="A118" s="3">
        <v>112</v>
      </c>
      <c r="B118" s="196"/>
      <c r="C118" s="8" t="s">
        <v>299</v>
      </c>
      <c r="D118" s="25" t="s">
        <v>300</v>
      </c>
      <c r="E118" s="20"/>
      <c r="F118" s="57" t="s">
        <v>75</v>
      </c>
      <c r="G118" s="57" t="s">
        <v>301</v>
      </c>
      <c r="H118" s="22"/>
      <c r="I118" s="22"/>
      <c r="J118" s="13" t="s">
        <v>66</v>
      </c>
      <c r="K118" s="13"/>
      <c r="L118" s="11"/>
      <c r="M118" s="11"/>
      <c r="N118" s="13"/>
      <c r="O118" s="13"/>
      <c r="P118" s="11"/>
      <c r="Q118" s="11"/>
      <c r="R118" s="13"/>
      <c r="S118" s="13"/>
      <c r="T118" s="11"/>
      <c r="U118" s="11"/>
      <c r="V118" s="13"/>
      <c r="W118" s="13"/>
      <c r="X118" s="11"/>
      <c r="Y118" s="11"/>
      <c r="Z118" s="13"/>
      <c r="AA118" s="13"/>
      <c r="AB118" s="11"/>
      <c r="AC118" s="11"/>
      <c r="AD118" s="13"/>
      <c r="AE118" s="13"/>
      <c r="AF118" s="11"/>
      <c r="AG118" s="11"/>
      <c r="AH118" s="13"/>
      <c r="AI118" s="13"/>
      <c r="AJ118" s="11"/>
      <c r="AK118" s="11"/>
      <c r="AL118" s="13"/>
      <c r="AM118" s="13"/>
      <c r="AN118" s="11"/>
      <c r="AO118" s="11"/>
    </row>
    <row r="119" spans="1:41" ht="15.75" customHeight="1" x14ac:dyDescent="0.3">
      <c r="A119" s="3">
        <v>113</v>
      </c>
      <c r="B119" s="197"/>
      <c r="C119" s="8" t="s">
        <v>302</v>
      </c>
      <c r="D119" s="20" t="s">
        <v>134</v>
      </c>
      <c r="E119" s="20"/>
      <c r="F119" s="57"/>
      <c r="G119" s="57" t="s">
        <v>303</v>
      </c>
      <c r="H119" s="22"/>
      <c r="I119" s="22"/>
      <c r="J119" s="13" t="s">
        <v>66</v>
      </c>
      <c r="K119" s="13"/>
      <c r="L119" s="11"/>
      <c r="M119" s="11"/>
      <c r="N119" s="13"/>
      <c r="O119" s="13"/>
      <c r="P119" s="11"/>
      <c r="Q119" s="11"/>
      <c r="R119" s="13"/>
      <c r="S119" s="13"/>
      <c r="T119" s="11"/>
      <c r="U119" s="11"/>
      <c r="V119" s="13"/>
      <c r="W119" s="13"/>
      <c r="X119" s="11"/>
      <c r="Y119" s="11"/>
      <c r="Z119" s="13"/>
      <c r="AA119" s="13"/>
      <c r="AB119" s="11"/>
      <c r="AC119" s="11"/>
      <c r="AD119" s="13"/>
      <c r="AE119" s="13"/>
      <c r="AF119" s="11"/>
      <c r="AG119" s="11"/>
      <c r="AH119" s="13"/>
      <c r="AI119" s="13"/>
      <c r="AJ119" s="11"/>
      <c r="AK119" s="11"/>
      <c r="AL119" s="13"/>
      <c r="AM119" s="13"/>
      <c r="AN119" s="11"/>
      <c r="AO119" s="11"/>
    </row>
    <row r="120" spans="1:41" ht="29.25" customHeight="1" x14ac:dyDescent="0.35">
      <c r="A120" s="3">
        <v>114</v>
      </c>
      <c r="B120" s="188" t="s">
        <v>304</v>
      </c>
      <c r="C120" s="69" t="s">
        <v>305</v>
      </c>
      <c r="D120" s="24" t="s">
        <v>306</v>
      </c>
      <c r="E120" s="77"/>
      <c r="F120" s="78" t="s">
        <v>307</v>
      </c>
      <c r="G120" s="17" t="s">
        <v>308</v>
      </c>
      <c r="H120" s="22"/>
      <c r="I120" s="22"/>
      <c r="J120" s="13" t="s">
        <v>66</v>
      </c>
      <c r="K120" s="13"/>
      <c r="L120" s="11"/>
      <c r="M120" s="11"/>
      <c r="N120" s="13"/>
      <c r="O120" s="13"/>
      <c r="P120" s="11"/>
      <c r="Q120" s="11"/>
      <c r="R120" s="13"/>
      <c r="S120" s="13"/>
      <c r="T120" s="11"/>
      <c r="U120" s="11"/>
      <c r="V120" s="13"/>
      <c r="W120" s="13"/>
      <c r="X120" s="11"/>
      <c r="Y120" s="11"/>
      <c r="Z120" s="13"/>
      <c r="AA120" s="13"/>
      <c r="AB120" s="11"/>
      <c r="AC120" s="11"/>
      <c r="AD120" s="13"/>
      <c r="AE120" s="13"/>
      <c r="AF120" s="11"/>
      <c r="AG120" s="11"/>
      <c r="AH120" s="13"/>
      <c r="AI120" s="13"/>
      <c r="AJ120" s="11"/>
      <c r="AK120" s="11"/>
      <c r="AL120" s="13"/>
      <c r="AM120" s="13"/>
      <c r="AN120" s="11"/>
      <c r="AO120" s="11"/>
    </row>
    <row r="121" spans="1:41" x14ac:dyDescent="0.3">
      <c r="A121" s="3">
        <v>115</v>
      </c>
      <c r="B121" s="188"/>
      <c r="C121" s="7" t="s">
        <v>309</v>
      </c>
      <c r="D121" s="19" t="s">
        <v>89</v>
      </c>
      <c r="E121" s="19"/>
      <c r="F121" s="17" t="s">
        <v>265</v>
      </c>
      <c r="G121" s="17" t="s">
        <v>310</v>
      </c>
      <c r="H121" s="22"/>
      <c r="I121" s="22"/>
      <c r="J121" s="13" t="s">
        <v>66</v>
      </c>
      <c r="K121" s="13"/>
      <c r="L121" s="11"/>
      <c r="M121" s="11"/>
      <c r="N121" s="13"/>
      <c r="O121" s="13"/>
      <c r="P121" s="11"/>
      <c r="Q121" s="11"/>
      <c r="R121" s="13"/>
      <c r="S121" s="13"/>
      <c r="T121" s="11"/>
      <c r="U121" s="11"/>
      <c r="V121" s="13"/>
      <c r="W121" s="13"/>
      <c r="X121" s="11"/>
      <c r="Y121" s="11"/>
      <c r="Z121" s="13"/>
      <c r="AA121" s="13"/>
      <c r="AB121" s="11"/>
      <c r="AC121" s="11"/>
      <c r="AD121" s="13"/>
      <c r="AE121" s="13"/>
      <c r="AF121" s="11"/>
      <c r="AG121" s="11"/>
      <c r="AH121" s="13"/>
      <c r="AI121" s="13"/>
      <c r="AJ121" s="11"/>
      <c r="AK121" s="11"/>
      <c r="AL121" s="13"/>
      <c r="AM121" s="13"/>
      <c r="AN121" s="11"/>
      <c r="AO121" s="11"/>
    </row>
    <row r="122" spans="1:41" x14ac:dyDescent="0.3">
      <c r="A122" s="3">
        <v>116</v>
      </c>
      <c r="B122" s="188"/>
      <c r="C122" s="7" t="s">
        <v>311</v>
      </c>
      <c r="D122" s="19" t="s">
        <v>81</v>
      </c>
      <c r="E122" s="19"/>
      <c r="F122" s="17" t="s">
        <v>149</v>
      </c>
      <c r="G122" s="17" t="s">
        <v>312</v>
      </c>
      <c r="H122" s="22"/>
      <c r="I122" s="22"/>
      <c r="J122" s="13" t="s">
        <v>66</v>
      </c>
      <c r="K122" s="13"/>
      <c r="L122" s="11"/>
      <c r="M122" s="11"/>
      <c r="N122" s="13"/>
      <c r="O122" s="13"/>
      <c r="P122" s="11"/>
      <c r="Q122" s="11"/>
      <c r="R122" s="13"/>
      <c r="S122" s="13"/>
      <c r="T122" s="11"/>
      <c r="U122" s="11"/>
      <c r="V122" s="13"/>
      <c r="W122" s="13"/>
      <c r="X122" s="11"/>
      <c r="Y122" s="11"/>
      <c r="Z122" s="13"/>
      <c r="AA122" s="13"/>
      <c r="AB122" s="11"/>
      <c r="AC122" s="11"/>
      <c r="AD122" s="13"/>
      <c r="AE122" s="13"/>
      <c r="AF122" s="11"/>
      <c r="AG122" s="11"/>
      <c r="AH122" s="13"/>
      <c r="AI122" s="13"/>
      <c r="AJ122" s="11"/>
      <c r="AK122" s="11"/>
      <c r="AL122" s="13"/>
      <c r="AM122" s="13"/>
      <c r="AN122" s="11"/>
      <c r="AO122" s="11"/>
    </row>
    <row r="123" spans="1:41" x14ac:dyDescent="0.3">
      <c r="A123" s="3">
        <v>117</v>
      </c>
      <c r="B123" s="188"/>
      <c r="C123" s="7" t="s">
        <v>313</v>
      </c>
      <c r="D123" s="19" t="s">
        <v>134</v>
      </c>
      <c r="E123" s="19"/>
      <c r="F123" s="17"/>
      <c r="G123" s="17" t="s">
        <v>314</v>
      </c>
      <c r="H123" s="22"/>
      <c r="I123" s="22"/>
      <c r="J123" s="13" t="s">
        <v>66</v>
      </c>
      <c r="K123" s="13"/>
      <c r="L123" s="11"/>
      <c r="M123" s="11"/>
      <c r="N123" s="13"/>
      <c r="O123" s="13"/>
      <c r="P123" s="11"/>
      <c r="Q123" s="11"/>
      <c r="R123" s="13"/>
      <c r="S123" s="13"/>
      <c r="T123" s="11"/>
      <c r="U123" s="11"/>
      <c r="V123" s="13"/>
      <c r="W123" s="13"/>
      <c r="X123" s="11"/>
      <c r="Y123" s="11"/>
      <c r="Z123" s="13"/>
      <c r="AA123" s="13"/>
      <c r="AB123" s="11"/>
      <c r="AC123" s="11"/>
      <c r="AD123" s="13"/>
      <c r="AE123" s="13"/>
      <c r="AF123" s="11"/>
      <c r="AG123" s="11"/>
      <c r="AH123" s="13"/>
      <c r="AI123" s="13"/>
      <c r="AJ123" s="11"/>
      <c r="AK123" s="11"/>
      <c r="AL123" s="13"/>
      <c r="AM123" s="13"/>
      <c r="AN123" s="11"/>
      <c r="AO123" s="11"/>
    </row>
    <row r="124" spans="1:41" x14ac:dyDescent="0.3">
      <c r="A124" s="3">
        <v>118</v>
      </c>
      <c r="B124" s="188"/>
      <c r="C124" s="7" t="s">
        <v>315</v>
      </c>
      <c r="D124" s="19" t="s">
        <v>134</v>
      </c>
      <c r="E124" s="19"/>
      <c r="F124" s="17"/>
      <c r="G124" s="17" t="s">
        <v>316</v>
      </c>
      <c r="H124" s="22"/>
      <c r="I124" s="22"/>
      <c r="J124" s="13" t="s">
        <v>66</v>
      </c>
      <c r="K124" s="13"/>
      <c r="L124" s="11"/>
      <c r="M124" s="11"/>
      <c r="N124" s="13"/>
      <c r="O124" s="13"/>
      <c r="P124" s="11"/>
      <c r="Q124" s="11"/>
      <c r="R124" s="13"/>
      <c r="S124" s="13"/>
      <c r="T124" s="11"/>
      <c r="U124" s="11"/>
      <c r="V124" s="13"/>
      <c r="W124" s="13"/>
      <c r="X124" s="11"/>
      <c r="Y124" s="11"/>
      <c r="Z124" s="13"/>
      <c r="AA124" s="13"/>
      <c r="AB124" s="11"/>
      <c r="AC124" s="11"/>
      <c r="AD124" s="13"/>
      <c r="AE124" s="13"/>
      <c r="AF124" s="11"/>
      <c r="AG124" s="11"/>
      <c r="AH124" s="13"/>
      <c r="AI124" s="13"/>
      <c r="AJ124" s="11"/>
      <c r="AK124" s="11"/>
      <c r="AL124" s="13"/>
      <c r="AM124" s="13"/>
      <c r="AN124" s="11"/>
      <c r="AO124" s="11"/>
    </row>
    <row r="125" spans="1:41" x14ac:dyDescent="0.3">
      <c r="A125" s="3">
        <v>119</v>
      </c>
      <c r="B125" s="188"/>
      <c r="C125" s="7" t="s">
        <v>317</v>
      </c>
      <c r="D125" s="19" t="s">
        <v>64</v>
      </c>
      <c r="E125" s="19">
        <v>500</v>
      </c>
      <c r="F125" s="17"/>
      <c r="G125" s="17" t="s">
        <v>318</v>
      </c>
      <c r="H125" s="22"/>
      <c r="I125" s="22"/>
      <c r="J125" s="13" t="s">
        <v>66</v>
      </c>
      <c r="K125" s="13"/>
      <c r="L125" s="11"/>
      <c r="M125" s="11"/>
      <c r="N125" s="13"/>
      <c r="O125" s="13"/>
      <c r="P125" s="11"/>
      <c r="Q125" s="11"/>
      <c r="R125" s="13"/>
      <c r="S125" s="13"/>
      <c r="T125" s="11"/>
      <c r="U125" s="11"/>
      <c r="V125" s="13"/>
      <c r="W125" s="13"/>
      <c r="X125" s="11"/>
      <c r="Y125" s="11"/>
      <c r="Z125" s="13"/>
      <c r="AA125" s="13"/>
      <c r="AB125" s="11"/>
      <c r="AC125" s="11"/>
      <c r="AD125" s="13"/>
      <c r="AE125" s="13"/>
      <c r="AF125" s="11"/>
      <c r="AG125" s="11"/>
      <c r="AH125" s="13"/>
      <c r="AI125" s="13"/>
      <c r="AJ125" s="11"/>
      <c r="AK125" s="11"/>
      <c r="AL125" s="13"/>
      <c r="AM125" s="13"/>
      <c r="AN125" s="11"/>
      <c r="AO125" s="11"/>
    </row>
    <row r="126" spans="1:41" x14ac:dyDescent="0.3">
      <c r="A126" s="3">
        <v>120</v>
      </c>
      <c r="B126" s="188"/>
      <c r="C126" s="7" t="s">
        <v>319</v>
      </c>
      <c r="D126" s="19" t="s">
        <v>64</v>
      </c>
      <c r="E126" s="19">
        <v>100</v>
      </c>
      <c r="F126" s="17" t="s">
        <v>142</v>
      </c>
      <c r="G126" s="17" t="s">
        <v>320</v>
      </c>
      <c r="H126" s="22"/>
      <c r="I126" s="22"/>
      <c r="J126" s="13" t="s">
        <v>66</v>
      </c>
      <c r="K126" s="13"/>
      <c r="L126" s="11"/>
      <c r="M126" s="11"/>
      <c r="N126" s="13"/>
      <c r="O126" s="13"/>
      <c r="P126" s="11"/>
      <c r="Q126" s="11"/>
      <c r="R126" s="13"/>
      <c r="S126" s="13"/>
      <c r="T126" s="11"/>
      <c r="U126" s="11"/>
      <c r="V126" s="13"/>
      <c r="W126" s="13"/>
      <c r="X126" s="11"/>
      <c r="Y126" s="11"/>
      <c r="Z126" s="13"/>
      <c r="AA126" s="13"/>
      <c r="AB126" s="11"/>
      <c r="AC126" s="11"/>
      <c r="AD126" s="13"/>
      <c r="AE126" s="13"/>
      <c r="AF126" s="11"/>
      <c r="AG126" s="11"/>
      <c r="AH126" s="13"/>
      <c r="AI126" s="13"/>
      <c r="AJ126" s="11"/>
      <c r="AK126" s="11"/>
      <c r="AL126" s="13"/>
      <c r="AM126" s="13"/>
      <c r="AN126" s="11"/>
      <c r="AO126" s="11"/>
    </row>
    <row r="127" spans="1:41" ht="43.5" x14ac:dyDescent="0.35">
      <c r="A127" s="3">
        <v>121</v>
      </c>
      <c r="B127" s="188"/>
      <c r="C127" s="7" t="s">
        <v>321</v>
      </c>
      <c r="D127" s="24" t="s">
        <v>160</v>
      </c>
      <c r="E127" s="19"/>
      <c r="F127" s="17" t="s">
        <v>161</v>
      </c>
      <c r="G127" s="17" t="s">
        <v>322</v>
      </c>
      <c r="H127" s="22"/>
      <c r="I127" s="22"/>
      <c r="J127" s="13" t="s">
        <v>66</v>
      </c>
      <c r="K127" s="13"/>
      <c r="L127" s="11"/>
      <c r="M127" s="11"/>
      <c r="N127" s="13"/>
      <c r="O127" s="13"/>
      <c r="P127" s="11"/>
      <c r="Q127" s="11"/>
      <c r="R127" s="13"/>
      <c r="S127" s="13"/>
      <c r="T127" s="11"/>
      <c r="U127" s="11"/>
      <c r="V127" s="13"/>
      <c r="W127" s="13"/>
      <c r="X127" s="11"/>
      <c r="Y127" s="11"/>
      <c r="Z127" s="13"/>
      <c r="AA127" s="13"/>
      <c r="AB127" s="11"/>
      <c r="AC127" s="11"/>
      <c r="AD127" s="13"/>
      <c r="AE127" s="13"/>
      <c r="AF127" s="11"/>
      <c r="AG127" s="11"/>
      <c r="AH127" s="13"/>
      <c r="AI127" s="13"/>
      <c r="AJ127" s="11"/>
      <c r="AK127" s="11"/>
      <c r="AL127" s="13"/>
      <c r="AM127" s="13"/>
      <c r="AN127" s="11"/>
      <c r="AO127" s="11"/>
    </row>
    <row r="128" spans="1:41" x14ac:dyDescent="0.3">
      <c r="A128" s="3">
        <v>122</v>
      </c>
      <c r="B128" s="188"/>
      <c r="C128" s="7" t="s">
        <v>323</v>
      </c>
      <c r="D128" s="19" t="s">
        <v>64</v>
      </c>
      <c r="E128" s="19">
        <v>15</v>
      </c>
      <c r="F128" s="17" t="s">
        <v>164</v>
      </c>
      <c r="G128" s="17" t="s">
        <v>324</v>
      </c>
      <c r="H128" s="22"/>
      <c r="I128" s="22"/>
      <c r="J128" s="13" t="s">
        <v>66</v>
      </c>
      <c r="K128" s="13"/>
      <c r="L128" s="11"/>
      <c r="M128" s="11"/>
      <c r="N128" s="13"/>
      <c r="O128" s="13"/>
      <c r="P128" s="11"/>
      <c r="Q128" s="11"/>
      <c r="R128" s="13"/>
      <c r="S128" s="13"/>
      <c r="T128" s="11"/>
      <c r="U128" s="11"/>
      <c r="V128" s="13"/>
      <c r="W128" s="13"/>
      <c r="X128" s="11"/>
      <c r="Y128" s="11"/>
      <c r="Z128" s="13"/>
      <c r="AA128" s="13"/>
      <c r="AB128" s="11"/>
      <c r="AC128" s="11"/>
      <c r="AD128" s="13"/>
      <c r="AE128" s="13"/>
      <c r="AF128" s="11"/>
      <c r="AG128" s="11"/>
      <c r="AH128" s="13"/>
      <c r="AI128" s="13"/>
      <c r="AJ128" s="11"/>
      <c r="AK128" s="11"/>
      <c r="AL128" s="13"/>
      <c r="AM128" s="13"/>
      <c r="AN128" s="11"/>
      <c r="AO128" s="11"/>
    </row>
    <row r="129" spans="1:41" ht="43.5" x14ac:dyDescent="0.35">
      <c r="A129" s="3">
        <v>123</v>
      </c>
      <c r="B129" s="188"/>
      <c r="C129" s="7" t="s">
        <v>325</v>
      </c>
      <c r="D129" s="24" t="s">
        <v>160</v>
      </c>
      <c r="E129" s="19"/>
      <c r="F129" s="17" t="s">
        <v>161</v>
      </c>
      <c r="G129" s="17" t="s">
        <v>326</v>
      </c>
      <c r="H129" s="22"/>
      <c r="I129" s="22"/>
      <c r="J129" s="13" t="s">
        <v>66</v>
      </c>
      <c r="K129" s="13"/>
      <c r="L129" s="11"/>
      <c r="M129" s="11"/>
      <c r="N129" s="13"/>
      <c r="O129" s="13"/>
      <c r="P129" s="11"/>
      <c r="Q129" s="11"/>
      <c r="R129" s="13"/>
      <c r="S129" s="13"/>
      <c r="T129" s="11"/>
      <c r="U129" s="11"/>
      <c r="V129" s="13"/>
      <c r="W129" s="13"/>
      <c r="X129" s="11"/>
      <c r="Y129" s="11"/>
      <c r="Z129" s="13"/>
      <c r="AA129" s="13"/>
      <c r="AB129" s="11"/>
      <c r="AC129" s="11"/>
      <c r="AD129" s="13"/>
      <c r="AE129" s="13"/>
      <c r="AF129" s="11"/>
      <c r="AG129" s="11"/>
      <c r="AH129" s="13"/>
      <c r="AI129" s="13"/>
      <c r="AJ129" s="11"/>
      <c r="AK129" s="11"/>
      <c r="AL129" s="13"/>
      <c r="AM129" s="13"/>
      <c r="AN129" s="11"/>
      <c r="AO129" s="11"/>
    </row>
    <row r="130" spans="1:41" x14ac:dyDescent="0.3">
      <c r="A130" s="3">
        <v>124</v>
      </c>
      <c r="B130" s="188"/>
      <c r="C130" s="7" t="s">
        <v>327</v>
      </c>
      <c r="D130" s="19" t="s">
        <v>64</v>
      </c>
      <c r="E130" s="19">
        <v>15</v>
      </c>
      <c r="F130" s="17" t="s">
        <v>164</v>
      </c>
      <c r="G130" s="17" t="s">
        <v>328</v>
      </c>
      <c r="H130" s="22"/>
      <c r="I130" s="22"/>
      <c r="J130" s="13" t="s">
        <v>66</v>
      </c>
      <c r="K130" s="13"/>
      <c r="L130" s="11"/>
      <c r="M130" s="11"/>
      <c r="N130" s="13"/>
      <c r="O130" s="13"/>
      <c r="P130" s="11"/>
      <c r="Q130" s="11"/>
      <c r="R130" s="13"/>
      <c r="S130" s="13"/>
      <c r="T130" s="11"/>
      <c r="U130" s="11"/>
      <c r="V130" s="13"/>
      <c r="W130" s="13"/>
      <c r="X130" s="11"/>
      <c r="Y130" s="11"/>
      <c r="Z130" s="13"/>
      <c r="AA130" s="13"/>
      <c r="AB130" s="11"/>
      <c r="AC130" s="11"/>
      <c r="AD130" s="13"/>
      <c r="AE130" s="13"/>
      <c r="AF130" s="11"/>
      <c r="AG130" s="11"/>
      <c r="AH130" s="13"/>
      <c r="AI130" s="13"/>
      <c r="AJ130" s="11"/>
      <c r="AK130" s="11"/>
      <c r="AL130" s="13"/>
      <c r="AM130" s="13"/>
      <c r="AN130" s="11"/>
      <c r="AO130" s="11"/>
    </row>
    <row r="131" spans="1:41" ht="39" x14ac:dyDescent="0.3">
      <c r="A131" s="3">
        <v>125</v>
      </c>
      <c r="B131" s="188"/>
      <c r="C131" s="71" t="s">
        <v>329</v>
      </c>
      <c r="D131" s="72" t="s">
        <v>167</v>
      </c>
      <c r="E131" s="72">
        <v>200</v>
      </c>
      <c r="F131" s="73" t="s">
        <v>168</v>
      </c>
      <c r="G131" s="17" t="s">
        <v>330</v>
      </c>
      <c r="H131" s="22"/>
      <c r="I131" s="22"/>
      <c r="J131" s="13" t="s">
        <v>66</v>
      </c>
      <c r="K131" s="13"/>
      <c r="L131" s="11"/>
      <c r="M131" s="11"/>
      <c r="N131" s="13"/>
      <c r="O131" s="13"/>
      <c r="P131" s="11"/>
      <c r="Q131" s="11"/>
      <c r="R131" s="13"/>
      <c r="S131" s="13"/>
      <c r="T131" s="11"/>
      <c r="U131" s="11"/>
      <c r="V131" s="13"/>
      <c r="W131" s="13"/>
      <c r="X131" s="11"/>
      <c r="Y131" s="11"/>
      <c r="Z131" s="13"/>
      <c r="AA131" s="13"/>
      <c r="AB131" s="11"/>
      <c r="AC131" s="11"/>
      <c r="AD131" s="13"/>
      <c r="AE131" s="13"/>
      <c r="AF131" s="11"/>
      <c r="AG131" s="11"/>
      <c r="AH131" s="13"/>
      <c r="AI131" s="13"/>
      <c r="AJ131" s="11"/>
      <c r="AK131" s="11"/>
      <c r="AL131" s="13"/>
      <c r="AM131" s="13"/>
      <c r="AN131" s="11"/>
      <c r="AO131" s="11"/>
    </row>
    <row r="132" spans="1:41" x14ac:dyDescent="0.3">
      <c r="A132" s="3">
        <v>126</v>
      </c>
      <c r="B132" s="188"/>
      <c r="C132" s="7" t="s">
        <v>331</v>
      </c>
      <c r="D132" s="19" t="s">
        <v>64</v>
      </c>
      <c r="E132" s="19">
        <v>100</v>
      </c>
      <c r="F132" s="17"/>
      <c r="G132" s="17" t="s">
        <v>332</v>
      </c>
      <c r="H132" s="22"/>
      <c r="I132" s="22"/>
      <c r="J132" s="13" t="s">
        <v>66</v>
      </c>
      <c r="K132" s="13"/>
      <c r="L132" s="11"/>
      <c r="M132" s="11"/>
      <c r="N132" s="13"/>
      <c r="O132" s="13"/>
      <c r="P132" s="11"/>
      <c r="Q132" s="11"/>
      <c r="R132" s="13"/>
      <c r="S132" s="13"/>
      <c r="T132" s="11"/>
      <c r="U132" s="11"/>
      <c r="V132" s="13"/>
      <c r="W132" s="13"/>
      <c r="X132" s="11"/>
      <c r="Y132" s="11"/>
      <c r="Z132" s="13"/>
      <c r="AA132" s="13"/>
      <c r="AB132" s="11"/>
      <c r="AC132" s="11"/>
      <c r="AD132" s="13"/>
      <c r="AE132" s="13"/>
      <c r="AF132" s="11"/>
      <c r="AG132" s="11"/>
      <c r="AH132" s="13"/>
      <c r="AI132" s="13"/>
      <c r="AJ132" s="11"/>
      <c r="AK132" s="11"/>
      <c r="AL132" s="13"/>
      <c r="AM132" s="13"/>
      <c r="AN132" s="11"/>
      <c r="AO132" s="11"/>
    </row>
    <row r="133" spans="1:41" x14ac:dyDescent="0.3">
      <c r="A133" s="3">
        <v>127</v>
      </c>
      <c r="B133" s="186" t="s">
        <v>333</v>
      </c>
      <c r="C133" s="8" t="s">
        <v>334</v>
      </c>
      <c r="D133" s="20" t="s">
        <v>64</v>
      </c>
      <c r="E133" s="20">
        <v>500</v>
      </c>
      <c r="F133" s="57"/>
      <c r="G133" s="57" t="s">
        <v>335</v>
      </c>
      <c r="H133" s="22"/>
      <c r="I133" s="22"/>
      <c r="J133" s="13" t="s">
        <v>66</v>
      </c>
      <c r="K133" s="13"/>
      <c r="L133" s="11"/>
      <c r="M133" s="11"/>
      <c r="N133" s="13"/>
      <c r="O133" s="13"/>
      <c r="P133" s="11"/>
      <c r="Q133" s="11"/>
      <c r="R133" s="13"/>
      <c r="S133" s="13"/>
      <c r="T133" s="11"/>
      <c r="U133" s="11"/>
      <c r="V133" s="13"/>
      <c r="W133" s="13"/>
      <c r="X133" s="11"/>
      <c r="Y133" s="11"/>
      <c r="Z133" s="13"/>
      <c r="AA133" s="13"/>
      <c r="AB133" s="11"/>
      <c r="AC133" s="11"/>
      <c r="AD133" s="13"/>
      <c r="AE133" s="13"/>
      <c r="AF133" s="11"/>
      <c r="AG133" s="11"/>
      <c r="AH133" s="13"/>
      <c r="AI133" s="13"/>
      <c r="AJ133" s="11"/>
      <c r="AK133" s="11"/>
      <c r="AL133" s="13"/>
      <c r="AM133" s="13"/>
      <c r="AN133" s="11"/>
      <c r="AO133" s="11"/>
    </row>
    <row r="134" spans="1:41" x14ac:dyDescent="0.3">
      <c r="A134" s="3">
        <v>128</v>
      </c>
      <c r="B134" s="187"/>
      <c r="C134" s="8" t="s">
        <v>336</v>
      </c>
      <c r="D134" s="20" t="s">
        <v>337</v>
      </c>
      <c r="E134" s="20"/>
      <c r="F134" s="57" t="s">
        <v>149</v>
      </c>
      <c r="G134" s="57" t="s">
        <v>338</v>
      </c>
      <c r="H134" s="22"/>
      <c r="I134" s="22"/>
      <c r="J134" s="13" t="s">
        <v>66</v>
      </c>
      <c r="K134" s="13"/>
      <c r="L134" s="11"/>
      <c r="M134" s="11"/>
      <c r="N134" s="13"/>
      <c r="O134" s="13"/>
      <c r="P134" s="11"/>
      <c r="Q134" s="11"/>
      <c r="R134" s="13"/>
      <c r="S134" s="13"/>
      <c r="T134" s="11"/>
      <c r="U134" s="11"/>
      <c r="V134" s="13"/>
      <c r="W134" s="13"/>
      <c r="X134" s="11"/>
      <c r="Y134" s="11"/>
      <c r="Z134" s="13"/>
      <c r="AA134" s="13"/>
      <c r="AB134" s="11"/>
      <c r="AC134" s="11"/>
      <c r="AD134" s="13"/>
      <c r="AE134" s="13"/>
      <c r="AF134" s="11"/>
      <c r="AG134" s="11"/>
      <c r="AH134" s="13"/>
      <c r="AI134" s="13"/>
      <c r="AJ134" s="11"/>
      <c r="AK134" s="11"/>
      <c r="AL134" s="13"/>
      <c r="AM134" s="13"/>
      <c r="AN134" s="11"/>
      <c r="AO134" s="11"/>
    </row>
    <row r="135" spans="1:41" x14ac:dyDescent="0.3">
      <c r="A135" s="3">
        <v>129</v>
      </c>
      <c r="B135" s="187"/>
      <c r="C135" s="8" t="s">
        <v>339</v>
      </c>
      <c r="D135" s="20" t="s">
        <v>89</v>
      </c>
      <c r="E135" s="20"/>
      <c r="F135" s="83" t="s">
        <v>90</v>
      </c>
      <c r="G135" s="57" t="s">
        <v>340</v>
      </c>
      <c r="H135" s="22"/>
      <c r="I135" s="22"/>
      <c r="J135" s="13" t="s">
        <v>66</v>
      </c>
      <c r="K135" s="13"/>
      <c r="L135" s="11"/>
      <c r="M135" s="11"/>
      <c r="N135" s="13"/>
      <c r="O135" s="13"/>
      <c r="P135" s="11"/>
      <c r="Q135" s="11"/>
      <c r="R135" s="13"/>
      <c r="S135" s="13"/>
      <c r="T135" s="11"/>
      <c r="U135" s="11"/>
      <c r="V135" s="13"/>
      <c r="W135" s="13"/>
      <c r="X135" s="11"/>
      <c r="Y135" s="11"/>
      <c r="Z135" s="13"/>
      <c r="AA135" s="13"/>
      <c r="AB135" s="11"/>
      <c r="AC135" s="11"/>
      <c r="AD135" s="13"/>
      <c r="AE135" s="13"/>
      <c r="AF135" s="11"/>
      <c r="AG135" s="11"/>
      <c r="AH135" s="13"/>
      <c r="AI135" s="13"/>
      <c r="AJ135" s="11"/>
      <c r="AK135" s="11"/>
      <c r="AL135" s="13"/>
      <c r="AM135" s="13"/>
      <c r="AN135" s="11"/>
      <c r="AO135" s="11"/>
    </row>
    <row r="136" spans="1:41" ht="30" customHeight="1" x14ac:dyDescent="0.3">
      <c r="A136" s="3">
        <v>130</v>
      </c>
      <c r="B136" s="188" t="s">
        <v>341</v>
      </c>
      <c r="C136" s="7" t="s">
        <v>342</v>
      </c>
      <c r="D136" s="19" t="s">
        <v>64</v>
      </c>
      <c r="E136" s="19">
        <v>100</v>
      </c>
      <c r="F136" s="17"/>
      <c r="G136" s="17" t="s">
        <v>343</v>
      </c>
      <c r="H136" s="22"/>
      <c r="I136" s="22"/>
      <c r="J136" s="13" t="s">
        <v>66</v>
      </c>
      <c r="K136" s="13"/>
      <c r="L136" s="11"/>
      <c r="M136" s="11"/>
      <c r="N136" s="13"/>
      <c r="O136" s="13"/>
      <c r="P136" s="11"/>
      <c r="Q136" s="11"/>
      <c r="R136" s="13"/>
      <c r="S136" s="13"/>
      <c r="T136" s="11"/>
      <c r="U136" s="11"/>
      <c r="V136" s="13"/>
      <c r="W136" s="13"/>
      <c r="X136" s="11"/>
      <c r="Y136" s="11"/>
      <c r="Z136" s="13"/>
      <c r="AA136" s="13"/>
      <c r="AB136" s="11"/>
      <c r="AC136" s="11"/>
      <c r="AD136" s="13"/>
      <c r="AE136" s="13"/>
      <c r="AF136" s="11"/>
      <c r="AG136" s="11"/>
      <c r="AH136" s="13"/>
      <c r="AI136" s="13"/>
      <c r="AJ136" s="11"/>
      <c r="AK136" s="11"/>
      <c r="AL136" s="13"/>
      <c r="AM136" s="13"/>
      <c r="AN136" s="11"/>
      <c r="AO136" s="11"/>
    </row>
    <row r="137" spans="1:41" ht="30" customHeight="1" x14ac:dyDescent="0.3">
      <c r="A137" s="3">
        <v>131</v>
      </c>
      <c r="B137" s="188"/>
      <c r="C137" s="7" t="s">
        <v>344</v>
      </c>
      <c r="D137" s="19" t="s">
        <v>337</v>
      </c>
      <c r="E137" s="19"/>
      <c r="F137" s="17" t="s">
        <v>149</v>
      </c>
      <c r="G137" s="17" t="s">
        <v>345</v>
      </c>
      <c r="H137" s="22"/>
      <c r="I137" s="22"/>
      <c r="J137" s="13" t="s">
        <v>66</v>
      </c>
      <c r="K137" s="13"/>
      <c r="L137" s="11"/>
      <c r="M137" s="11"/>
      <c r="N137" s="13"/>
      <c r="O137" s="13"/>
      <c r="P137" s="11"/>
      <c r="Q137" s="11"/>
      <c r="R137" s="13"/>
      <c r="S137" s="13"/>
      <c r="T137" s="11"/>
      <c r="U137" s="11"/>
      <c r="V137" s="13"/>
      <c r="W137" s="13"/>
      <c r="X137" s="11"/>
      <c r="Y137" s="11"/>
      <c r="Z137" s="13"/>
      <c r="AA137" s="13"/>
      <c r="AB137" s="11"/>
      <c r="AC137" s="11"/>
      <c r="AD137" s="13"/>
      <c r="AE137" s="13"/>
      <c r="AF137" s="11"/>
      <c r="AG137" s="11"/>
      <c r="AH137" s="13"/>
      <c r="AI137" s="13"/>
      <c r="AJ137" s="11"/>
      <c r="AK137" s="11"/>
      <c r="AL137" s="13"/>
      <c r="AM137" s="13"/>
      <c r="AN137" s="11"/>
      <c r="AO137" s="11"/>
    </row>
    <row r="138" spans="1:41" ht="40.5" customHeight="1" x14ac:dyDescent="0.3">
      <c r="A138" s="3">
        <v>132</v>
      </c>
      <c r="B138" s="44" t="s">
        <v>346</v>
      </c>
      <c r="C138" s="8" t="s">
        <v>347</v>
      </c>
      <c r="D138" s="20" t="s">
        <v>337</v>
      </c>
      <c r="E138" s="20"/>
      <c r="F138" s="57" t="s">
        <v>149</v>
      </c>
      <c r="G138" s="57" t="s">
        <v>348</v>
      </c>
      <c r="H138" s="22"/>
      <c r="I138" s="22"/>
      <c r="J138" s="13" t="s">
        <v>66</v>
      </c>
      <c r="K138" s="13"/>
      <c r="L138" s="11"/>
      <c r="M138" s="11"/>
      <c r="N138" s="13"/>
      <c r="O138" s="13"/>
      <c r="P138" s="11"/>
      <c r="Q138" s="11"/>
      <c r="R138" s="13"/>
      <c r="S138" s="13"/>
      <c r="T138" s="11"/>
      <c r="U138" s="11"/>
      <c r="V138" s="13"/>
      <c r="W138" s="13"/>
      <c r="X138" s="11"/>
      <c r="Y138" s="11"/>
      <c r="Z138" s="13"/>
      <c r="AA138" s="13"/>
      <c r="AB138" s="11"/>
      <c r="AC138" s="11"/>
      <c r="AD138" s="13"/>
      <c r="AE138" s="13"/>
      <c r="AF138" s="11"/>
      <c r="AG138" s="11"/>
      <c r="AH138" s="13"/>
      <c r="AI138" s="13"/>
      <c r="AJ138" s="11"/>
      <c r="AK138" s="11"/>
      <c r="AL138" s="13"/>
      <c r="AM138" s="13"/>
      <c r="AN138" s="11"/>
      <c r="AO138" s="11"/>
    </row>
    <row r="139" spans="1:41" ht="14.5" customHeight="1" x14ac:dyDescent="0.3">
      <c r="A139" s="3">
        <v>133</v>
      </c>
      <c r="B139" s="187" t="s">
        <v>349</v>
      </c>
      <c r="C139" s="7" t="s">
        <v>350</v>
      </c>
      <c r="D139" s="19" t="s">
        <v>134</v>
      </c>
      <c r="E139" s="19"/>
      <c r="F139" s="17"/>
      <c r="G139" s="17" t="s">
        <v>351</v>
      </c>
      <c r="H139" s="22"/>
      <c r="I139" s="22"/>
      <c r="J139" s="13" t="s">
        <v>66</v>
      </c>
      <c r="K139" s="13"/>
      <c r="L139" s="11"/>
      <c r="M139" s="11"/>
      <c r="N139" s="13"/>
      <c r="O139" s="13"/>
      <c r="P139" s="11"/>
      <c r="Q139" s="11"/>
      <c r="R139" s="13"/>
      <c r="S139" s="13"/>
      <c r="T139" s="11"/>
      <c r="U139" s="11"/>
      <c r="V139" s="13"/>
      <c r="W139" s="13"/>
      <c r="X139" s="11"/>
      <c r="Y139" s="11"/>
      <c r="Z139" s="13"/>
      <c r="AA139" s="13"/>
      <c r="AB139" s="11"/>
      <c r="AC139" s="11"/>
      <c r="AD139" s="13"/>
      <c r="AE139" s="13"/>
      <c r="AF139" s="11"/>
      <c r="AG139" s="11"/>
      <c r="AH139" s="13"/>
      <c r="AI139" s="13"/>
      <c r="AJ139" s="11"/>
      <c r="AK139" s="11"/>
      <c r="AL139" s="13"/>
      <c r="AM139" s="13"/>
      <c r="AN139" s="11"/>
      <c r="AO139" s="11"/>
    </row>
    <row r="140" spans="1:41" x14ac:dyDescent="0.3">
      <c r="A140" s="3">
        <v>134</v>
      </c>
      <c r="B140" s="187"/>
      <c r="C140" s="71" t="s">
        <v>352</v>
      </c>
      <c r="D140" s="72" t="s">
        <v>134</v>
      </c>
      <c r="E140" s="72"/>
      <c r="F140" s="73"/>
      <c r="G140" s="17" t="s">
        <v>353</v>
      </c>
      <c r="H140" s="22"/>
      <c r="I140" s="22"/>
      <c r="J140" s="13" t="s">
        <v>66</v>
      </c>
      <c r="K140" s="13"/>
      <c r="L140" s="11"/>
      <c r="M140" s="11"/>
      <c r="N140" s="13"/>
      <c r="O140" s="13"/>
      <c r="P140" s="11"/>
      <c r="Q140" s="11"/>
      <c r="R140" s="13"/>
      <c r="S140" s="13"/>
      <c r="T140" s="11"/>
      <c r="U140" s="11"/>
      <c r="V140" s="13"/>
      <c r="W140" s="13"/>
      <c r="X140" s="11"/>
      <c r="Y140" s="11"/>
      <c r="Z140" s="13"/>
      <c r="AA140" s="13"/>
      <c r="AB140" s="11"/>
      <c r="AC140" s="11"/>
      <c r="AD140" s="13"/>
      <c r="AE140" s="13"/>
      <c r="AF140" s="11"/>
      <c r="AG140" s="11"/>
      <c r="AH140" s="13"/>
      <c r="AI140" s="13"/>
      <c r="AJ140" s="11"/>
      <c r="AK140" s="11"/>
      <c r="AL140" s="13"/>
      <c r="AM140" s="13"/>
      <c r="AN140" s="11"/>
      <c r="AO140" s="11"/>
    </row>
    <row r="141" spans="1:41" ht="29" x14ac:dyDescent="0.35">
      <c r="A141" s="3">
        <v>135</v>
      </c>
      <c r="B141" s="187"/>
      <c r="C141" s="71" t="s">
        <v>354</v>
      </c>
      <c r="D141" s="79" t="s">
        <v>254</v>
      </c>
      <c r="E141" s="72"/>
      <c r="F141" s="73" t="s">
        <v>75</v>
      </c>
      <c r="G141" s="17" t="s">
        <v>255</v>
      </c>
      <c r="H141" s="22"/>
      <c r="I141" s="22"/>
      <c r="J141" s="13" t="s">
        <v>66</v>
      </c>
      <c r="K141" s="13"/>
      <c r="L141" s="11"/>
      <c r="M141" s="11"/>
      <c r="N141" s="13"/>
      <c r="O141" s="13"/>
      <c r="P141" s="11"/>
      <c r="Q141" s="11"/>
      <c r="R141" s="13"/>
      <c r="S141" s="13"/>
      <c r="T141" s="11"/>
      <c r="U141" s="11"/>
      <c r="V141" s="13"/>
      <c r="W141" s="13"/>
      <c r="X141" s="11"/>
      <c r="Y141" s="11"/>
      <c r="Z141" s="13"/>
      <c r="AA141" s="13"/>
      <c r="AB141" s="11"/>
      <c r="AC141" s="11"/>
      <c r="AD141" s="13"/>
      <c r="AE141" s="13"/>
      <c r="AF141" s="11"/>
      <c r="AG141" s="11"/>
      <c r="AH141" s="13"/>
      <c r="AI141" s="13"/>
      <c r="AJ141" s="11"/>
      <c r="AK141" s="11"/>
      <c r="AL141" s="13"/>
      <c r="AM141" s="13"/>
      <c r="AN141" s="11"/>
      <c r="AO141" s="11"/>
    </row>
    <row r="142" spans="1:41" x14ac:dyDescent="0.3">
      <c r="A142" s="3">
        <v>136</v>
      </c>
      <c r="B142" s="187"/>
      <c r="C142" s="71" t="s">
        <v>355</v>
      </c>
      <c r="D142" s="72" t="s">
        <v>337</v>
      </c>
      <c r="E142" s="72"/>
      <c r="F142" s="73" t="s">
        <v>149</v>
      </c>
      <c r="G142" s="17" t="s">
        <v>356</v>
      </c>
      <c r="H142" s="22"/>
      <c r="I142" s="22"/>
      <c r="J142" s="13" t="s">
        <v>66</v>
      </c>
      <c r="K142" s="13"/>
      <c r="L142" s="11"/>
      <c r="M142" s="11"/>
      <c r="N142" s="13"/>
      <c r="O142" s="13"/>
      <c r="P142" s="11"/>
      <c r="Q142" s="11"/>
      <c r="R142" s="13"/>
      <c r="S142" s="13"/>
      <c r="T142" s="11"/>
      <c r="U142" s="11"/>
      <c r="V142" s="13"/>
      <c r="W142" s="13"/>
      <c r="X142" s="11"/>
      <c r="Y142" s="11"/>
      <c r="Z142" s="13"/>
      <c r="AA142" s="13"/>
      <c r="AB142" s="11"/>
      <c r="AC142" s="11"/>
      <c r="AD142" s="13"/>
      <c r="AE142" s="13"/>
      <c r="AF142" s="11"/>
      <c r="AG142" s="11"/>
      <c r="AH142" s="13"/>
      <c r="AI142" s="13"/>
      <c r="AJ142" s="11"/>
      <c r="AK142" s="11"/>
      <c r="AL142" s="13"/>
      <c r="AM142" s="13"/>
      <c r="AN142" s="11"/>
      <c r="AO142" s="11"/>
    </row>
    <row r="143" spans="1:41" x14ac:dyDescent="0.3">
      <c r="A143" s="3">
        <v>137</v>
      </c>
      <c r="B143" s="187"/>
      <c r="C143" s="71" t="s">
        <v>357</v>
      </c>
      <c r="D143" s="72" t="s">
        <v>134</v>
      </c>
      <c r="E143" s="72"/>
      <c r="F143" s="73"/>
      <c r="G143" s="17" t="s">
        <v>358</v>
      </c>
      <c r="H143" s="22"/>
      <c r="I143" s="22"/>
      <c r="J143" s="13" t="s">
        <v>66</v>
      </c>
      <c r="K143" s="13"/>
      <c r="L143" s="11"/>
      <c r="M143" s="11"/>
      <c r="N143" s="13"/>
      <c r="O143" s="13"/>
      <c r="P143" s="11"/>
      <c r="Q143" s="11"/>
      <c r="R143" s="13"/>
      <c r="S143" s="13"/>
      <c r="T143" s="11"/>
      <c r="U143" s="11"/>
      <c r="V143" s="13"/>
      <c r="W143" s="13"/>
      <c r="X143" s="11"/>
      <c r="Y143" s="11"/>
      <c r="Z143" s="13"/>
      <c r="AA143" s="13"/>
      <c r="AB143" s="11"/>
      <c r="AC143" s="11"/>
      <c r="AD143" s="13"/>
      <c r="AE143" s="13"/>
      <c r="AF143" s="11"/>
      <c r="AG143" s="11"/>
      <c r="AH143" s="13"/>
      <c r="AI143" s="13"/>
      <c r="AJ143" s="11"/>
      <c r="AK143" s="11"/>
      <c r="AL143" s="13"/>
      <c r="AM143" s="13"/>
      <c r="AN143" s="11"/>
      <c r="AO143" s="11"/>
    </row>
    <row r="144" spans="1:41" ht="29" x14ac:dyDescent="0.35">
      <c r="A144" s="3">
        <v>138</v>
      </c>
      <c r="B144" s="187"/>
      <c r="C144" s="71" t="s">
        <v>359</v>
      </c>
      <c r="D144" s="79" t="s">
        <v>254</v>
      </c>
      <c r="E144" s="72"/>
      <c r="F144" s="73" t="s">
        <v>75</v>
      </c>
      <c r="G144" s="17" t="s">
        <v>255</v>
      </c>
      <c r="H144" s="22"/>
      <c r="I144" s="22"/>
      <c r="J144" s="13" t="s">
        <v>66</v>
      </c>
      <c r="K144" s="13"/>
      <c r="L144" s="11"/>
      <c r="M144" s="11"/>
      <c r="N144" s="13"/>
      <c r="O144" s="13"/>
      <c r="P144" s="11"/>
      <c r="Q144" s="11"/>
      <c r="R144" s="13"/>
      <c r="S144" s="13"/>
      <c r="T144" s="11"/>
      <c r="U144" s="11"/>
      <c r="V144" s="13"/>
      <c r="W144" s="13"/>
      <c r="X144" s="11"/>
      <c r="Y144" s="11"/>
      <c r="Z144" s="13"/>
      <c r="AA144" s="13"/>
      <c r="AB144" s="11"/>
      <c r="AC144" s="11"/>
      <c r="AD144" s="13"/>
      <c r="AE144" s="13"/>
      <c r="AF144" s="11"/>
      <c r="AG144" s="11"/>
      <c r="AH144" s="13"/>
      <c r="AI144" s="13"/>
      <c r="AJ144" s="11"/>
      <c r="AK144" s="11"/>
      <c r="AL144" s="13"/>
      <c r="AM144" s="13"/>
      <c r="AN144" s="11"/>
      <c r="AO144" s="11"/>
    </row>
    <row r="145" spans="1:41" x14ac:dyDescent="0.3">
      <c r="A145" s="3">
        <v>139</v>
      </c>
      <c r="B145" s="187"/>
      <c r="C145" s="71" t="s">
        <v>360</v>
      </c>
      <c r="D145" s="72" t="s">
        <v>337</v>
      </c>
      <c r="E145" s="72"/>
      <c r="F145" s="73" t="s">
        <v>149</v>
      </c>
      <c r="G145" s="17" t="s">
        <v>361</v>
      </c>
      <c r="H145" s="22"/>
      <c r="I145" s="22"/>
      <c r="J145" s="13" t="s">
        <v>66</v>
      </c>
      <c r="K145" s="13"/>
      <c r="L145" s="11"/>
      <c r="M145" s="11"/>
      <c r="N145" s="13"/>
      <c r="O145" s="13"/>
      <c r="P145" s="11"/>
      <c r="Q145" s="11"/>
      <c r="R145" s="13"/>
      <c r="S145" s="13"/>
      <c r="T145" s="11"/>
      <c r="U145" s="11"/>
      <c r="V145" s="13"/>
      <c r="W145" s="13"/>
      <c r="X145" s="11"/>
      <c r="Y145" s="11"/>
      <c r="Z145" s="13"/>
      <c r="AA145" s="13"/>
      <c r="AB145" s="11"/>
      <c r="AC145" s="11"/>
      <c r="AD145" s="13"/>
      <c r="AE145" s="13"/>
      <c r="AF145" s="11"/>
      <c r="AG145" s="11"/>
      <c r="AH145" s="13"/>
      <c r="AI145" s="13"/>
      <c r="AJ145" s="11"/>
      <c r="AK145" s="11"/>
      <c r="AL145" s="13"/>
      <c r="AM145" s="13"/>
      <c r="AN145" s="11"/>
      <c r="AO145" s="11"/>
    </row>
    <row r="146" spans="1:41" x14ac:dyDescent="0.3">
      <c r="A146" s="3">
        <v>140</v>
      </c>
      <c r="B146" s="187"/>
      <c r="C146" s="71" t="s">
        <v>362</v>
      </c>
      <c r="D146" s="72" t="s">
        <v>134</v>
      </c>
      <c r="E146" s="72"/>
      <c r="F146" s="73"/>
      <c r="G146" s="17" t="s">
        <v>363</v>
      </c>
      <c r="H146" s="22"/>
      <c r="I146" s="22"/>
      <c r="J146" s="13" t="s">
        <v>66</v>
      </c>
      <c r="K146" s="13"/>
      <c r="L146" s="11"/>
      <c r="M146" s="11"/>
      <c r="N146" s="13"/>
      <c r="O146" s="13"/>
      <c r="P146" s="11"/>
      <c r="Q146" s="11"/>
      <c r="R146" s="13"/>
      <c r="S146" s="13"/>
      <c r="T146" s="11"/>
      <c r="U146" s="11"/>
      <c r="V146" s="13"/>
      <c r="W146" s="13"/>
      <c r="X146" s="11"/>
      <c r="Y146" s="11"/>
      <c r="Z146" s="13"/>
      <c r="AA146" s="13"/>
      <c r="AB146" s="11"/>
      <c r="AC146" s="11"/>
      <c r="AD146" s="13"/>
      <c r="AE146" s="13"/>
      <c r="AF146" s="11"/>
      <c r="AG146" s="11"/>
      <c r="AH146" s="13"/>
      <c r="AI146" s="13"/>
      <c r="AJ146" s="11"/>
      <c r="AK146" s="11"/>
      <c r="AL146" s="13"/>
      <c r="AM146" s="13"/>
      <c r="AN146" s="11"/>
      <c r="AO146" s="11"/>
    </row>
    <row r="147" spans="1:41" ht="29" x14ac:dyDescent="0.35">
      <c r="A147" s="3">
        <v>141</v>
      </c>
      <c r="B147" s="187"/>
      <c r="C147" s="71" t="s">
        <v>364</v>
      </c>
      <c r="D147" s="79" t="s">
        <v>254</v>
      </c>
      <c r="E147" s="72"/>
      <c r="F147" s="73" t="s">
        <v>75</v>
      </c>
      <c r="G147" s="17" t="s">
        <v>255</v>
      </c>
      <c r="H147" s="22"/>
      <c r="I147" s="22"/>
      <c r="J147" s="13" t="s">
        <v>66</v>
      </c>
      <c r="K147" s="13"/>
      <c r="L147" s="11"/>
      <c r="M147" s="11"/>
      <c r="N147" s="13"/>
      <c r="O147" s="13"/>
      <c r="P147" s="11"/>
      <c r="Q147" s="11"/>
      <c r="R147" s="13"/>
      <c r="S147" s="13"/>
      <c r="T147" s="11"/>
      <c r="U147" s="11"/>
      <c r="V147" s="13"/>
      <c r="W147" s="13"/>
      <c r="X147" s="11"/>
      <c r="Y147" s="11"/>
      <c r="Z147" s="13"/>
      <c r="AA147" s="13"/>
      <c r="AB147" s="11"/>
      <c r="AC147" s="11"/>
      <c r="AD147" s="13"/>
      <c r="AE147" s="13"/>
      <c r="AF147" s="11"/>
      <c r="AG147" s="11"/>
      <c r="AH147" s="13"/>
      <c r="AI147" s="13"/>
      <c r="AJ147" s="11"/>
      <c r="AK147" s="11"/>
      <c r="AL147" s="13"/>
      <c r="AM147" s="13"/>
      <c r="AN147" s="11"/>
      <c r="AO147" s="11"/>
    </row>
    <row r="148" spans="1:41" x14ac:dyDescent="0.3">
      <c r="A148" s="3">
        <v>142</v>
      </c>
      <c r="B148" s="187"/>
      <c r="C148" s="71" t="s">
        <v>365</v>
      </c>
      <c r="D148" s="72" t="s">
        <v>337</v>
      </c>
      <c r="E148" s="72"/>
      <c r="F148" s="73" t="s">
        <v>149</v>
      </c>
      <c r="G148" s="17" t="s">
        <v>366</v>
      </c>
      <c r="H148" s="22"/>
      <c r="I148" s="22"/>
      <c r="J148" s="13" t="s">
        <v>66</v>
      </c>
      <c r="K148" s="13"/>
      <c r="L148" s="11"/>
      <c r="M148" s="11"/>
      <c r="N148" s="13"/>
      <c r="O148" s="13"/>
      <c r="P148" s="11"/>
      <c r="Q148" s="11"/>
      <c r="R148" s="13"/>
      <c r="S148" s="13"/>
      <c r="T148" s="11"/>
      <c r="U148" s="11"/>
      <c r="V148" s="13"/>
      <c r="W148" s="13"/>
      <c r="X148" s="11"/>
      <c r="Y148" s="11"/>
      <c r="Z148" s="13"/>
      <c r="AA148" s="13"/>
      <c r="AB148" s="11"/>
      <c r="AC148" s="11"/>
      <c r="AD148" s="13"/>
      <c r="AE148" s="13"/>
      <c r="AF148" s="11"/>
      <c r="AG148" s="11"/>
      <c r="AH148" s="13"/>
      <c r="AI148" s="13"/>
      <c r="AJ148" s="11"/>
      <c r="AK148" s="11"/>
      <c r="AL148" s="13"/>
      <c r="AM148" s="13"/>
      <c r="AN148" s="11"/>
      <c r="AO148" s="11"/>
    </row>
    <row r="149" spans="1:41" x14ac:dyDescent="0.3">
      <c r="A149" s="3">
        <v>143</v>
      </c>
      <c r="B149" s="187"/>
      <c r="C149" s="71" t="s">
        <v>367</v>
      </c>
      <c r="D149" s="72" t="s">
        <v>134</v>
      </c>
      <c r="E149" s="72"/>
      <c r="F149" s="73"/>
      <c r="G149" s="17" t="s">
        <v>368</v>
      </c>
      <c r="H149" s="22"/>
      <c r="I149" s="22"/>
      <c r="J149" s="13" t="s">
        <v>66</v>
      </c>
      <c r="K149" s="13"/>
      <c r="L149" s="11"/>
      <c r="M149" s="11"/>
      <c r="N149" s="13"/>
      <c r="O149" s="13"/>
      <c r="P149" s="11"/>
      <c r="Q149" s="11"/>
      <c r="R149" s="13"/>
      <c r="S149" s="13"/>
      <c r="T149" s="11"/>
      <c r="U149" s="11"/>
      <c r="V149" s="13"/>
      <c r="W149" s="13"/>
      <c r="X149" s="11"/>
      <c r="Y149" s="11"/>
      <c r="Z149" s="13"/>
      <c r="AA149" s="13"/>
      <c r="AB149" s="11"/>
      <c r="AC149" s="11"/>
      <c r="AD149" s="13"/>
      <c r="AE149" s="13"/>
      <c r="AF149" s="11"/>
      <c r="AG149" s="11"/>
      <c r="AH149" s="13"/>
      <c r="AI149" s="13"/>
      <c r="AJ149" s="11"/>
      <c r="AK149" s="11"/>
      <c r="AL149" s="13"/>
      <c r="AM149" s="13"/>
      <c r="AN149" s="11"/>
      <c r="AO149" s="11"/>
    </row>
    <row r="150" spans="1:41" ht="29" x14ac:dyDescent="0.35">
      <c r="A150" s="3">
        <v>144</v>
      </c>
      <c r="B150" s="187"/>
      <c r="C150" s="71" t="s">
        <v>369</v>
      </c>
      <c r="D150" s="79" t="s">
        <v>254</v>
      </c>
      <c r="E150" s="72"/>
      <c r="F150" s="73" t="s">
        <v>75</v>
      </c>
      <c r="G150" s="17" t="s">
        <v>255</v>
      </c>
      <c r="H150" s="22"/>
      <c r="I150" s="22"/>
      <c r="J150" s="13" t="s">
        <v>66</v>
      </c>
      <c r="K150" s="13"/>
      <c r="L150" s="11"/>
      <c r="M150" s="11"/>
      <c r="N150" s="13"/>
      <c r="O150" s="13"/>
      <c r="P150" s="11"/>
      <c r="Q150" s="11"/>
      <c r="R150" s="13"/>
      <c r="S150" s="13"/>
      <c r="T150" s="11"/>
      <c r="U150" s="11"/>
      <c r="V150" s="13"/>
      <c r="W150" s="13"/>
      <c r="X150" s="11"/>
      <c r="Y150" s="11"/>
      <c r="Z150" s="13"/>
      <c r="AA150" s="13"/>
      <c r="AB150" s="11"/>
      <c r="AC150" s="11"/>
      <c r="AD150" s="13"/>
      <c r="AE150" s="13"/>
      <c r="AF150" s="11"/>
      <c r="AG150" s="11"/>
      <c r="AH150" s="13"/>
      <c r="AI150" s="13"/>
      <c r="AJ150" s="11"/>
      <c r="AK150" s="11"/>
      <c r="AL150" s="13"/>
      <c r="AM150" s="13"/>
      <c r="AN150" s="11"/>
      <c r="AO150" s="11"/>
    </row>
    <row r="151" spans="1:41" x14ac:dyDescent="0.3">
      <c r="A151" s="3">
        <v>145</v>
      </c>
      <c r="B151" s="187"/>
      <c r="C151" s="71" t="s">
        <v>370</v>
      </c>
      <c r="D151" s="72" t="s">
        <v>337</v>
      </c>
      <c r="E151" s="72"/>
      <c r="F151" s="73" t="s">
        <v>149</v>
      </c>
      <c r="G151" s="17" t="s">
        <v>371</v>
      </c>
      <c r="H151" s="22"/>
      <c r="I151" s="22"/>
      <c r="J151" s="13" t="s">
        <v>66</v>
      </c>
      <c r="K151" s="13"/>
      <c r="L151" s="11"/>
      <c r="M151" s="11"/>
      <c r="N151" s="13"/>
      <c r="O151" s="13"/>
      <c r="P151" s="11"/>
      <c r="Q151" s="11"/>
      <c r="R151" s="13"/>
      <c r="S151" s="13"/>
      <c r="T151" s="11"/>
      <c r="U151" s="11"/>
      <c r="V151" s="13"/>
      <c r="W151" s="13"/>
      <c r="X151" s="11"/>
      <c r="Y151" s="11"/>
      <c r="Z151" s="13"/>
      <c r="AA151" s="13"/>
      <c r="AB151" s="11"/>
      <c r="AC151" s="11"/>
      <c r="AD151" s="13"/>
      <c r="AE151" s="13"/>
      <c r="AF151" s="11"/>
      <c r="AG151" s="11"/>
      <c r="AH151" s="13"/>
      <c r="AI151" s="13"/>
      <c r="AJ151" s="11"/>
      <c r="AK151" s="11"/>
      <c r="AL151" s="13"/>
      <c r="AM151" s="13"/>
      <c r="AN151" s="11"/>
      <c r="AO151" s="11"/>
    </row>
    <row r="152" spans="1:41" x14ac:dyDescent="0.3">
      <c r="A152" s="3">
        <v>146</v>
      </c>
      <c r="B152" s="187"/>
      <c r="C152" s="71" t="s">
        <v>372</v>
      </c>
      <c r="D152" s="72" t="s">
        <v>134</v>
      </c>
      <c r="E152" s="72"/>
      <c r="F152" s="73"/>
      <c r="G152" s="17" t="s">
        <v>373</v>
      </c>
      <c r="H152" s="22"/>
      <c r="I152" s="22"/>
      <c r="J152" s="13" t="s">
        <v>66</v>
      </c>
      <c r="K152" s="13"/>
      <c r="L152" s="11"/>
      <c r="M152" s="11"/>
      <c r="N152" s="13"/>
      <c r="O152" s="13"/>
      <c r="P152" s="11"/>
      <c r="Q152" s="11"/>
      <c r="R152" s="13"/>
      <c r="S152" s="13"/>
      <c r="T152" s="11"/>
      <c r="U152" s="11"/>
      <c r="V152" s="13"/>
      <c r="W152" s="13"/>
      <c r="X152" s="11"/>
      <c r="Y152" s="11"/>
      <c r="Z152" s="13"/>
      <c r="AA152" s="13"/>
      <c r="AB152" s="11"/>
      <c r="AC152" s="11"/>
      <c r="AD152" s="13"/>
      <c r="AE152" s="13"/>
      <c r="AF152" s="11"/>
      <c r="AG152" s="11"/>
      <c r="AH152" s="13"/>
      <c r="AI152" s="13"/>
      <c r="AJ152" s="11"/>
      <c r="AK152" s="11"/>
      <c r="AL152" s="13"/>
      <c r="AM152" s="13"/>
      <c r="AN152" s="11"/>
      <c r="AO152" s="11"/>
    </row>
    <row r="153" spans="1:41" ht="29" x14ac:dyDescent="0.35">
      <c r="A153" s="3">
        <v>147</v>
      </c>
      <c r="B153" s="187"/>
      <c r="C153" s="71" t="s">
        <v>374</v>
      </c>
      <c r="D153" s="79" t="s">
        <v>254</v>
      </c>
      <c r="E153" s="72"/>
      <c r="F153" s="73" t="s">
        <v>75</v>
      </c>
      <c r="G153" s="17" t="s">
        <v>255</v>
      </c>
      <c r="H153" s="22"/>
      <c r="I153" s="22"/>
      <c r="J153" s="13" t="s">
        <v>66</v>
      </c>
      <c r="K153" s="13"/>
      <c r="L153" s="11"/>
      <c r="M153" s="11"/>
      <c r="N153" s="13"/>
      <c r="O153" s="13"/>
      <c r="P153" s="11"/>
      <c r="Q153" s="11"/>
      <c r="R153" s="13"/>
      <c r="S153" s="13"/>
      <c r="T153" s="11"/>
      <c r="U153" s="11"/>
      <c r="V153" s="13"/>
      <c r="W153" s="13"/>
      <c r="X153" s="11"/>
      <c r="Y153" s="11"/>
      <c r="Z153" s="13"/>
      <c r="AA153" s="13"/>
      <c r="AB153" s="11"/>
      <c r="AC153" s="11"/>
      <c r="AD153" s="13"/>
      <c r="AE153" s="13"/>
      <c r="AF153" s="11"/>
      <c r="AG153" s="11"/>
      <c r="AH153" s="13"/>
      <c r="AI153" s="13"/>
      <c r="AJ153" s="11"/>
      <c r="AK153" s="11"/>
      <c r="AL153" s="13"/>
      <c r="AM153" s="13"/>
      <c r="AN153" s="11"/>
      <c r="AO153" s="11"/>
    </row>
    <row r="154" spans="1:41" x14ac:dyDescent="0.3">
      <c r="A154" s="3">
        <v>148</v>
      </c>
      <c r="B154" s="187"/>
      <c r="C154" s="71" t="s">
        <v>375</v>
      </c>
      <c r="D154" s="72" t="s">
        <v>337</v>
      </c>
      <c r="E154" s="72"/>
      <c r="F154" s="73" t="s">
        <v>149</v>
      </c>
      <c r="G154" s="17" t="s">
        <v>376</v>
      </c>
      <c r="H154" s="22"/>
      <c r="I154" s="22"/>
      <c r="J154" s="13" t="s">
        <v>66</v>
      </c>
      <c r="K154" s="13"/>
      <c r="L154" s="11"/>
      <c r="M154" s="11"/>
      <c r="N154" s="13"/>
      <c r="O154" s="13"/>
      <c r="P154" s="11"/>
      <c r="Q154" s="11"/>
      <c r="R154" s="13"/>
      <c r="S154" s="13"/>
      <c r="T154" s="11"/>
      <c r="U154" s="11"/>
      <c r="V154" s="13"/>
      <c r="W154" s="13"/>
      <c r="X154" s="11"/>
      <c r="Y154" s="11"/>
      <c r="Z154" s="13"/>
      <c r="AA154" s="13"/>
      <c r="AB154" s="11"/>
      <c r="AC154" s="11"/>
      <c r="AD154" s="13"/>
      <c r="AE154" s="13"/>
      <c r="AF154" s="11"/>
      <c r="AG154" s="11"/>
      <c r="AH154" s="13"/>
      <c r="AI154" s="13"/>
      <c r="AJ154" s="11"/>
      <c r="AK154" s="11"/>
      <c r="AL154" s="13"/>
      <c r="AM154" s="13"/>
      <c r="AN154" s="11"/>
      <c r="AO154" s="11"/>
    </row>
    <row r="155" spans="1:41" x14ac:dyDescent="0.3">
      <c r="A155" s="3">
        <v>149</v>
      </c>
      <c r="B155" s="187"/>
      <c r="C155" s="71" t="s">
        <v>377</v>
      </c>
      <c r="D155" s="72" t="s">
        <v>134</v>
      </c>
      <c r="E155" s="72"/>
      <c r="F155" s="73"/>
      <c r="G155" s="17" t="s">
        <v>378</v>
      </c>
      <c r="H155" s="22"/>
      <c r="I155" s="22"/>
      <c r="J155" s="13" t="s">
        <v>66</v>
      </c>
      <c r="K155" s="13"/>
      <c r="L155" s="11"/>
      <c r="M155" s="11"/>
      <c r="N155" s="13"/>
      <c r="O155" s="13"/>
      <c r="P155" s="11"/>
      <c r="Q155" s="11"/>
      <c r="R155" s="13"/>
      <c r="S155" s="13"/>
      <c r="T155" s="11"/>
      <c r="U155" s="11"/>
      <c r="V155" s="13"/>
      <c r="W155" s="13"/>
      <c r="X155" s="11"/>
      <c r="Y155" s="11"/>
      <c r="Z155" s="13"/>
      <c r="AA155" s="13"/>
      <c r="AB155" s="11"/>
      <c r="AC155" s="11"/>
      <c r="AD155" s="13"/>
      <c r="AE155" s="13"/>
      <c r="AF155" s="11"/>
      <c r="AG155" s="11"/>
      <c r="AH155" s="13"/>
      <c r="AI155" s="13"/>
      <c r="AJ155" s="11"/>
      <c r="AK155" s="11"/>
      <c r="AL155" s="13"/>
      <c r="AM155" s="13"/>
      <c r="AN155" s="11"/>
      <c r="AO155" s="11"/>
    </row>
    <row r="156" spans="1:41" ht="29" x14ac:dyDescent="0.35">
      <c r="A156" s="3">
        <v>150</v>
      </c>
      <c r="B156" s="187"/>
      <c r="C156" s="71" t="s">
        <v>379</v>
      </c>
      <c r="D156" s="79" t="s">
        <v>254</v>
      </c>
      <c r="E156" s="72"/>
      <c r="F156" s="73" t="s">
        <v>75</v>
      </c>
      <c r="G156" s="17" t="s">
        <v>255</v>
      </c>
      <c r="H156" s="22"/>
      <c r="I156" s="22"/>
      <c r="J156" s="13" t="s">
        <v>66</v>
      </c>
      <c r="K156" s="13"/>
      <c r="L156" s="11"/>
      <c r="M156" s="11"/>
      <c r="N156" s="13"/>
      <c r="O156" s="13"/>
      <c r="P156" s="11"/>
      <c r="Q156" s="11"/>
      <c r="R156" s="13"/>
      <c r="S156" s="13"/>
      <c r="T156" s="11"/>
      <c r="U156" s="11"/>
      <c r="V156" s="13"/>
      <c r="W156" s="13"/>
      <c r="X156" s="11"/>
      <c r="Y156" s="11"/>
      <c r="Z156" s="13"/>
      <c r="AA156" s="13"/>
      <c r="AB156" s="11"/>
      <c r="AC156" s="11"/>
      <c r="AD156" s="13"/>
      <c r="AE156" s="13"/>
      <c r="AF156" s="11"/>
      <c r="AG156" s="11"/>
      <c r="AH156" s="13"/>
      <c r="AI156" s="13"/>
      <c r="AJ156" s="11"/>
      <c r="AK156" s="11"/>
      <c r="AL156" s="13"/>
      <c r="AM156" s="13"/>
      <c r="AN156" s="11"/>
      <c r="AO156" s="11"/>
    </row>
    <row r="157" spans="1:41" x14ac:dyDescent="0.3">
      <c r="A157" s="3">
        <v>151</v>
      </c>
      <c r="B157" s="187"/>
      <c r="C157" s="71" t="s">
        <v>380</v>
      </c>
      <c r="D157" s="72" t="s">
        <v>337</v>
      </c>
      <c r="E157" s="72"/>
      <c r="F157" s="73" t="s">
        <v>149</v>
      </c>
      <c r="G157" s="17" t="s">
        <v>381</v>
      </c>
      <c r="H157" s="22"/>
      <c r="I157" s="22"/>
      <c r="J157" s="13" t="s">
        <v>66</v>
      </c>
      <c r="K157" s="13"/>
      <c r="L157" s="11"/>
      <c r="M157" s="11"/>
      <c r="N157" s="13"/>
      <c r="O157" s="13"/>
      <c r="P157" s="11"/>
      <c r="Q157" s="11"/>
      <c r="R157" s="13"/>
      <c r="S157" s="13"/>
      <c r="T157" s="11"/>
      <c r="U157" s="11"/>
      <c r="V157" s="13"/>
      <c r="W157" s="13"/>
      <c r="X157" s="11"/>
      <c r="Y157" s="11"/>
      <c r="Z157" s="13"/>
      <c r="AA157" s="13"/>
      <c r="AB157" s="11"/>
      <c r="AC157" s="11"/>
      <c r="AD157" s="13"/>
      <c r="AE157" s="13"/>
      <c r="AF157" s="11"/>
      <c r="AG157" s="11"/>
      <c r="AH157" s="13"/>
      <c r="AI157" s="13"/>
      <c r="AJ157" s="11"/>
      <c r="AK157" s="11"/>
      <c r="AL157" s="13"/>
      <c r="AM157" s="13"/>
      <c r="AN157" s="11"/>
      <c r="AO157" s="11"/>
    </row>
    <row r="158" spans="1:41" x14ac:dyDescent="0.3">
      <c r="A158" s="3">
        <v>152</v>
      </c>
      <c r="B158" s="187"/>
      <c r="C158" s="71" t="s">
        <v>382</v>
      </c>
      <c r="D158" s="72" t="s">
        <v>134</v>
      </c>
      <c r="E158" s="72"/>
      <c r="F158" s="73"/>
      <c r="G158" s="17" t="s">
        <v>383</v>
      </c>
      <c r="H158" s="22"/>
      <c r="I158" s="22"/>
      <c r="J158" s="13" t="s">
        <v>66</v>
      </c>
      <c r="K158" s="13"/>
      <c r="L158" s="11"/>
      <c r="M158" s="11"/>
      <c r="N158" s="13"/>
      <c r="O158" s="13"/>
      <c r="P158" s="11"/>
      <c r="Q158" s="11"/>
      <c r="R158" s="13"/>
      <c r="S158" s="13"/>
      <c r="T158" s="11"/>
      <c r="U158" s="11"/>
      <c r="V158" s="13"/>
      <c r="W158" s="13"/>
      <c r="X158" s="11"/>
      <c r="Y158" s="11"/>
      <c r="Z158" s="13"/>
      <c r="AA158" s="13"/>
      <c r="AB158" s="11"/>
      <c r="AC158" s="11"/>
      <c r="AD158" s="13"/>
      <c r="AE158" s="13"/>
      <c r="AF158" s="11"/>
      <c r="AG158" s="11"/>
      <c r="AH158" s="13"/>
      <c r="AI158" s="13"/>
      <c r="AJ158" s="11"/>
      <c r="AK158" s="11"/>
      <c r="AL158" s="13"/>
      <c r="AM158" s="13"/>
      <c r="AN158" s="11"/>
      <c r="AO158" s="11"/>
    </row>
    <row r="159" spans="1:41" ht="29" x14ac:dyDescent="0.35">
      <c r="A159" s="3">
        <v>153</v>
      </c>
      <c r="B159" s="187"/>
      <c r="C159" s="71" t="s">
        <v>384</v>
      </c>
      <c r="D159" s="79" t="s">
        <v>254</v>
      </c>
      <c r="E159" s="72"/>
      <c r="F159" s="73" t="s">
        <v>75</v>
      </c>
      <c r="G159" s="17" t="s">
        <v>255</v>
      </c>
      <c r="H159" s="22"/>
      <c r="I159" s="22"/>
      <c r="J159" s="13" t="s">
        <v>66</v>
      </c>
      <c r="K159" s="13"/>
      <c r="L159" s="11"/>
      <c r="M159" s="11"/>
      <c r="N159" s="13"/>
      <c r="O159" s="13"/>
      <c r="P159" s="11"/>
      <c r="Q159" s="11"/>
      <c r="R159" s="13"/>
      <c r="S159" s="13"/>
      <c r="T159" s="11"/>
      <c r="U159" s="11"/>
      <c r="V159" s="13"/>
      <c r="W159" s="13"/>
      <c r="X159" s="11"/>
      <c r="Y159" s="11"/>
      <c r="Z159" s="13"/>
      <c r="AA159" s="13"/>
      <c r="AB159" s="11"/>
      <c r="AC159" s="11"/>
      <c r="AD159" s="13"/>
      <c r="AE159" s="13"/>
      <c r="AF159" s="11"/>
      <c r="AG159" s="11"/>
      <c r="AH159" s="13"/>
      <c r="AI159" s="13"/>
      <c r="AJ159" s="11"/>
      <c r="AK159" s="11"/>
      <c r="AL159" s="13"/>
      <c r="AM159" s="13"/>
      <c r="AN159" s="11"/>
      <c r="AO159" s="11"/>
    </row>
    <row r="160" spans="1:41" x14ac:dyDescent="0.3">
      <c r="A160" s="3">
        <v>154</v>
      </c>
      <c r="B160" s="187"/>
      <c r="C160" s="71" t="s">
        <v>385</v>
      </c>
      <c r="D160" s="72" t="s">
        <v>337</v>
      </c>
      <c r="E160" s="72"/>
      <c r="F160" s="73" t="s">
        <v>149</v>
      </c>
      <c r="G160" s="17" t="s">
        <v>386</v>
      </c>
      <c r="H160" s="22"/>
      <c r="I160" s="22"/>
      <c r="J160" s="13" t="s">
        <v>66</v>
      </c>
      <c r="K160" s="13"/>
      <c r="L160" s="11"/>
      <c r="M160" s="11"/>
      <c r="N160" s="13"/>
      <c r="O160" s="13"/>
      <c r="P160" s="11"/>
      <c r="Q160" s="11"/>
      <c r="R160" s="13"/>
      <c r="S160" s="13"/>
      <c r="T160" s="11"/>
      <c r="U160" s="11"/>
      <c r="V160" s="13"/>
      <c r="W160" s="13"/>
      <c r="X160" s="11"/>
      <c r="Y160" s="11"/>
      <c r="Z160" s="13"/>
      <c r="AA160" s="13"/>
      <c r="AB160" s="11"/>
      <c r="AC160" s="11"/>
      <c r="AD160" s="13"/>
      <c r="AE160" s="13"/>
      <c r="AF160" s="11"/>
      <c r="AG160" s="11"/>
      <c r="AH160" s="13"/>
      <c r="AI160" s="13"/>
      <c r="AJ160" s="11"/>
      <c r="AK160" s="11"/>
      <c r="AL160" s="13"/>
      <c r="AM160" s="13"/>
      <c r="AN160" s="11"/>
      <c r="AO160" s="11"/>
    </row>
    <row r="161" spans="1:41" x14ac:dyDescent="0.3">
      <c r="A161" s="3">
        <v>155</v>
      </c>
      <c r="B161" s="187"/>
      <c r="C161" s="71" t="s">
        <v>387</v>
      </c>
      <c r="D161" s="72" t="s">
        <v>134</v>
      </c>
      <c r="E161" s="72"/>
      <c r="F161" s="73"/>
      <c r="G161" s="17" t="s">
        <v>388</v>
      </c>
      <c r="H161" s="22"/>
      <c r="I161" s="22"/>
      <c r="J161" s="13" t="s">
        <v>66</v>
      </c>
      <c r="K161" s="13"/>
      <c r="L161" s="11"/>
      <c r="M161" s="11"/>
      <c r="N161" s="13"/>
      <c r="O161" s="13"/>
      <c r="P161" s="11"/>
      <c r="Q161" s="11"/>
      <c r="R161" s="13"/>
      <c r="S161" s="13"/>
      <c r="T161" s="11"/>
      <c r="U161" s="11"/>
      <c r="V161" s="13"/>
      <c r="W161" s="13"/>
      <c r="X161" s="11"/>
      <c r="Y161" s="11"/>
      <c r="Z161" s="13"/>
      <c r="AA161" s="13"/>
      <c r="AB161" s="11"/>
      <c r="AC161" s="11"/>
      <c r="AD161" s="13"/>
      <c r="AE161" s="13"/>
      <c r="AF161" s="11"/>
      <c r="AG161" s="11"/>
      <c r="AH161" s="13"/>
      <c r="AI161" s="13"/>
      <c r="AJ161" s="11"/>
      <c r="AK161" s="11"/>
      <c r="AL161" s="13"/>
      <c r="AM161" s="13"/>
      <c r="AN161" s="11"/>
      <c r="AO161" s="11"/>
    </row>
    <row r="162" spans="1:41" ht="29" x14ac:dyDescent="0.35">
      <c r="A162" s="3">
        <v>156</v>
      </c>
      <c r="B162" s="187"/>
      <c r="C162" s="71" t="s">
        <v>389</v>
      </c>
      <c r="D162" s="79" t="s">
        <v>254</v>
      </c>
      <c r="E162" s="72"/>
      <c r="F162" s="73" t="s">
        <v>75</v>
      </c>
      <c r="G162" s="17" t="s">
        <v>255</v>
      </c>
      <c r="H162" s="22"/>
      <c r="I162" s="22"/>
      <c r="J162" s="13" t="s">
        <v>66</v>
      </c>
      <c r="K162" s="13"/>
      <c r="L162" s="11"/>
      <c r="M162" s="11"/>
      <c r="N162" s="13"/>
      <c r="O162" s="13"/>
      <c r="P162" s="11"/>
      <c r="Q162" s="11"/>
      <c r="R162" s="13"/>
      <c r="S162" s="13"/>
      <c r="T162" s="11"/>
      <c r="U162" s="11"/>
      <c r="V162" s="13"/>
      <c r="W162" s="13"/>
      <c r="X162" s="11"/>
      <c r="Y162" s="11"/>
      <c r="Z162" s="13"/>
      <c r="AA162" s="13"/>
      <c r="AB162" s="11"/>
      <c r="AC162" s="11"/>
      <c r="AD162" s="13"/>
      <c r="AE162" s="13"/>
      <c r="AF162" s="11"/>
      <c r="AG162" s="11"/>
      <c r="AH162" s="13"/>
      <c r="AI162" s="13"/>
      <c r="AJ162" s="11"/>
      <c r="AK162" s="11"/>
      <c r="AL162" s="13"/>
      <c r="AM162" s="13"/>
      <c r="AN162" s="11"/>
      <c r="AO162" s="11"/>
    </row>
    <row r="163" spans="1:41" x14ac:dyDescent="0.3">
      <c r="A163" s="3">
        <v>157</v>
      </c>
      <c r="B163" s="187"/>
      <c r="C163" s="71" t="s">
        <v>390</v>
      </c>
      <c r="D163" s="72" t="s">
        <v>337</v>
      </c>
      <c r="E163" s="72"/>
      <c r="F163" s="73" t="s">
        <v>149</v>
      </c>
      <c r="G163" s="17" t="s">
        <v>391</v>
      </c>
      <c r="H163" s="22"/>
      <c r="I163" s="22"/>
      <c r="J163" s="13" t="s">
        <v>66</v>
      </c>
      <c r="K163" s="13"/>
      <c r="L163" s="11"/>
      <c r="M163" s="11"/>
      <c r="N163" s="13"/>
      <c r="O163" s="13"/>
      <c r="P163" s="11"/>
      <c r="Q163" s="11"/>
      <c r="R163" s="13"/>
      <c r="S163" s="13"/>
      <c r="T163" s="11"/>
      <c r="U163" s="11"/>
      <c r="V163" s="13"/>
      <c r="W163" s="13"/>
      <c r="X163" s="11"/>
      <c r="Y163" s="11"/>
      <c r="Z163" s="13"/>
      <c r="AA163" s="13"/>
      <c r="AB163" s="11"/>
      <c r="AC163" s="11"/>
      <c r="AD163" s="13"/>
      <c r="AE163" s="13"/>
      <c r="AF163" s="11"/>
      <c r="AG163" s="11"/>
      <c r="AH163" s="13"/>
      <c r="AI163" s="13"/>
      <c r="AJ163" s="11"/>
      <c r="AK163" s="11"/>
      <c r="AL163" s="13"/>
      <c r="AM163" s="13"/>
      <c r="AN163" s="11"/>
      <c r="AO163" s="11"/>
    </row>
    <row r="164" spans="1:41" x14ac:dyDescent="0.3">
      <c r="A164" s="3">
        <v>158</v>
      </c>
      <c r="B164" s="187"/>
      <c r="C164" s="71" t="s">
        <v>392</v>
      </c>
      <c r="D164" s="72" t="s">
        <v>134</v>
      </c>
      <c r="E164" s="72"/>
      <c r="F164" s="73"/>
      <c r="G164" s="17" t="s">
        <v>393</v>
      </c>
      <c r="H164" s="22"/>
      <c r="I164" s="22"/>
      <c r="J164" s="13" t="s">
        <v>66</v>
      </c>
      <c r="K164" s="13"/>
      <c r="L164" s="11"/>
      <c r="M164" s="11"/>
      <c r="N164" s="13"/>
      <c r="O164" s="13"/>
      <c r="P164" s="11"/>
      <c r="Q164" s="11"/>
      <c r="R164" s="13"/>
      <c r="S164" s="13"/>
      <c r="T164" s="11"/>
      <c r="U164" s="11"/>
      <c r="V164" s="13"/>
      <c r="W164" s="13"/>
      <c r="X164" s="11"/>
      <c r="Y164" s="11"/>
      <c r="Z164" s="13"/>
      <c r="AA164" s="13"/>
      <c r="AB164" s="11"/>
      <c r="AC164" s="11"/>
      <c r="AD164" s="13"/>
      <c r="AE164" s="13"/>
      <c r="AF164" s="11"/>
      <c r="AG164" s="11"/>
      <c r="AH164" s="13"/>
      <c r="AI164" s="13"/>
      <c r="AJ164" s="11"/>
      <c r="AK164" s="11"/>
      <c r="AL164" s="13"/>
      <c r="AM164" s="13"/>
      <c r="AN164" s="11"/>
      <c r="AO164" s="11"/>
    </row>
    <row r="165" spans="1:41" ht="29" x14ac:dyDescent="0.35">
      <c r="A165" s="3">
        <v>159</v>
      </c>
      <c r="B165" s="187"/>
      <c r="C165" s="71" t="s">
        <v>394</v>
      </c>
      <c r="D165" s="79" t="s">
        <v>254</v>
      </c>
      <c r="E165" s="72"/>
      <c r="F165" s="73" t="s">
        <v>75</v>
      </c>
      <c r="G165" s="17" t="s">
        <v>255</v>
      </c>
      <c r="H165" s="22"/>
      <c r="I165" s="22"/>
      <c r="J165" s="13" t="s">
        <v>66</v>
      </c>
      <c r="K165" s="13"/>
      <c r="L165" s="11"/>
      <c r="M165" s="11"/>
      <c r="N165" s="13"/>
      <c r="O165" s="13"/>
      <c r="P165" s="11"/>
      <c r="Q165" s="11"/>
      <c r="R165" s="13"/>
      <c r="S165" s="13"/>
      <c r="T165" s="11"/>
      <c r="U165" s="11"/>
      <c r="V165" s="13"/>
      <c r="W165" s="13"/>
      <c r="X165" s="11"/>
      <c r="Y165" s="11"/>
      <c r="Z165" s="13"/>
      <c r="AA165" s="13"/>
      <c r="AB165" s="11"/>
      <c r="AC165" s="11"/>
      <c r="AD165" s="13"/>
      <c r="AE165" s="13"/>
      <c r="AF165" s="11"/>
      <c r="AG165" s="11"/>
      <c r="AH165" s="13"/>
      <c r="AI165" s="13"/>
      <c r="AJ165" s="11"/>
      <c r="AK165" s="11"/>
      <c r="AL165" s="13"/>
      <c r="AM165" s="13"/>
      <c r="AN165" s="11"/>
      <c r="AO165" s="11"/>
    </row>
    <row r="166" spans="1:41" x14ac:dyDescent="0.3">
      <c r="A166" s="3">
        <v>160</v>
      </c>
      <c r="B166" s="187"/>
      <c r="C166" s="71" t="s">
        <v>395</v>
      </c>
      <c r="D166" s="72" t="s">
        <v>337</v>
      </c>
      <c r="E166" s="72"/>
      <c r="F166" s="73" t="s">
        <v>149</v>
      </c>
      <c r="G166" s="17" t="s">
        <v>396</v>
      </c>
      <c r="H166" s="22"/>
      <c r="I166" s="22"/>
      <c r="J166" s="13" t="s">
        <v>66</v>
      </c>
      <c r="K166" s="13"/>
      <c r="L166" s="11"/>
      <c r="M166" s="11"/>
      <c r="N166" s="13"/>
      <c r="O166" s="13"/>
      <c r="P166" s="11"/>
      <c r="Q166" s="11"/>
      <c r="R166" s="13"/>
      <c r="S166" s="13"/>
      <c r="T166" s="11"/>
      <c r="U166" s="11"/>
      <c r="V166" s="13"/>
      <c r="W166" s="13"/>
      <c r="X166" s="11"/>
      <c r="Y166" s="11"/>
      <c r="Z166" s="13"/>
      <c r="AA166" s="13"/>
      <c r="AB166" s="11"/>
      <c r="AC166" s="11"/>
      <c r="AD166" s="13"/>
      <c r="AE166" s="13"/>
      <c r="AF166" s="11"/>
      <c r="AG166" s="11"/>
      <c r="AH166" s="13"/>
      <c r="AI166" s="13"/>
      <c r="AJ166" s="11"/>
      <c r="AK166" s="11"/>
      <c r="AL166" s="13"/>
      <c r="AM166" s="13"/>
      <c r="AN166" s="11"/>
      <c r="AO166" s="11"/>
    </row>
    <row r="167" spans="1:41" x14ac:dyDescent="0.3">
      <c r="A167" s="3">
        <v>161</v>
      </c>
      <c r="B167" s="187"/>
      <c r="C167" s="71" t="s">
        <v>397</v>
      </c>
      <c r="D167" s="72" t="s">
        <v>134</v>
      </c>
      <c r="E167" s="72"/>
      <c r="F167" s="73"/>
      <c r="G167" s="17" t="s">
        <v>398</v>
      </c>
      <c r="H167" s="22"/>
      <c r="I167" s="22"/>
      <c r="J167" s="13" t="s">
        <v>66</v>
      </c>
      <c r="K167" s="13"/>
      <c r="L167" s="11"/>
      <c r="M167" s="11"/>
      <c r="N167" s="13"/>
      <c r="O167" s="13"/>
      <c r="P167" s="11"/>
      <c r="Q167" s="11"/>
      <c r="R167" s="13"/>
      <c r="S167" s="13"/>
      <c r="T167" s="11"/>
      <c r="U167" s="11"/>
      <c r="V167" s="13"/>
      <c r="W167" s="13"/>
      <c r="X167" s="11"/>
      <c r="Y167" s="11"/>
      <c r="Z167" s="13"/>
      <c r="AA167" s="13"/>
      <c r="AB167" s="11"/>
      <c r="AC167" s="11"/>
      <c r="AD167" s="13"/>
      <c r="AE167" s="13"/>
      <c r="AF167" s="11"/>
      <c r="AG167" s="11"/>
      <c r="AH167" s="13"/>
      <c r="AI167" s="13"/>
      <c r="AJ167" s="11"/>
      <c r="AK167" s="11"/>
      <c r="AL167" s="13"/>
      <c r="AM167" s="13"/>
      <c r="AN167" s="11"/>
      <c r="AO167" s="11"/>
    </row>
    <row r="168" spans="1:41" ht="29" x14ac:dyDescent="0.35">
      <c r="A168" s="3">
        <v>162</v>
      </c>
      <c r="B168" s="187"/>
      <c r="C168" s="71" t="s">
        <v>399</v>
      </c>
      <c r="D168" s="79" t="s">
        <v>254</v>
      </c>
      <c r="E168" s="72"/>
      <c r="F168" s="73" t="s">
        <v>75</v>
      </c>
      <c r="G168" s="17" t="s">
        <v>255</v>
      </c>
      <c r="H168" s="22"/>
      <c r="I168" s="22"/>
      <c r="J168" s="13" t="s">
        <v>66</v>
      </c>
      <c r="K168" s="13"/>
      <c r="L168" s="11"/>
      <c r="M168" s="11"/>
      <c r="N168" s="13"/>
      <c r="O168" s="13"/>
      <c r="P168" s="11"/>
      <c r="Q168" s="11"/>
      <c r="R168" s="13"/>
      <c r="S168" s="13"/>
      <c r="T168" s="11"/>
      <c r="U168" s="11"/>
      <c r="V168" s="13"/>
      <c r="W168" s="13"/>
      <c r="X168" s="11"/>
      <c r="Y168" s="11"/>
      <c r="Z168" s="13"/>
      <c r="AA168" s="13"/>
      <c r="AB168" s="11"/>
      <c r="AC168" s="11"/>
      <c r="AD168" s="13"/>
      <c r="AE168" s="13"/>
      <c r="AF168" s="11"/>
      <c r="AG168" s="11"/>
      <c r="AH168" s="13"/>
      <c r="AI168" s="13"/>
      <c r="AJ168" s="11"/>
      <c r="AK168" s="11"/>
      <c r="AL168" s="13"/>
      <c r="AM168" s="13"/>
      <c r="AN168" s="11"/>
      <c r="AO168" s="11"/>
    </row>
    <row r="169" spans="1:41" x14ac:dyDescent="0.3">
      <c r="A169" s="3">
        <v>163</v>
      </c>
      <c r="B169" s="187"/>
      <c r="C169" s="71" t="s">
        <v>400</v>
      </c>
      <c r="D169" s="72" t="s">
        <v>337</v>
      </c>
      <c r="E169" s="72"/>
      <c r="F169" s="73" t="s">
        <v>149</v>
      </c>
      <c r="G169" s="17" t="s">
        <v>401</v>
      </c>
      <c r="H169" s="22"/>
      <c r="I169" s="22"/>
      <c r="J169" s="13" t="s">
        <v>66</v>
      </c>
      <c r="K169" s="13"/>
      <c r="L169" s="11"/>
      <c r="M169" s="11"/>
      <c r="N169" s="13"/>
      <c r="O169" s="13"/>
      <c r="P169" s="11"/>
      <c r="Q169" s="11"/>
      <c r="R169" s="13"/>
      <c r="S169" s="13"/>
      <c r="T169" s="11"/>
      <c r="U169" s="11"/>
      <c r="V169" s="13"/>
      <c r="W169" s="13"/>
      <c r="X169" s="11"/>
      <c r="Y169" s="11"/>
      <c r="Z169" s="13"/>
      <c r="AA169" s="13"/>
      <c r="AB169" s="11"/>
      <c r="AC169" s="11"/>
      <c r="AD169" s="13"/>
      <c r="AE169" s="13"/>
      <c r="AF169" s="11"/>
      <c r="AG169" s="11"/>
      <c r="AH169" s="13"/>
      <c r="AI169" s="13"/>
      <c r="AJ169" s="11"/>
      <c r="AK169" s="11"/>
      <c r="AL169" s="13"/>
      <c r="AM169" s="13"/>
      <c r="AN169" s="11"/>
      <c r="AO169" s="11"/>
    </row>
    <row r="170" spans="1:41" x14ac:dyDescent="0.3">
      <c r="A170" s="189" t="s">
        <v>402</v>
      </c>
      <c r="B170" s="190"/>
      <c r="C170" s="190"/>
      <c r="D170" s="190"/>
      <c r="E170" s="190"/>
      <c r="F170" s="190"/>
      <c r="G170" s="190"/>
      <c r="H170" s="22"/>
      <c r="I170" s="22"/>
      <c r="J170" s="13" t="s">
        <v>66</v>
      </c>
      <c r="K170" s="13"/>
      <c r="L170" s="11"/>
      <c r="M170" s="11"/>
      <c r="N170" s="13"/>
      <c r="O170" s="13"/>
      <c r="P170" s="11"/>
      <c r="Q170" s="11"/>
      <c r="R170" s="13"/>
      <c r="S170" s="13"/>
      <c r="T170" s="11"/>
      <c r="U170" s="11"/>
      <c r="V170" s="13"/>
      <c r="W170" s="13"/>
      <c r="X170" s="11"/>
      <c r="Y170" s="11"/>
      <c r="Z170" s="13"/>
      <c r="AA170" s="13"/>
      <c r="AB170" s="11"/>
      <c r="AC170" s="11"/>
      <c r="AD170" s="13"/>
      <c r="AE170" s="13"/>
      <c r="AF170" s="11"/>
      <c r="AG170" s="11"/>
      <c r="AH170" s="13"/>
      <c r="AI170" s="13"/>
      <c r="AJ170" s="11"/>
      <c r="AK170" s="11"/>
      <c r="AL170" s="13"/>
      <c r="AM170" s="13"/>
      <c r="AN170" s="11"/>
      <c r="AO170" s="11"/>
    </row>
    <row r="171" spans="1:41" ht="16" customHeight="1" x14ac:dyDescent="0.3">
      <c r="A171" s="3">
        <v>164</v>
      </c>
      <c r="B171" s="198" t="s">
        <v>403</v>
      </c>
      <c r="C171" s="8" t="s">
        <v>404</v>
      </c>
      <c r="D171" s="20" t="s">
        <v>64</v>
      </c>
      <c r="E171" s="20">
        <v>200</v>
      </c>
      <c r="F171" s="57"/>
      <c r="G171" s="57" t="s">
        <v>405</v>
      </c>
      <c r="H171" s="22"/>
      <c r="I171" s="22"/>
      <c r="J171" s="13" t="s">
        <v>66</v>
      </c>
      <c r="K171" s="13"/>
      <c r="L171" s="11"/>
      <c r="M171" s="11"/>
      <c r="N171" s="13"/>
      <c r="O171" s="13"/>
      <c r="P171" s="11"/>
      <c r="Q171" s="11"/>
      <c r="R171" s="13"/>
      <c r="S171" s="13"/>
      <c r="T171" s="11"/>
      <c r="U171" s="11"/>
      <c r="V171" s="13"/>
      <c r="W171" s="13"/>
      <c r="X171" s="11"/>
      <c r="Y171" s="11"/>
      <c r="Z171" s="13"/>
      <c r="AA171" s="13"/>
      <c r="AB171" s="11"/>
      <c r="AC171" s="11"/>
      <c r="AD171" s="13"/>
      <c r="AE171" s="13"/>
      <c r="AF171" s="11"/>
      <c r="AG171" s="11"/>
      <c r="AH171" s="13"/>
      <c r="AI171" s="13"/>
      <c r="AJ171" s="11"/>
      <c r="AK171" s="11"/>
      <c r="AL171" s="13"/>
      <c r="AM171" s="13"/>
      <c r="AN171" s="11"/>
      <c r="AO171" s="11"/>
    </row>
    <row r="172" spans="1:41" ht="16" customHeight="1" x14ac:dyDescent="0.3">
      <c r="A172" s="3">
        <v>165</v>
      </c>
      <c r="B172" s="199"/>
      <c r="C172" s="8" t="s">
        <v>406</v>
      </c>
      <c r="D172" s="20" t="s">
        <v>64</v>
      </c>
      <c r="E172" s="20">
        <v>200</v>
      </c>
      <c r="F172" s="57"/>
      <c r="G172" s="57" t="s">
        <v>407</v>
      </c>
      <c r="H172" s="22"/>
      <c r="I172" s="22"/>
      <c r="J172" s="13" t="s">
        <v>66</v>
      </c>
      <c r="K172" s="13"/>
      <c r="L172" s="11"/>
      <c r="M172" s="11"/>
      <c r="N172" s="13"/>
      <c r="O172" s="13"/>
      <c r="P172" s="11"/>
      <c r="Q172" s="11"/>
      <c r="R172" s="13"/>
      <c r="S172" s="13"/>
      <c r="T172" s="11"/>
      <c r="U172" s="11"/>
      <c r="V172" s="13"/>
      <c r="W172" s="13"/>
      <c r="X172" s="11"/>
      <c r="Y172" s="11"/>
      <c r="Z172" s="13"/>
      <c r="AA172" s="13"/>
      <c r="AB172" s="11"/>
      <c r="AC172" s="11"/>
      <c r="AD172" s="13"/>
      <c r="AE172" s="13"/>
      <c r="AF172" s="11"/>
      <c r="AG172" s="11"/>
      <c r="AH172" s="13"/>
      <c r="AI172" s="13"/>
      <c r="AJ172" s="11"/>
      <c r="AK172" s="11"/>
      <c r="AL172" s="13"/>
      <c r="AM172" s="13"/>
      <c r="AN172" s="11"/>
      <c r="AO172" s="11"/>
    </row>
    <row r="173" spans="1:41" ht="16" customHeight="1" x14ac:dyDescent="0.3">
      <c r="A173" s="3">
        <v>166</v>
      </c>
      <c r="B173" s="199"/>
      <c r="C173" s="8" t="s">
        <v>408</v>
      </c>
      <c r="D173" s="20" t="s">
        <v>64</v>
      </c>
      <c r="E173" s="20">
        <v>6</v>
      </c>
      <c r="F173" s="57"/>
      <c r="G173" s="57" t="s">
        <v>409</v>
      </c>
      <c r="H173" s="22"/>
      <c r="I173" s="22"/>
      <c r="J173" s="13" t="s">
        <v>66</v>
      </c>
      <c r="K173" s="13"/>
      <c r="L173" s="11"/>
      <c r="M173" s="11"/>
      <c r="N173" s="13"/>
      <c r="O173" s="13"/>
      <c r="P173" s="11"/>
      <c r="Q173" s="11"/>
      <c r="R173" s="13"/>
      <c r="S173" s="13"/>
      <c r="T173" s="11"/>
      <c r="U173" s="11"/>
      <c r="V173" s="13"/>
      <c r="W173" s="13"/>
      <c r="X173" s="11"/>
      <c r="Y173" s="11"/>
      <c r="Z173" s="13"/>
      <c r="AA173" s="13"/>
      <c r="AB173" s="11"/>
      <c r="AC173" s="11"/>
      <c r="AD173" s="13"/>
      <c r="AE173" s="13"/>
      <c r="AF173" s="11"/>
      <c r="AG173" s="11"/>
      <c r="AH173" s="13"/>
      <c r="AI173" s="13"/>
      <c r="AJ173" s="11"/>
      <c r="AK173" s="11"/>
      <c r="AL173" s="13"/>
      <c r="AM173" s="13"/>
      <c r="AN173" s="11"/>
      <c r="AO173" s="11"/>
    </row>
    <row r="174" spans="1:41" ht="16" customHeight="1" x14ac:dyDescent="0.3">
      <c r="A174" s="3">
        <v>167</v>
      </c>
      <c r="B174" s="199"/>
      <c r="C174" s="8" t="s">
        <v>410</v>
      </c>
      <c r="D174" s="20" t="s">
        <v>64</v>
      </c>
      <c r="E174" s="20">
        <v>8</v>
      </c>
      <c r="F174" s="57"/>
      <c r="G174" s="57" t="s">
        <v>411</v>
      </c>
      <c r="H174" s="22"/>
      <c r="I174" s="22"/>
      <c r="J174" s="13" t="s">
        <v>66</v>
      </c>
      <c r="K174" s="13"/>
      <c r="L174" s="11"/>
      <c r="M174" s="11"/>
      <c r="N174" s="13"/>
      <c r="O174" s="13"/>
      <c r="P174" s="11"/>
      <c r="Q174" s="11"/>
      <c r="R174" s="13"/>
      <c r="S174" s="13"/>
      <c r="T174" s="11"/>
      <c r="U174" s="11"/>
      <c r="V174" s="13"/>
      <c r="W174" s="13"/>
      <c r="X174" s="11"/>
      <c r="Y174" s="11"/>
      <c r="Z174" s="13"/>
      <c r="AA174" s="13"/>
      <c r="AB174" s="11"/>
      <c r="AC174" s="11"/>
      <c r="AD174" s="13"/>
      <c r="AE174" s="13"/>
      <c r="AF174" s="11"/>
      <c r="AG174" s="11"/>
      <c r="AH174" s="13"/>
      <c r="AI174" s="13"/>
      <c r="AJ174" s="11"/>
      <c r="AK174" s="11"/>
      <c r="AL174" s="13"/>
      <c r="AM174" s="13"/>
      <c r="AN174" s="11"/>
      <c r="AO174" s="11"/>
    </row>
    <row r="175" spans="1:41" x14ac:dyDescent="0.3">
      <c r="A175" s="189" t="s">
        <v>412</v>
      </c>
      <c r="B175" s="190"/>
      <c r="C175" s="190"/>
      <c r="D175" s="190"/>
      <c r="E175" s="190"/>
      <c r="F175" s="190"/>
      <c r="G175" s="190"/>
      <c r="H175" s="22"/>
      <c r="I175" s="22"/>
      <c r="J175" s="13"/>
      <c r="K175" s="13"/>
      <c r="L175" s="11"/>
      <c r="M175" s="11"/>
      <c r="N175" s="13"/>
      <c r="O175" s="13"/>
      <c r="P175" s="11"/>
      <c r="Q175" s="11"/>
      <c r="R175" s="13"/>
      <c r="S175" s="13"/>
      <c r="T175" s="11"/>
      <c r="U175" s="11"/>
      <c r="V175" s="13"/>
      <c r="W175" s="13"/>
      <c r="X175" s="11"/>
      <c r="Y175" s="11"/>
      <c r="Z175" s="13"/>
      <c r="AA175" s="13"/>
      <c r="AB175" s="11"/>
      <c r="AC175" s="11"/>
      <c r="AD175" s="13"/>
      <c r="AE175" s="13"/>
      <c r="AF175" s="11"/>
      <c r="AG175" s="11"/>
      <c r="AH175" s="13"/>
      <c r="AI175" s="13"/>
      <c r="AJ175" s="11"/>
      <c r="AK175" s="11"/>
      <c r="AL175" s="13"/>
      <c r="AM175" s="13"/>
      <c r="AN175" s="11"/>
      <c r="AO175" s="11"/>
    </row>
    <row r="176" spans="1:41" ht="13" customHeight="1" x14ac:dyDescent="0.3">
      <c r="A176" s="3">
        <v>168</v>
      </c>
      <c r="B176" s="194"/>
      <c r="C176" s="19" t="s">
        <v>413</v>
      </c>
      <c r="D176" s="19" t="s">
        <v>64</v>
      </c>
      <c r="E176" s="19">
        <v>65535</v>
      </c>
      <c r="F176" s="19"/>
      <c r="G176" s="67" t="s">
        <v>414</v>
      </c>
      <c r="H176" s="22"/>
      <c r="I176" s="22"/>
      <c r="J176" s="13"/>
      <c r="K176" s="13"/>
      <c r="L176" s="11"/>
      <c r="M176" s="11"/>
      <c r="N176" s="13"/>
      <c r="O176" s="13"/>
      <c r="P176" s="11"/>
      <c r="Q176" s="11"/>
      <c r="R176" s="13"/>
      <c r="S176" s="13"/>
      <c r="T176" s="11"/>
      <c r="U176" s="11"/>
      <c r="V176" s="13"/>
      <c r="W176" s="13"/>
      <c r="X176" s="21" t="s">
        <v>68</v>
      </c>
      <c r="Y176" s="11"/>
      <c r="Z176" s="13"/>
      <c r="AA176" s="13"/>
      <c r="AB176" s="11"/>
      <c r="AC176" s="11"/>
      <c r="AD176" s="13"/>
      <c r="AE176" s="13"/>
      <c r="AF176" s="11"/>
      <c r="AG176" s="11"/>
      <c r="AH176" s="13"/>
      <c r="AI176" s="13"/>
      <c r="AJ176" s="11"/>
      <c r="AK176" s="11"/>
      <c r="AL176" s="13"/>
      <c r="AM176" s="13"/>
      <c r="AN176" s="11"/>
      <c r="AO176" s="11"/>
    </row>
    <row r="177" spans="1:41" ht="13" customHeight="1" x14ac:dyDescent="0.3">
      <c r="A177" s="3">
        <v>169</v>
      </c>
      <c r="B177" s="195"/>
      <c r="C177" s="19" t="s">
        <v>415</v>
      </c>
      <c r="D177" s="19" t="s">
        <v>64</v>
      </c>
      <c r="E177" s="19">
        <v>65535</v>
      </c>
      <c r="F177" s="19"/>
      <c r="G177" s="104" t="s">
        <v>1624</v>
      </c>
      <c r="H177" s="22"/>
      <c r="I177" s="22"/>
      <c r="J177" s="13"/>
      <c r="K177" s="13"/>
      <c r="L177" s="11"/>
      <c r="M177" s="11"/>
      <c r="N177" s="21" t="s">
        <v>68</v>
      </c>
      <c r="O177" s="13"/>
      <c r="P177" s="11"/>
      <c r="Q177" s="11"/>
      <c r="R177" s="13"/>
      <c r="S177" s="13"/>
      <c r="T177" s="11"/>
      <c r="U177" s="11"/>
      <c r="V177" s="13"/>
      <c r="W177" s="13"/>
      <c r="X177" s="11"/>
      <c r="Y177" s="11"/>
      <c r="Z177" s="13"/>
      <c r="AA177" s="13"/>
      <c r="AB177" s="11"/>
      <c r="AC177" s="11"/>
      <c r="AD177" s="13"/>
      <c r="AE177" s="13"/>
      <c r="AF177" s="11"/>
      <c r="AG177" s="11"/>
      <c r="AH177" s="13"/>
      <c r="AI177" s="13"/>
      <c r="AJ177" s="11"/>
      <c r="AK177" s="11"/>
      <c r="AL177" s="13"/>
      <c r="AM177" s="13"/>
      <c r="AN177" s="11"/>
      <c r="AO177" s="11"/>
    </row>
    <row r="178" spans="1:41" ht="27" customHeight="1" x14ac:dyDescent="0.3">
      <c r="A178" s="3">
        <v>170</v>
      </c>
      <c r="B178" s="195"/>
      <c r="C178" s="19" t="s">
        <v>416</v>
      </c>
      <c r="D178" s="19" t="s">
        <v>417</v>
      </c>
      <c r="E178" s="19"/>
      <c r="F178" s="19"/>
      <c r="G178" s="67" t="s">
        <v>418</v>
      </c>
      <c r="H178" s="22"/>
      <c r="I178" s="22"/>
      <c r="J178" s="13"/>
      <c r="K178" s="13"/>
      <c r="L178" s="11"/>
      <c r="M178" s="11"/>
      <c r="N178" s="13"/>
      <c r="O178" s="13"/>
      <c r="P178" s="11"/>
      <c r="Q178" s="11"/>
      <c r="R178" s="13"/>
      <c r="S178" s="13"/>
      <c r="T178" s="21" t="s">
        <v>68</v>
      </c>
      <c r="U178" s="11"/>
      <c r="V178" s="13"/>
      <c r="W178" s="13"/>
      <c r="X178" s="11"/>
      <c r="Y178" s="11"/>
      <c r="Z178" s="13"/>
      <c r="AA178" s="13"/>
      <c r="AB178" s="11"/>
      <c r="AC178" s="11"/>
      <c r="AD178" s="13"/>
      <c r="AE178" s="13"/>
      <c r="AF178" s="11"/>
      <c r="AG178" s="11"/>
      <c r="AH178" s="13"/>
      <c r="AI178" s="13"/>
      <c r="AJ178" s="11"/>
      <c r="AK178" s="11"/>
      <c r="AL178" s="13"/>
      <c r="AM178" s="13"/>
      <c r="AN178" s="11"/>
      <c r="AO178" s="11"/>
    </row>
    <row r="179" spans="1:41" ht="31" customHeight="1" x14ac:dyDescent="0.35">
      <c r="A179" s="3">
        <v>171</v>
      </c>
      <c r="B179" s="195"/>
      <c r="C179" s="19" t="s">
        <v>419</v>
      </c>
      <c r="D179" s="24" t="s">
        <v>420</v>
      </c>
      <c r="E179" s="19"/>
      <c r="F179" s="19"/>
      <c r="G179" s="67" t="s">
        <v>421</v>
      </c>
      <c r="H179" s="22"/>
      <c r="I179" s="22"/>
      <c r="J179" s="13"/>
      <c r="K179" s="13"/>
      <c r="L179" s="11"/>
      <c r="M179" s="11"/>
      <c r="N179" s="13"/>
      <c r="O179" s="13"/>
      <c r="P179" s="11"/>
      <c r="Q179" s="11"/>
      <c r="R179" s="13"/>
      <c r="S179" s="13"/>
      <c r="T179" s="21" t="s">
        <v>68</v>
      </c>
      <c r="U179" s="11"/>
      <c r="V179" s="13"/>
      <c r="W179" s="13"/>
      <c r="X179" s="11"/>
      <c r="Y179" s="11"/>
      <c r="Z179" s="13"/>
      <c r="AA179" s="13"/>
      <c r="AB179" s="11"/>
      <c r="AC179" s="11"/>
      <c r="AD179" s="13"/>
      <c r="AE179" s="13"/>
      <c r="AF179" s="11"/>
      <c r="AG179" s="11"/>
      <c r="AH179" s="13"/>
      <c r="AI179" s="13"/>
      <c r="AJ179" s="11"/>
      <c r="AK179" s="11"/>
      <c r="AL179" s="13"/>
      <c r="AM179" s="13"/>
      <c r="AN179" s="11"/>
      <c r="AO179" s="11"/>
    </row>
    <row r="180" spans="1:41" ht="13" customHeight="1" x14ac:dyDescent="0.3">
      <c r="A180" s="3">
        <v>172</v>
      </c>
      <c r="B180" s="195"/>
      <c r="C180" s="19" t="s">
        <v>422</v>
      </c>
      <c r="D180" s="19" t="s">
        <v>134</v>
      </c>
      <c r="E180" s="19"/>
      <c r="F180" s="19"/>
      <c r="G180" s="67" t="s">
        <v>423</v>
      </c>
      <c r="H180" s="22"/>
      <c r="I180" s="22"/>
      <c r="J180" s="13" t="s">
        <v>66</v>
      </c>
      <c r="K180" s="13"/>
      <c r="L180" s="11"/>
      <c r="M180" s="11"/>
      <c r="N180" s="13"/>
      <c r="O180" s="13"/>
      <c r="P180" s="11"/>
      <c r="Q180" s="11"/>
      <c r="R180" s="13"/>
      <c r="S180" s="13"/>
      <c r="T180" s="11"/>
      <c r="U180" s="11"/>
      <c r="V180" s="13"/>
      <c r="W180" s="13"/>
      <c r="X180" s="11"/>
      <c r="Y180" s="11"/>
      <c r="Z180" s="13"/>
      <c r="AA180" s="13"/>
      <c r="AB180" s="11"/>
      <c r="AC180" s="11"/>
      <c r="AD180" s="13"/>
      <c r="AE180" s="13"/>
      <c r="AF180" s="11"/>
      <c r="AG180" s="11"/>
      <c r="AH180" s="13"/>
      <c r="AI180" s="13"/>
      <c r="AJ180" s="11"/>
      <c r="AK180" s="11"/>
      <c r="AL180" s="13"/>
      <c r="AM180" s="13"/>
      <c r="AN180" s="11"/>
      <c r="AO180" s="11"/>
    </row>
    <row r="181" spans="1:41" ht="13" customHeight="1" x14ac:dyDescent="0.3">
      <c r="A181" s="3">
        <v>173</v>
      </c>
      <c r="B181" s="195"/>
      <c r="C181" s="19" t="s">
        <v>425</v>
      </c>
      <c r="D181" s="19" t="s">
        <v>134</v>
      </c>
      <c r="E181" s="19"/>
      <c r="F181" s="19"/>
      <c r="G181" s="67" t="s">
        <v>426</v>
      </c>
      <c r="H181" s="22"/>
      <c r="I181" s="22"/>
      <c r="J181" s="13" t="s">
        <v>66</v>
      </c>
      <c r="K181" s="13"/>
      <c r="L181" s="11"/>
      <c r="M181" s="11"/>
      <c r="N181" s="13"/>
      <c r="O181" s="13"/>
      <c r="P181" s="11"/>
      <c r="Q181" s="11"/>
      <c r="R181" s="13"/>
      <c r="S181" s="13"/>
      <c r="T181" s="11"/>
      <c r="U181" s="11"/>
      <c r="V181" s="13"/>
      <c r="W181" s="13"/>
      <c r="X181" s="11"/>
      <c r="Y181" s="11"/>
      <c r="Z181" s="13"/>
      <c r="AA181" s="13"/>
      <c r="AB181" s="11"/>
      <c r="AC181" s="11"/>
      <c r="AD181" s="13"/>
      <c r="AE181" s="13"/>
      <c r="AF181" s="11"/>
      <c r="AG181" s="11"/>
      <c r="AH181" s="13"/>
      <c r="AI181" s="13"/>
      <c r="AJ181" s="11"/>
      <c r="AK181" s="11"/>
      <c r="AL181" s="13"/>
      <c r="AM181" s="13"/>
      <c r="AN181" s="11"/>
      <c r="AO181" s="11"/>
    </row>
    <row r="182" spans="1:41" ht="13" customHeight="1" x14ac:dyDescent="0.3">
      <c r="A182" s="3">
        <v>174</v>
      </c>
      <c r="B182" s="195"/>
      <c r="C182" s="19" t="s">
        <v>427</v>
      </c>
      <c r="D182" s="19" t="s">
        <v>134</v>
      </c>
      <c r="E182" s="19"/>
      <c r="F182" s="19"/>
      <c r="G182" s="67" t="s">
        <v>428</v>
      </c>
      <c r="H182" s="22"/>
      <c r="I182" s="22"/>
      <c r="J182" s="13" t="s">
        <v>66</v>
      </c>
      <c r="K182" s="13"/>
      <c r="L182" s="11"/>
      <c r="M182" s="11"/>
      <c r="N182" s="13"/>
      <c r="O182" s="13"/>
      <c r="P182" s="11"/>
      <c r="Q182" s="11"/>
      <c r="R182" s="13"/>
      <c r="S182" s="13"/>
      <c r="T182" s="11"/>
      <c r="U182" s="11"/>
      <c r="V182" s="13"/>
      <c r="W182" s="13"/>
      <c r="X182" s="11"/>
      <c r="Y182" s="11"/>
      <c r="Z182" s="13"/>
      <c r="AA182" s="13"/>
      <c r="AB182" s="11"/>
      <c r="AC182" s="11"/>
      <c r="AD182" s="13"/>
      <c r="AE182" s="13"/>
      <c r="AF182" s="11"/>
      <c r="AG182" s="11"/>
      <c r="AH182" s="13"/>
      <c r="AI182" s="13"/>
      <c r="AJ182" s="11"/>
      <c r="AK182" s="11"/>
      <c r="AL182" s="13"/>
      <c r="AM182" s="13"/>
      <c r="AN182" s="11"/>
      <c r="AO182" s="11"/>
    </row>
    <row r="183" spans="1:41" ht="13" customHeight="1" x14ac:dyDescent="0.3">
      <c r="A183" s="3">
        <v>175</v>
      </c>
      <c r="B183" s="195"/>
      <c r="C183" s="19" t="s">
        <v>429</v>
      </c>
      <c r="D183" s="19" t="s">
        <v>134</v>
      </c>
      <c r="E183" s="19"/>
      <c r="F183" s="19"/>
      <c r="G183" s="67" t="s">
        <v>430</v>
      </c>
      <c r="H183" s="22"/>
      <c r="I183" s="22"/>
      <c r="J183" s="13" t="s">
        <v>66</v>
      </c>
      <c r="K183" s="13"/>
      <c r="L183" s="11"/>
      <c r="M183" s="11"/>
      <c r="N183" s="13"/>
      <c r="O183" s="13"/>
      <c r="P183" s="11"/>
      <c r="Q183" s="11"/>
      <c r="R183" s="13"/>
      <c r="S183" s="13"/>
      <c r="T183" s="11"/>
      <c r="U183" s="11"/>
      <c r="V183" s="13"/>
      <c r="W183" s="13"/>
      <c r="X183" s="11"/>
      <c r="Y183" s="11"/>
      <c r="Z183" s="13"/>
      <c r="AA183" s="13"/>
      <c r="AB183" s="11"/>
      <c r="AC183" s="11"/>
      <c r="AD183" s="13"/>
      <c r="AE183" s="13"/>
      <c r="AF183" s="11"/>
      <c r="AG183" s="11"/>
      <c r="AH183" s="13"/>
      <c r="AI183" s="13"/>
      <c r="AJ183" s="11"/>
      <c r="AK183" s="11"/>
      <c r="AL183" s="13"/>
      <c r="AM183" s="13"/>
      <c r="AN183" s="11"/>
      <c r="AO183" s="11"/>
    </row>
    <row r="184" spans="1:41" ht="13" customHeight="1" x14ac:dyDescent="0.3">
      <c r="A184" s="3">
        <v>176</v>
      </c>
      <c r="B184" s="195"/>
      <c r="C184" s="19" t="s">
        <v>431</v>
      </c>
      <c r="D184" s="19" t="s">
        <v>134</v>
      </c>
      <c r="E184" s="19"/>
      <c r="F184" s="19"/>
      <c r="G184" s="67" t="s">
        <v>432</v>
      </c>
      <c r="H184" s="22"/>
      <c r="I184" s="22"/>
      <c r="J184" s="13" t="s">
        <v>66</v>
      </c>
      <c r="K184" s="13"/>
      <c r="L184" s="11"/>
      <c r="M184" s="11"/>
      <c r="N184" s="13"/>
      <c r="O184" s="13"/>
      <c r="P184" s="11"/>
      <c r="Q184" s="11"/>
      <c r="R184" s="13"/>
      <c r="S184" s="13"/>
      <c r="T184" s="11"/>
      <c r="U184" s="11"/>
      <c r="V184" s="13"/>
      <c r="W184" s="13"/>
      <c r="X184" s="11"/>
      <c r="Y184" s="11"/>
      <c r="Z184" s="13"/>
      <c r="AA184" s="13"/>
      <c r="AB184" s="11"/>
      <c r="AC184" s="11"/>
      <c r="AD184" s="13"/>
      <c r="AE184" s="13"/>
      <c r="AF184" s="11"/>
      <c r="AG184" s="11"/>
      <c r="AH184" s="13"/>
      <c r="AI184" s="13"/>
      <c r="AJ184" s="11"/>
      <c r="AK184" s="11"/>
      <c r="AL184" s="13"/>
      <c r="AM184" s="13"/>
      <c r="AN184" s="11"/>
      <c r="AO184" s="11"/>
    </row>
    <row r="185" spans="1:41" ht="13" customHeight="1" x14ac:dyDescent="0.3">
      <c r="A185" s="3">
        <v>177</v>
      </c>
      <c r="B185" s="195"/>
      <c r="C185" s="19" t="s">
        <v>245</v>
      </c>
      <c r="D185" s="19" t="s">
        <v>64</v>
      </c>
      <c r="E185" s="19">
        <v>200</v>
      </c>
      <c r="F185" s="19"/>
      <c r="G185" s="67" t="s">
        <v>433</v>
      </c>
      <c r="H185" s="22"/>
      <c r="I185" s="22"/>
      <c r="J185" s="13" t="s">
        <v>66</v>
      </c>
      <c r="K185" s="13"/>
      <c r="L185" s="11"/>
      <c r="M185" s="11"/>
      <c r="N185" s="13"/>
      <c r="O185" s="13"/>
      <c r="P185" s="11"/>
      <c r="Q185" s="11"/>
      <c r="R185" s="13"/>
      <c r="S185" s="13"/>
      <c r="T185" s="11"/>
      <c r="U185" s="11"/>
      <c r="V185" s="13"/>
      <c r="W185" s="13"/>
      <c r="X185" s="11"/>
      <c r="Y185" s="11"/>
      <c r="Z185" s="13"/>
      <c r="AA185" s="13"/>
      <c r="AB185" s="11"/>
      <c r="AC185" s="11"/>
      <c r="AD185" s="13"/>
      <c r="AE185" s="13"/>
      <c r="AF185" s="11"/>
      <c r="AG185" s="11"/>
      <c r="AH185" s="13"/>
      <c r="AI185" s="13"/>
      <c r="AJ185" s="11"/>
      <c r="AK185" s="11"/>
      <c r="AL185" s="13"/>
      <c r="AM185" s="13"/>
      <c r="AN185" s="11"/>
      <c r="AO185" s="11"/>
    </row>
    <row r="186" spans="1:41" ht="13" customHeight="1" x14ac:dyDescent="0.3">
      <c r="A186" s="3">
        <v>178</v>
      </c>
      <c r="B186" s="195"/>
      <c r="C186" s="19" t="s">
        <v>434</v>
      </c>
      <c r="D186" s="19" t="s">
        <v>78</v>
      </c>
      <c r="E186" s="19"/>
      <c r="F186" s="19"/>
      <c r="G186" s="67" t="s">
        <v>435</v>
      </c>
      <c r="H186" s="22"/>
      <c r="I186" s="22"/>
      <c r="J186" s="13" t="s">
        <v>66</v>
      </c>
      <c r="K186" s="13"/>
      <c r="L186" s="11"/>
      <c r="M186" s="11"/>
      <c r="N186" s="13"/>
      <c r="O186" s="13"/>
      <c r="P186" s="11"/>
      <c r="Q186" s="11"/>
      <c r="R186" s="13"/>
      <c r="S186" s="13"/>
      <c r="T186" s="11"/>
      <c r="U186" s="11"/>
      <c r="V186" s="13"/>
      <c r="W186" s="13"/>
      <c r="X186" s="11"/>
      <c r="Y186" s="11"/>
      <c r="Z186" s="13"/>
      <c r="AA186" s="13"/>
      <c r="AB186" s="11"/>
      <c r="AC186" s="11"/>
      <c r="AD186" s="13"/>
      <c r="AE186" s="13"/>
      <c r="AF186" s="11"/>
      <c r="AG186" s="11"/>
      <c r="AH186" s="13"/>
      <c r="AI186" s="13"/>
      <c r="AJ186" s="11"/>
      <c r="AK186" s="11"/>
      <c r="AL186" s="13"/>
      <c r="AM186" s="13"/>
      <c r="AN186" s="11"/>
      <c r="AO186" s="11"/>
    </row>
    <row r="187" spans="1:41" ht="13" customHeight="1" x14ac:dyDescent="0.3">
      <c r="A187" s="3">
        <v>179</v>
      </c>
      <c r="B187" s="195"/>
      <c r="C187" s="19" t="s">
        <v>436</v>
      </c>
      <c r="D187" s="19" t="s">
        <v>78</v>
      </c>
      <c r="E187" s="19"/>
      <c r="F187" s="19"/>
      <c r="G187" s="67" t="s">
        <v>437</v>
      </c>
      <c r="H187" s="22"/>
      <c r="I187" s="22"/>
      <c r="J187" s="13"/>
      <c r="K187" s="13"/>
      <c r="L187" s="11"/>
      <c r="M187" s="11"/>
      <c r="N187" s="13"/>
      <c r="O187" s="13"/>
      <c r="P187" s="11"/>
      <c r="Q187" s="11"/>
      <c r="R187" s="13"/>
      <c r="S187" s="13"/>
      <c r="T187" s="11"/>
      <c r="U187" s="11"/>
      <c r="V187" s="13"/>
      <c r="W187" s="13"/>
      <c r="X187" s="11"/>
      <c r="Y187" s="11"/>
      <c r="Z187" s="80" t="s">
        <v>68</v>
      </c>
      <c r="AA187" s="13"/>
      <c r="AB187" s="11"/>
      <c r="AC187" s="11"/>
      <c r="AD187" s="13"/>
      <c r="AE187" s="13"/>
      <c r="AF187" s="11"/>
      <c r="AG187" s="11"/>
      <c r="AH187" s="13"/>
      <c r="AI187" s="13"/>
      <c r="AJ187" s="11"/>
      <c r="AK187" s="11"/>
      <c r="AL187" s="13"/>
      <c r="AM187" s="13"/>
      <c r="AN187" s="11"/>
      <c r="AO187" s="11"/>
    </row>
    <row r="188" spans="1:41" ht="13" customHeight="1" x14ac:dyDescent="0.3">
      <c r="A188" s="3">
        <v>180</v>
      </c>
      <c r="B188" s="195"/>
      <c r="C188" s="19" t="s">
        <v>438</v>
      </c>
      <c r="D188" s="19" t="s">
        <v>134</v>
      </c>
      <c r="E188" s="19"/>
      <c r="F188" s="19"/>
      <c r="G188" s="67" t="s">
        <v>1559</v>
      </c>
      <c r="H188" s="22"/>
      <c r="I188" s="22"/>
      <c r="J188" s="13"/>
      <c r="K188" s="13"/>
      <c r="L188" s="11"/>
      <c r="M188" s="11"/>
      <c r="N188" s="13"/>
      <c r="O188" s="13"/>
      <c r="P188" s="11"/>
      <c r="Q188" s="11"/>
      <c r="R188" s="13"/>
      <c r="S188" s="13"/>
      <c r="T188" s="11"/>
      <c r="U188" s="11"/>
      <c r="V188" s="13"/>
      <c r="W188" s="13"/>
      <c r="X188" s="11"/>
      <c r="Y188" s="11"/>
      <c r="Z188" s="80" t="s">
        <v>68</v>
      </c>
      <c r="AA188" s="13"/>
      <c r="AB188" s="11"/>
      <c r="AC188" s="11"/>
      <c r="AD188" s="13"/>
      <c r="AE188" s="13"/>
      <c r="AF188" s="11"/>
      <c r="AG188" s="11"/>
      <c r="AH188" s="13"/>
      <c r="AI188" s="13"/>
      <c r="AJ188" s="11"/>
      <c r="AK188" s="11"/>
      <c r="AL188" s="13"/>
      <c r="AM188" s="13"/>
      <c r="AN188" s="11"/>
      <c r="AO188" s="11"/>
    </row>
    <row r="189" spans="1:41" ht="13" customHeight="1" x14ac:dyDescent="0.3">
      <c r="A189" s="3">
        <v>181</v>
      </c>
      <c r="B189" s="195"/>
      <c r="C189" s="19" t="s">
        <v>439</v>
      </c>
      <c r="D189" s="19" t="s">
        <v>78</v>
      </c>
      <c r="E189" s="19"/>
      <c r="F189" s="19"/>
      <c r="G189" s="67" t="s">
        <v>1556</v>
      </c>
      <c r="H189" s="22"/>
      <c r="I189" s="22"/>
      <c r="J189" s="13"/>
      <c r="K189" s="13"/>
      <c r="L189" s="11"/>
      <c r="M189" s="11"/>
      <c r="N189" s="13"/>
      <c r="O189" s="13"/>
      <c r="P189" s="11"/>
      <c r="Q189" s="11"/>
      <c r="R189" s="13"/>
      <c r="S189" s="13"/>
      <c r="T189" s="11"/>
      <c r="U189" s="11"/>
      <c r="V189" s="13"/>
      <c r="W189" s="13"/>
      <c r="X189" s="11"/>
      <c r="Y189" s="11"/>
      <c r="Z189" s="80" t="s">
        <v>68</v>
      </c>
      <c r="AA189" s="13"/>
      <c r="AB189" s="11"/>
      <c r="AC189" s="11"/>
      <c r="AD189" s="13"/>
      <c r="AE189" s="13"/>
      <c r="AF189" s="11"/>
      <c r="AG189" s="11"/>
      <c r="AH189" s="13"/>
      <c r="AI189" s="13"/>
      <c r="AJ189" s="11"/>
      <c r="AK189" s="11"/>
      <c r="AL189" s="13"/>
      <c r="AM189" s="13"/>
      <c r="AN189" s="11"/>
      <c r="AO189" s="11"/>
    </row>
    <row r="190" spans="1:41" x14ac:dyDescent="0.3">
      <c r="A190" s="3">
        <v>182</v>
      </c>
      <c r="B190" s="195"/>
      <c r="C190" s="19" t="s">
        <v>440</v>
      </c>
      <c r="D190" s="19" t="s">
        <v>441</v>
      </c>
      <c r="E190" s="19">
        <v>100</v>
      </c>
      <c r="F190" s="19"/>
      <c r="G190" s="67" t="s">
        <v>442</v>
      </c>
      <c r="H190" s="22"/>
      <c r="I190" s="22"/>
      <c r="J190" s="13"/>
      <c r="K190" s="13"/>
      <c r="L190" s="11"/>
      <c r="M190" s="11"/>
      <c r="N190" s="13"/>
      <c r="O190" s="13"/>
      <c r="P190" s="11"/>
      <c r="Q190" s="11"/>
      <c r="R190" s="13"/>
      <c r="S190" s="13"/>
      <c r="T190" s="11"/>
      <c r="U190" s="11"/>
      <c r="V190" s="13"/>
      <c r="W190" s="13"/>
      <c r="X190" s="11"/>
      <c r="Y190" s="11"/>
      <c r="Z190" s="13"/>
      <c r="AA190" s="13"/>
      <c r="AB190" s="11"/>
      <c r="AC190" s="11"/>
      <c r="AD190" s="13"/>
      <c r="AE190" s="13"/>
      <c r="AF190" s="11"/>
      <c r="AG190" s="11"/>
      <c r="AH190" s="13"/>
      <c r="AI190" s="13"/>
      <c r="AJ190" s="11"/>
      <c r="AK190" s="11"/>
      <c r="AL190" s="13"/>
      <c r="AM190" s="13"/>
      <c r="AN190" s="11"/>
      <c r="AO190" s="11"/>
    </row>
    <row r="191" spans="1:41" x14ac:dyDescent="0.3">
      <c r="A191" s="3">
        <v>183</v>
      </c>
      <c r="B191" s="195"/>
      <c r="C191" s="19" t="s">
        <v>443</v>
      </c>
      <c r="D191" s="19" t="s">
        <v>64</v>
      </c>
      <c r="E191" s="19">
        <v>100</v>
      </c>
      <c r="F191" s="19"/>
      <c r="G191" s="67" t="s">
        <v>444</v>
      </c>
      <c r="H191" s="22"/>
      <c r="I191" s="22"/>
      <c r="J191" s="13"/>
      <c r="K191" s="13"/>
      <c r="L191" s="11"/>
      <c r="M191" s="11"/>
      <c r="N191" s="13"/>
      <c r="O191" s="13"/>
      <c r="P191" s="11"/>
      <c r="Q191" s="11"/>
      <c r="R191" s="13"/>
      <c r="S191" s="13"/>
      <c r="T191" s="11"/>
      <c r="U191" s="11"/>
      <c r="V191" s="13"/>
      <c r="W191" s="13"/>
      <c r="X191" s="11"/>
      <c r="Y191" s="11"/>
      <c r="Z191" s="13"/>
      <c r="AA191" s="13"/>
      <c r="AB191" s="11"/>
      <c r="AC191" s="11"/>
      <c r="AD191" s="13"/>
      <c r="AE191" s="13"/>
      <c r="AF191" s="11"/>
      <c r="AG191" s="11"/>
      <c r="AH191" s="13"/>
      <c r="AI191" s="13"/>
      <c r="AJ191" s="11"/>
      <c r="AK191" s="11"/>
      <c r="AL191" s="13"/>
      <c r="AM191" s="13"/>
      <c r="AN191" s="11"/>
      <c r="AO191" s="11"/>
    </row>
    <row r="192" spans="1:41" x14ac:dyDescent="0.3">
      <c r="A192" s="3">
        <v>184</v>
      </c>
      <c r="B192" s="195"/>
      <c r="C192" s="19" t="s">
        <v>445</v>
      </c>
      <c r="D192" s="19" t="s">
        <v>64</v>
      </c>
      <c r="E192" s="19">
        <v>100</v>
      </c>
      <c r="F192" s="19"/>
      <c r="G192" s="67" t="s">
        <v>446</v>
      </c>
      <c r="H192" s="22"/>
      <c r="I192" s="22"/>
      <c r="J192" s="13"/>
      <c r="K192" s="13"/>
      <c r="L192" s="11"/>
      <c r="M192" s="11"/>
      <c r="N192" s="13"/>
      <c r="O192" s="13"/>
      <c r="P192" s="11"/>
      <c r="Q192" s="11"/>
      <c r="R192" s="13"/>
      <c r="S192" s="13"/>
      <c r="T192" s="11"/>
      <c r="U192" s="11"/>
      <c r="V192" s="13"/>
      <c r="W192" s="13"/>
      <c r="X192" s="11"/>
      <c r="Y192" s="11"/>
      <c r="Z192" s="13"/>
      <c r="AA192" s="13"/>
      <c r="AB192" s="11"/>
      <c r="AC192" s="11"/>
      <c r="AD192" s="13"/>
      <c r="AE192" s="13"/>
      <c r="AF192" s="11"/>
      <c r="AG192" s="11"/>
      <c r="AH192" s="13"/>
      <c r="AI192" s="13"/>
      <c r="AJ192" s="11"/>
      <c r="AK192" s="11"/>
      <c r="AL192" s="13"/>
      <c r="AM192" s="13"/>
      <c r="AN192" s="11"/>
      <c r="AO192" s="11"/>
    </row>
    <row r="193" spans="1:41" x14ac:dyDescent="0.3">
      <c r="A193" s="3">
        <v>185</v>
      </c>
      <c r="B193" s="195"/>
      <c r="C193" s="19" t="s">
        <v>1354</v>
      </c>
      <c r="D193" s="19" t="s">
        <v>1357</v>
      </c>
      <c r="E193" s="19">
        <v>100</v>
      </c>
      <c r="F193" s="19"/>
      <c r="G193" s="67" t="s">
        <v>1572</v>
      </c>
      <c r="H193" s="22"/>
      <c r="I193" s="22"/>
      <c r="J193" s="13"/>
      <c r="K193" s="13"/>
      <c r="L193" s="11"/>
      <c r="M193" s="11"/>
      <c r="N193" s="13"/>
      <c r="O193" s="13"/>
      <c r="P193" s="11"/>
      <c r="Q193" s="11"/>
      <c r="R193" s="13"/>
      <c r="S193" s="13"/>
      <c r="T193" s="11"/>
      <c r="U193" s="11"/>
      <c r="V193" s="13"/>
      <c r="W193" s="13"/>
      <c r="X193" s="11"/>
      <c r="Y193" s="11"/>
      <c r="Z193" s="13"/>
      <c r="AA193" s="13"/>
      <c r="AB193" s="11"/>
      <c r="AC193" s="11"/>
      <c r="AD193" s="13"/>
      <c r="AE193" s="13"/>
      <c r="AF193" s="11"/>
      <c r="AG193" s="11"/>
      <c r="AH193" s="13"/>
      <c r="AI193" s="13"/>
      <c r="AJ193" s="11"/>
      <c r="AK193" s="11"/>
      <c r="AL193" s="13"/>
      <c r="AM193" s="13"/>
      <c r="AN193" s="11"/>
      <c r="AO193" s="11"/>
    </row>
    <row r="194" spans="1:41" x14ac:dyDescent="0.3">
      <c r="A194" s="3">
        <v>186</v>
      </c>
      <c r="B194" s="195"/>
      <c r="C194" s="19" t="s">
        <v>1355</v>
      </c>
      <c r="D194" s="19" t="s">
        <v>64</v>
      </c>
      <c r="E194" s="19">
        <v>100</v>
      </c>
      <c r="F194" s="19"/>
      <c r="G194" s="67" t="s">
        <v>1358</v>
      </c>
      <c r="H194" s="22"/>
      <c r="I194" s="22"/>
      <c r="J194" s="13"/>
      <c r="K194" s="13"/>
      <c r="L194" s="11"/>
      <c r="M194" s="11"/>
      <c r="N194" s="13"/>
      <c r="O194" s="13"/>
      <c r="P194" s="11"/>
      <c r="Q194" s="11"/>
      <c r="R194" s="13"/>
      <c r="S194" s="13"/>
      <c r="T194" s="11"/>
      <c r="U194" s="11"/>
      <c r="V194" s="13"/>
      <c r="W194" s="13"/>
      <c r="X194" s="11"/>
      <c r="Y194" s="11"/>
      <c r="Z194" s="13"/>
      <c r="AA194" s="13"/>
      <c r="AB194" s="11"/>
      <c r="AC194" s="11"/>
      <c r="AD194" s="13"/>
      <c r="AE194" s="13"/>
      <c r="AF194" s="11"/>
      <c r="AG194" s="11"/>
      <c r="AH194" s="13"/>
      <c r="AI194" s="13"/>
      <c r="AJ194" s="11"/>
      <c r="AK194" s="11"/>
      <c r="AL194" s="13"/>
      <c r="AM194" s="13"/>
      <c r="AN194" s="11"/>
      <c r="AO194" s="11"/>
    </row>
    <row r="195" spans="1:41" x14ac:dyDescent="0.3">
      <c r="A195" s="3">
        <v>187</v>
      </c>
      <c r="B195" s="195"/>
      <c r="C195" s="243" t="s">
        <v>1356</v>
      </c>
      <c r="D195" s="243" t="s">
        <v>64</v>
      </c>
      <c r="E195" s="243">
        <v>100</v>
      </c>
      <c r="F195" s="243"/>
      <c r="G195" s="244" t="s">
        <v>1563</v>
      </c>
      <c r="H195" s="22"/>
      <c r="I195" s="22"/>
      <c r="J195" s="13"/>
      <c r="K195" s="13"/>
      <c r="L195" s="11"/>
      <c r="M195" s="11"/>
      <c r="N195" s="13"/>
      <c r="O195" s="13"/>
      <c r="P195" s="11"/>
      <c r="Q195" s="11"/>
      <c r="R195" s="13"/>
      <c r="S195" s="13"/>
      <c r="T195" s="11"/>
      <c r="U195" s="11"/>
      <c r="V195" s="13"/>
      <c r="W195" s="13"/>
      <c r="X195" s="11"/>
      <c r="Y195" s="11"/>
      <c r="Z195" s="13"/>
      <c r="AA195" s="13"/>
      <c r="AB195" s="11"/>
      <c r="AC195" s="11"/>
      <c r="AD195" s="13"/>
      <c r="AE195" s="13"/>
      <c r="AF195" s="11"/>
      <c r="AG195" s="11"/>
      <c r="AH195" s="13"/>
      <c r="AI195" s="13"/>
      <c r="AJ195" s="11"/>
      <c r="AK195" s="11"/>
      <c r="AL195" s="13"/>
      <c r="AM195" s="13"/>
      <c r="AN195" s="11"/>
      <c r="AO195" s="11"/>
    </row>
    <row r="196" spans="1:41" ht="26" x14ac:dyDescent="0.3">
      <c r="A196" s="3">
        <v>188</v>
      </c>
      <c r="B196" s="194"/>
      <c r="C196" s="19" t="s">
        <v>1536</v>
      </c>
      <c r="D196" s="19" t="s">
        <v>1537</v>
      </c>
      <c r="E196" s="19"/>
      <c r="F196" s="19"/>
      <c r="G196" s="67" t="s">
        <v>1538</v>
      </c>
      <c r="H196" s="22"/>
      <c r="I196" s="22"/>
      <c r="J196" s="13"/>
      <c r="K196" s="13"/>
      <c r="L196" s="11"/>
      <c r="M196" s="11"/>
      <c r="N196" s="13"/>
      <c r="O196" s="13"/>
      <c r="P196" s="11"/>
      <c r="Q196" s="11"/>
      <c r="R196" s="13"/>
      <c r="S196" s="13"/>
      <c r="T196" s="11"/>
      <c r="U196" s="11"/>
      <c r="V196" s="13"/>
      <c r="W196" s="13"/>
      <c r="X196" s="11"/>
      <c r="Y196" s="11"/>
      <c r="Z196" s="13"/>
      <c r="AA196" s="13"/>
      <c r="AB196" s="11"/>
      <c r="AC196" s="11"/>
      <c r="AD196" s="13"/>
      <c r="AE196" s="13"/>
      <c r="AF196" s="11"/>
      <c r="AG196" s="11"/>
      <c r="AH196" s="13"/>
      <c r="AI196" s="13"/>
      <c r="AJ196" s="11"/>
      <c r="AK196" s="11"/>
      <c r="AL196" s="13"/>
      <c r="AM196" s="13"/>
      <c r="AN196" s="11"/>
      <c r="AO196" s="11"/>
    </row>
    <row r="197" spans="1:41" x14ac:dyDescent="0.3">
      <c r="A197" s="3">
        <v>189</v>
      </c>
      <c r="B197" s="195"/>
      <c r="C197" s="19" t="s">
        <v>1966</v>
      </c>
      <c r="D197" s="19"/>
      <c r="E197" s="19"/>
      <c r="F197" s="19"/>
      <c r="G197" s="104"/>
      <c r="H197" s="22"/>
      <c r="I197" s="22"/>
      <c r="J197" s="13"/>
      <c r="K197" s="13"/>
      <c r="L197" s="11"/>
      <c r="M197" s="11"/>
      <c r="N197" s="13"/>
      <c r="O197" s="13"/>
      <c r="P197" s="11"/>
      <c r="Q197" s="11"/>
      <c r="R197" s="13"/>
      <c r="S197" s="13"/>
      <c r="T197" s="11"/>
      <c r="U197" s="11"/>
      <c r="V197" s="13"/>
      <c r="W197" s="13"/>
      <c r="X197" s="11"/>
      <c r="Y197" s="11"/>
      <c r="Z197" s="13"/>
      <c r="AA197" s="13"/>
      <c r="AB197" s="11"/>
      <c r="AC197" s="11"/>
      <c r="AD197" s="13"/>
      <c r="AE197" s="13"/>
      <c r="AF197" s="11"/>
      <c r="AG197" s="11"/>
      <c r="AH197" s="13"/>
      <c r="AI197" s="13"/>
      <c r="AJ197" s="11"/>
      <c r="AK197" s="11"/>
      <c r="AL197" s="13"/>
      <c r="AM197" s="13"/>
      <c r="AN197" s="11"/>
      <c r="AO197" s="11"/>
    </row>
    <row r="198" spans="1:41" ht="13.5" thickBot="1" x14ac:dyDescent="0.35">
      <c r="A198" s="3">
        <v>190</v>
      </c>
      <c r="B198" s="195"/>
      <c r="C198" s="19" t="s">
        <v>1967</v>
      </c>
      <c r="D198" s="19" t="s">
        <v>337</v>
      </c>
      <c r="E198" s="19"/>
      <c r="F198" s="19" t="s">
        <v>149</v>
      </c>
      <c r="G198" s="67" t="s">
        <v>1972</v>
      </c>
    </row>
    <row r="199" spans="1:41" ht="14.5" x14ac:dyDescent="0.35">
      <c r="A199" s="3">
        <v>191</v>
      </c>
      <c r="B199" s="195"/>
      <c r="C199" s="19" t="s">
        <v>1968</v>
      </c>
      <c r="D199" s="24" t="s">
        <v>337</v>
      </c>
      <c r="E199" s="19"/>
      <c r="F199" s="19" t="s">
        <v>149</v>
      </c>
      <c r="G199" s="67" t="s">
        <v>1973</v>
      </c>
      <c r="H199" s="51"/>
    </row>
    <row r="200" spans="1:41" ht="26" x14ac:dyDescent="0.3">
      <c r="A200" s="3">
        <v>192</v>
      </c>
      <c r="B200" s="195"/>
      <c r="C200" s="19" t="s">
        <v>1969</v>
      </c>
      <c r="D200" s="19" t="s">
        <v>1707</v>
      </c>
      <c r="E200" s="19"/>
      <c r="F200" s="19"/>
      <c r="G200" s="67" t="s">
        <v>1974</v>
      </c>
      <c r="H200" s="52"/>
    </row>
    <row r="201" spans="1:41" x14ac:dyDescent="0.3">
      <c r="A201" s="3">
        <v>193</v>
      </c>
      <c r="B201" s="195"/>
      <c r="C201" s="19" t="s">
        <v>1970</v>
      </c>
      <c r="D201" s="19" t="s">
        <v>89</v>
      </c>
      <c r="E201" s="19"/>
      <c r="F201" s="19" t="s">
        <v>265</v>
      </c>
      <c r="G201" s="67" t="s">
        <v>310</v>
      </c>
      <c r="H201" s="53"/>
    </row>
    <row r="202" spans="1:41" x14ac:dyDescent="0.3">
      <c r="A202" s="3">
        <v>194</v>
      </c>
      <c r="B202" s="195"/>
      <c r="C202" s="19" t="s">
        <v>1971</v>
      </c>
      <c r="D202" s="19" t="s">
        <v>134</v>
      </c>
      <c r="E202" s="19"/>
      <c r="F202" s="19"/>
      <c r="G202" s="67" t="s">
        <v>1975</v>
      </c>
      <c r="H202" s="54"/>
    </row>
    <row r="203" spans="1:41" x14ac:dyDescent="0.3">
      <c r="H203" s="55"/>
    </row>
    <row r="204" spans="1:41" ht="13.5" thickBot="1" x14ac:dyDescent="0.35">
      <c r="H204" s="56"/>
    </row>
    <row r="205" spans="1:41" ht="13.5" thickBot="1" x14ac:dyDescent="0.35">
      <c r="G205" s="47" t="s">
        <v>447</v>
      </c>
    </row>
    <row r="206" spans="1:41" x14ac:dyDescent="0.3">
      <c r="G206" s="48" t="s">
        <v>448</v>
      </c>
    </row>
    <row r="207" spans="1:41" x14ac:dyDescent="0.3">
      <c r="G207" s="49" t="s">
        <v>449</v>
      </c>
    </row>
    <row r="208" spans="1:41" x14ac:dyDescent="0.3">
      <c r="G208" s="49" t="s">
        <v>450</v>
      </c>
    </row>
    <row r="209" spans="7:7" x14ac:dyDescent="0.3">
      <c r="G209" s="49" t="s">
        <v>451</v>
      </c>
    </row>
    <row r="210" spans="7:7" x14ac:dyDescent="0.3">
      <c r="G210" s="49" t="s">
        <v>452</v>
      </c>
    </row>
    <row r="211" spans="7:7" ht="13.5" thickBot="1" x14ac:dyDescent="0.35">
      <c r="G211" s="50" t="s">
        <v>453</v>
      </c>
    </row>
  </sheetData>
  <autoFilter ref="H3:AO174" xr:uid="{AE7AD48B-FC87-42CE-89DA-FEB4D6EFFD2B}"/>
  <mergeCells count="39">
    <mergeCell ref="B196:B202"/>
    <mergeCell ref="B176:B195"/>
    <mergeCell ref="A175:G175"/>
    <mergeCell ref="J2:K2"/>
    <mergeCell ref="A26:G26"/>
    <mergeCell ref="B55:B58"/>
    <mergeCell ref="B27:B54"/>
    <mergeCell ref="B94:B119"/>
    <mergeCell ref="B92:B93"/>
    <mergeCell ref="A170:G170"/>
    <mergeCell ref="B171:B174"/>
    <mergeCell ref="H2:I2"/>
    <mergeCell ref="B59:B69"/>
    <mergeCell ref="B70:B84"/>
    <mergeCell ref="B85:B90"/>
    <mergeCell ref="A91:G91"/>
    <mergeCell ref="B120:B132"/>
    <mergeCell ref="B133:B135"/>
    <mergeCell ref="B136:B137"/>
    <mergeCell ref="B139:B169"/>
    <mergeCell ref="A4:G4"/>
    <mergeCell ref="B5:B18"/>
    <mergeCell ref="B19:B25"/>
    <mergeCell ref="AN2:AO2"/>
    <mergeCell ref="H1:AO1"/>
    <mergeCell ref="AB2:AC2"/>
    <mergeCell ref="AD2:AE2"/>
    <mergeCell ref="AF2:AG2"/>
    <mergeCell ref="AH2:AI2"/>
    <mergeCell ref="AJ2:AK2"/>
    <mergeCell ref="AL2:AM2"/>
    <mergeCell ref="P2:Q2"/>
    <mergeCell ref="R2:S2"/>
    <mergeCell ref="T2:U2"/>
    <mergeCell ref="V2:W2"/>
    <mergeCell ref="X2:Y2"/>
    <mergeCell ref="Z2:AA2"/>
    <mergeCell ref="L2:M2"/>
    <mergeCell ref="N2:O2"/>
  </mergeCells>
  <hyperlinks>
    <hyperlink ref="D9" location="'Enum Short Lists'!C3" display="enum" xr:uid="{2BE4FB81-56A3-476C-9BB2-BC6DAA061FF0}"/>
    <hyperlink ref="D32" location="'Enum Values'!D12" display="enum" xr:uid="{13762A39-83C8-40FC-9FAB-4342CD23149D}"/>
    <hyperlink ref="D15" location="'Enum Short Lists'!A24" display="enum - Property Construction Period" xr:uid="{ACEC4457-D05B-4B3E-A0FD-3CE573570E37}"/>
    <hyperlink ref="D68" location="'Enum Values'!J3" display="enum" xr:uid="{0AB626F0-508D-4C49-9036-D85B5D45D147}"/>
    <hyperlink ref="D93" location="'Enum Short Lists'!D74" display="enum - Income Term" xr:uid="{50920737-AF60-4814-B5CF-E2D33A03194A}"/>
    <hyperlink ref="D12" location="'Enum Short Lists'!A83" display="enum - Letting Type" xr:uid="{1DA9AAF9-DA62-4C4C-9BF3-880535414ACF}"/>
    <hyperlink ref="D29" location="'Enum Short Lists'!A91" display="enum - Tenant Type" xr:uid="{373A073A-D515-4708-82FE-396B7407483B}"/>
    <hyperlink ref="D118" location="'Enum Short Lists'!A100" display="enum - employmentTypeId_x0009_" xr:uid="{F64287D7-A8F6-48E1-8CBF-A8693F5DDA46}"/>
    <hyperlink ref="D30" location="'Enum Short Lists'!A118" display="enum" xr:uid="{B0E5079D-F1EE-443B-BA99-6F20AFB3CE21}"/>
    <hyperlink ref="D52" location="'Enum Short Lists'!A126" display="enum - resident Status_x0009_" xr:uid="{1E541563-7674-452E-91D6-7A730F71593D}"/>
    <hyperlink ref="D47" location="'Enum Short Lists'!A133" display="enum - Company Position" xr:uid="{10DC6768-26B9-4895-997A-8619090DFCE6}"/>
    <hyperlink ref="D67" location="'Enum Short Lists'!A142" display="enum - address Type" xr:uid="{933C9299-4E6B-4036-B47D-93B9D794FF24}"/>
    <hyperlink ref="D92" location="'Enum Values'!D149" display="enum" xr:uid="{45676EA1-9F91-4F12-ACB0-54310DB2DD4F}"/>
    <hyperlink ref="D42" location="'Enum Countries'!D2" display="enum" xr:uid="{4C3A0954-01A0-4154-A344-90AC0056EE7C}"/>
    <hyperlink ref="D50" location="'Enum Nationalities'!D2" display="enum" xr:uid="{BE070B68-01B3-4E80-AB8B-5FC0FA38CC1F}"/>
    <hyperlink ref="D25" location="'Enum Short Lists'!A239" display="enum" xr:uid="{6B47AD0F-0B16-4351-BF34-15E8D191B227}"/>
    <hyperlink ref="D14" location="'Enum Short Lists'!A249" display="enum - Property Type" xr:uid="{5F1B06F3-71C0-4C2C-8506-7AF23142AEEF}"/>
    <hyperlink ref="D179" location="'Enum Short Lists'!A178" display="enum - Document Type" xr:uid="{12577BD1-B060-40C8-8148-E5D628843BEE}"/>
    <hyperlink ref="D45" location="'Enum Countries'!D2" display="enum" xr:uid="{FC0DAD9E-CB48-451F-B2B8-1BD18DC6BC8F}"/>
    <hyperlink ref="D65" location="'Enum Countries'!D2" display="enum" xr:uid="{5BDFE673-1856-451E-8F55-072B0B2CC60C}"/>
    <hyperlink ref="D70" location="'Enum Short Lists'!A126" display="enum - residentStatus" xr:uid="{4F36B785-135C-42C8-B164-89A96B331D50}"/>
    <hyperlink ref="D73" location="'Enum Countries'!D2" display="enum" xr:uid="{03E96396-4017-4AB0-BD08-D5D97872A5AC}"/>
    <hyperlink ref="D75" location="'Enum Countries'!D2" display="enum" xr:uid="{DF60A5AC-5ABA-4C16-B5E0-EE37D91244C8}"/>
    <hyperlink ref="D83" location="'Enum Countries'!D2" display="enum" xr:uid="{B84B7A8F-1330-401A-B1BE-1E0271AD757A}"/>
    <hyperlink ref="D101" location="'Enum Short Lists'!D74" display="enum - Income Term" xr:uid="{BDE2A1EE-2CB4-4831-A4C9-F4C7B30D6F1C}"/>
    <hyperlink ref="D103" location="'Enum Short Lists'!D74" display="enum - Income Term" xr:uid="{73018C4E-2A79-44A3-86BD-CB6B63C17C6B}"/>
    <hyperlink ref="D141" location="'Enum Short Lists'!D74" display="enum - Income Term" xr:uid="{46BD0B83-E318-41F7-9C20-EE7FC1B5AFD2}"/>
    <hyperlink ref="D144" location="'Enum Short Lists'!D74" display="enum - Income Term" xr:uid="{E9B2F12A-1DA0-4BE6-BA40-7054A8898EF0}"/>
    <hyperlink ref="D147" location="'Enum Short Lists'!D74" display="enum - Income Term" xr:uid="{243D2FF1-6E00-4180-9081-A73501F717AA}"/>
    <hyperlink ref="D150" location="'Enum Short Lists'!D74" display="enum - Income Term" xr:uid="{ACC29C0D-94B5-4843-B85D-F2AD2EEE7745}"/>
    <hyperlink ref="D153" location="'Enum Short Lists'!D74" display="enum - Income Term" xr:uid="{D2EBEAD4-AF51-4593-8429-483F879B77C2}"/>
    <hyperlink ref="D156" location="'Enum Short Lists'!D74" display="enum - Income Term" xr:uid="{B15E07D1-1F3C-4A7C-985F-5A18BD52D56D}"/>
    <hyperlink ref="D159" location="'Enum Short Lists'!D74" display="enum - Income Term" xr:uid="{99818951-9D6A-4A16-97E0-95F355EBAA84}"/>
    <hyperlink ref="D162" location="'Enum Short Lists'!D74" display="enum - Income Term" xr:uid="{D346703D-F32A-4243-910D-E573C39AFD9A}"/>
    <hyperlink ref="D165" location="'Enum Short Lists'!D74" display="enum - Income Term" xr:uid="{7B773B9F-69CB-45BE-A0E9-9F3797B50956}"/>
    <hyperlink ref="D168" location="'Enum Short Lists'!D74" display="enum - Income Term" xr:uid="{3B4FF2E2-3CD3-440A-9EAE-47F56D869D6C}"/>
    <hyperlink ref="D94" location="'Enum Countries'!D2" display="enum" xr:uid="{5BFB4B56-D483-4BE8-999C-C3E6741DC86E}"/>
    <hyperlink ref="D108" location="'Enum Countries'!D2" display="enum" xr:uid="{7EC9E436-98CB-4AFF-A2EB-74EA094922D1}"/>
    <hyperlink ref="D110" location="'Enum Countries'!D2" display="enum" xr:uid="{28A44A8C-D92D-4E93-8BC6-E3B4D239ECA1}"/>
    <hyperlink ref="D127" location="'Enum Countries'!D2" display="enum" xr:uid="{020E983F-5B5E-4387-A201-3D2527786910}"/>
    <hyperlink ref="D129" location="'Enum Countries'!D2" display="enum" xr:uid="{44C7E182-DE87-4BED-837E-657CD28174CC}"/>
    <hyperlink ref="D120" location="'Enum Short Lists'!A109" display="enum - tradingTypeId" xr:uid="{3FE1A659-6906-4234-AD5C-D303AEB36C58}"/>
    <hyperlink ref="D106" location="'Enum Short Lists'!A74" display="enum - Income Term" xr:uid="{F6AFB9A1-35DC-4D90-B113-1E89A406E523}"/>
    <hyperlink ref="D28" location="'Enum Short Lists'!A257" display="enum - outcome" xr:uid="{C55543F3-58F9-4821-9CB6-5939C1BD8028}"/>
    <hyperlink ref="D27" location="'Enum Short Lists'!A265" display="enum -  Applicant Status" xr:uid="{995B9796-33CA-49E2-90D7-E2E09A13BE8A}"/>
    <hyperlink ref="D196" location="'Enum Short Lists'!A276" display="enum - cancellation reason" xr:uid="{ECAD8F30-35EC-448F-B83F-FF7B9C6003B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C4806-8347-40F7-B5CE-41EC957FB820}">
  <sheetPr>
    <tabColor rgb="FF92D050"/>
  </sheetPr>
  <dimension ref="B2:F285"/>
  <sheetViews>
    <sheetView zoomScaleNormal="100" workbookViewId="0">
      <selection activeCell="C1" sqref="C1"/>
    </sheetView>
  </sheetViews>
  <sheetFormatPr defaultRowHeight="14.5" x14ac:dyDescent="0.35"/>
  <cols>
    <col min="2" max="2" width="25.54296875" customWidth="1"/>
    <col min="3" max="3" width="84.54296875" customWidth="1"/>
    <col min="4" max="4" width="63.54296875" bestFit="1" customWidth="1"/>
    <col min="8" max="9" width="20.54296875" customWidth="1"/>
    <col min="10" max="10" width="50.54296875" customWidth="1"/>
  </cols>
  <sheetData>
    <row r="2" spans="2:4" ht="15" thickBot="1" x14ac:dyDescent="0.4"/>
    <row r="3" spans="2:4" x14ac:dyDescent="0.35">
      <c r="B3" s="146" t="s">
        <v>454</v>
      </c>
      <c r="C3" s="206" t="s">
        <v>455</v>
      </c>
      <c r="D3" s="207"/>
    </row>
    <row r="4" spans="2:4" ht="46.5" customHeight="1" x14ac:dyDescent="0.35">
      <c r="B4" s="147" t="s">
        <v>456</v>
      </c>
      <c r="C4" s="201" t="s">
        <v>457</v>
      </c>
      <c r="D4" s="209"/>
    </row>
    <row r="5" spans="2:4" x14ac:dyDescent="0.35">
      <c r="B5" s="148" t="s">
        <v>458</v>
      </c>
      <c r="C5" s="149" t="s">
        <v>459</v>
      </c>
      <c r="D5" s="150" t="s">
        <v>460</v>
      </c>
    </row>
    <row r="6" spans="2:4" x14ac:dyDescent="0.35">
      <c r="B6" s="121">
        <v>1</v>
      </c>
      <c r="C6" s="122" t="s">
        <v>461</v>
      </c>
      <c r="D6" s="127"/>
    </row>
    <row r="7" spans="2:4" x14ac:dyDescent="0.35">
      <c r="B7" s="121">
        <v>2</v>
      </c>
      <c r="C7" s="122" t="s">
        <v>462</v>
      </c>
      <c r="D7" s="127"/>
    </row>
    <row r="8" spans="2:4" hidden="1" x14ac:dyDescent="0.35">
      <c r="B8" s="130">
        <v>3</v>
      </c>
      <c r="C8" s="151" t="s">
        <v>463</v>
      </c>
      <c r="D8" s="127"/>
    </row>
    <row r="9" spans="2:4" ht="15" thickBot="1" x14ac:dyDescent="0.4">
      <c r="B9" s="124">
        <v>4</v>
      </c>
      <c r="C9" s="125" t="s">
        <v>464</v>
      </c>
      <c r="D9" s="127"/>
    </row>
    <row r="11" spans="2:4" ht="15" thickBot="1" x14ac:dyDescent="0.4"/>
    <row r="12" spans="2:4" x14ac:dyDescent="0.35">
      <c r="B12" s="146" t="s">
        <v>454</v>
      </c>
      <c r="C12" s="206" t="s">
        <v>465</v>
      </c>
      <c r="D12" s="207"/>
    </row>
    <row r="13" spans="2:4" ht="40" customHeight="1" x14ac:dyDescent="0.35">
      <c r="B13" s="147" t="s">
        <v>456</v>
      </c>
      <c r="C13" s="201" t="s">
        <v>466</v>
      </c>
      <c r="D13" s="209"/>
    </row>
    <row r="14" spans="2:4" x14ac:dyDescent="0.35">
      <c r="B14" s="148" t="s">
        <v>458</v>
      </c>
      <c r="C14" s="149" t="s">
        <v>459</v>
      </c>
      <c r="D14" s="150" t="s">
        <v>460</v>
      </c>
    </row>
    <row r="15" spans="2:4" x14ac:dyDescent="0.35">
      <c r="B15" s="121">
        <v>1</v>
      </c>
      <c r="C15" s="122" t="s">
        <v>467</v>
      </c>
      <c r="D15" s="127"/>
    </row>
    <row r="16" spans="2:4" x14ac:dyDescent="0.35">
      <c r="B16" s="121">
        <v>2</v>
      </c>
      <c r="C16" s="122" t="s">
        <v>468</v>
      </c>
      <c r="D16" s="127"/>
    </row>
    <row r="17" spans="2:4" x14ac:dyDescent="0.35">
      <c r="B17" s="121">
        <v>3</v>
      </c>
      <c r="C17" s="122" t="s">
        <v>469</v>
      </c>
      <c r="D17" s="127"/>
    </row>
    <row r="18" spans="2:4" x14ac:dyDescent="0.35">
      <c r="B18" s="121">
        <v>4</v>
      </c>
      <c r="C18" s="122" t="s">
        <v>470</v>
      </c>
      <c r="D18" s="127"/>
    </row>
    <row r="19" spans="2:4" x14ac:dyDescent="0.35">
      <c r="B19" s="121">
        <v>5</v>
      </c>
      <c r="C19" s="122" t="s">
        <v>471</v>
      </c>
      <c r="D19" s="127"/>
    </row>
    <row r="20" spans="2:4" x14ac:dyDescent="0.35">
      <c r="B20" s="121">
        <v>6</v>
      </c>
      <c r="C20" s="122" t="s">
        <v>472</v>
      </c>
      <c r="D20" s="123" t="s">
        <v>473</v>
      </c>
    </row>
    <row r="21" spans="2:4" ht="15" thickBot="1" x14ac:dyDescent="0.4">
      <c r="B21" s="124">
        <v>7</v>
      </c>
      <c r="C21" s="125" t="s">
        <v>474</v>
      </c>
      <c r="D21" s="127"/>
    </row>
    <row r="23" spans="2:4" ht="15" thickBot="1" x14ac:dyDescent="0.4"/>
    <row r="24" spans="2:4" x14ac:dyDescent="0.35">
      <c r="B24" s="146" t="s">
        <v>454</v>
      </c>
      <c r="C24" s="206" t="s">
        <v>475</v>
      </c>
      <c r="D24" s="207"/>
    </row>
    <row r="25" spans="2:4" x14ac:dyDescent="0.35">
      <c r="B25" s="147" t="s">
        <v>456</v>
      </c>
      <c r="C25" s="201" t="s">
        <v>476</v>
      </c>
      <c r="D25" s="209"/>
    </row>
    <row r="26" spans="2:4" x14ac:dyDescent="0.35">
      <c r="B26" s="148" t="s">
        <v>458</v>
      </c>
      <c r="C26" s="149" t="s">
        <v>459</v>
      </c>
      <c r="D26" s="150" t="s">
        <v>460</v>
      </c>
    </row>
    <row r="27" spans="2:4" x14ac:dyDescent="0.35">
      <c r="B27" s="121">
        <v>1</v>
      </c>
      <c r="C27" s="152" t="s">
        <v>477</v>
      </c>
      <c r="D27" s="127"/>
    </row>
    <row r="28" spans="2:4" x14ac:dyDescent="0.35">
      <c r="B28" s="121">
        <v>2</v>
      </c>
      <c r="C28" s="152" t="s">
        <v>478</v>
      </c>
      <c r="D28" s="127"/>
    </row>
    <row r="29" spans="2:4" x14ac:dyDescent="0.35">
      <c r="B29" s="121">
        <v>3</v>
      </c>
      <c r="C29" s="152" t="s">
        <v>479</v>
      </c>
      <c r="D29" s="127"/>
    </row>
    <row r="30" spans="2:4" x14ac:dyDescent="0.35">
      <c r="B30" s="121">
        <v>4</v>
      </c>
      <c r="C30" s="152" t="s">
        <v>480</v>
      </c>
      <c r="D30" s="127"/>
    </row>
    <row r="31" spans="2:4" x14ac:dyDescent="0.35">
      <c r="B31" s="121">
        <v>5</v>
      </c>
      <c r="C31" s="152" t="s">
        <v>481</v>
      </c>
      <c r="D31" s="127"/>
    </row>
    <row r="32" spans="2:4" x14ac:dyDescent="0.35">
      <c r="B32" s="121">
        <v>6</v>
      </c>
      <c r="C32" s="152" t="s">
        <v>482</v>
      </c>
      <c r="D32" s="127"/>
    </row>
    <row r="33" spans="2:4" x14ac:dyDescent="0.35">
      <c r="B33" s="121">
        <v>7</v>
      </c>
      <c r="C33" s="152" t="s">
        <v>483</v>
      </c>
      <c r="D33" s="127"/>
    </row>
    <row r="34" spans="2:4" x14ac:dyDescent="0.35">
      <c r="B34" s="121">
        <v>8</v>
      </c>
      <c r="C34" s="152" t="s">
        <v>484</v>
      </c>
      <c r="D34" s="126"/>
    </row>
    <row r="35" spans="2:4" ht="15" thickBot="1" x14ac:dyDescent="0.4">
      <c r="B35" s="124">
        <v>9</v>
      </c>
      <c r="C35" s="153" t="s">
        <v>485</v>
      </c>
      <c r="D35" s="128"/>
    </row>
    <row r="37" spans="2:4" ht="15" thickBot="1" x14ac:dyDescent="0.4"/>
    <row r="38" spans="2:4" x14ac:dyDescent="0.35">
      <c r="B38" s="146" t="s">
        <v>454</v>
      </c>
      <c r="C38" s="206" t="s">
        <v>1558</v>
      </c>
      <c r="D38" s="207"/>
    </row>
    <row r="39" spans="2:4" x14ac:dyDescent="0.35">
      <c r="B39" s="147" t="s">
        <v>456</v>
      </c>
      <c r="C39" s="201" t="s">
        <v>486</v>
      </c>
      <c r="D39" s="209"/>
    </row>
    <row r="40" spans="2:4" x14ac:dyDescent="0.35">
      <c r="B40" s="148" t="s">
        <v>458</v>
      </c>
      <c r="C40" s="149" t="s">
        <v>459</v>
      </c>
      <c r="D40" s="150" t="s">
        <v>460</v>
      </c>
    </row>
    <row r="41" spans="2:4" x14ac:dyDescent="0.35">
      <c r="B41" s="121">
        <v>1</v>
      </c>
      <c r="C41" s="122" t="s">
        <v>487</v>
      </c>
      <c r="D41" s="154"/>
    </row>
    <row r="42" spans="2:4" ht="15" thickBot="1" x14ac:dyDescent="0.4">
      <c r="B42" s="124">
        <v>2</v>
      </c>
      <c r="C42" s="125" t="s">
        <v>488</v>
      </c>
      <c r="D42" s="154"/>
    </row>
    <row r="44" spans="2:4" ht="15" thickBot="1" x14ac:dyDescent="0.4"/>
    <row r="45" spans="2:4" x14ac:dyDescent="0.35">
      <c r="B45" s="155" t="s">
        <v>454</v>
      </c>
      <c r="C45" s="213" t="s">
        <v>207</v>
      </c>
      <c r="D45" s="214"/>
    </row>
    <row r="46" spans="2:4" x14ac:dyDescent="0.35">
      <c r="B46" s="147" t="s">
        <v>456</v>
      </c>
      <c r="C46" s="201" t="s">
        <v>489</v>
      </c>
      <c r="D46" s="209"/>
    </row>
    <row r="47" spans="2:4" x14ac:dyDescent="0.35">
      <c r="B47" s="148" t="s">
        <v>458</v>
      </c>
      <c r="C47" s="149" t="s">
        <v>459</v>
      </c>
      <c r="D47" s="150" t="s">
        <v>460</v>
      </c>
    </row>
    <row r="48" spans="2:4" x14ac:dyDescent="0.35">
      <c r="B48" s="121">
        <v>1</v>
      </c>
      <c r="C48" s="122" t="s">
        <v>490</v>
      </c>
      <c r="D48" s="127"/>
    </row>
    <row r="49" spans="2:4" x14ac:dyDescent="0.35">
      <c r="B49" s="121">
        <v>2</v>
      </c>
      <c r="C49" s="122" t="s">
        <v>491</v>
      </c>
      <c r="D49" s="127"/>
    </row>
    <row r="50" spans="2:4" x14ac:dyDescent="0.35">
      <c r="B50" s="121">
        <v>3</v>
      </c>
      <c r="C50" s="122" t="s">
        <v>492</v>
      </c>
      <c r="D50" s="154"/>
    </row>
    <row r="51" spans="2:4" x14ac:dyDescent="0.35">
      <c r="B51" s="121">
        <v>4</v>
      </c>
      <c r="C51" s="122" t="s">
        <v>493</v>
      </c>
      <c r="D51" s="127"/>
    </row>
    <row r="52" spans="2:4" x14ac:dyDescent="0.35">
      <c r="B52" s="121">
        <v>5</v>
      </c>
      <c r="C52" s="122" t="s">
        <v>494</v>
      </c>
      <c r="D52" s="127"/>
    </row>
    <row r="53" spans="2:4" x14ac:dyDescent="0.35">
      <c r="B53" s="121">
        <v>6</v>
      </c>
      <c r="C53" s="122" t="s">
        <v>495</v>
      </c>
      <c r="D53" s="154"/>
    </row>
    <row r="54" spans="2:4" x14ac:dyDescent="0.35">
      <c r="B54" s="121">
        <v>7</v>
      </c>
      <c r="C54" s="122" t="s">
        <v>496</v>
      </c>
      <c r="D54" s="127"/>
    </row>
    <row r="55" spans="2:4" x14ac:dyDescent="0.35">
      <c r="B55" s="121">
        <v>8</v>
      </c>
      <c r="C55" s="122" t="s">
        <v>497</v>
      </c>
      <c r="D55" s="127"/>
    </row>
    <row r="56" spans="2:4" x14ac:dyDescent="0.35">
      <c r="B56" s="121">
        <v>9</v>
      </c>
      <c r="C56" s="122" t="s">
        <v>498</v>
      </c>
      <c r="D56" s="154"/>
    </row>
    <row r="57" spans="2:4" x14ac:dyDescent="0.35">
      <c r="B57" s="121">
        <v>10</v>
      </c>
      <c r="C57" s="122" t="s">
        <v>499</v>
      </c>
      <c r="D57" s="127"/>
    </row>
    <row r="58" spans="2:4" x14ac:dyDescent="0.35">
      <c r="B58" s="121">
        <v>11</v>
      </c>
      <c r="C58" s="122" t="s">
        <v>500</v>
      </c>
      <c r="D58" s="127"/>
    </row>
    <row r="59" spans="2:4" ht="15" thickBot="1" x14ac:dyDescent="0.4">
      <c r="B59" s="124">
        <v>12</v>
      </c>
      <c r="C59" s="125" t="s">
        <v>501</v>
      </c>
      <c r="D59" s="156"/>
    </row>
    <row r="61" spans="2:4" ht="15" thickBot="1" x14ac:dyDescent="0.4"/>
    <row r="62" spans="2:4" x14ac:dyDescent="0.35">
      <c r="B62" s="146" t="s">
        <v>454</v>
      </c>
      <c r="C62" s="212" t="s">
        <v>502</v>
      </c>
      <c r="D62" s="207"/>
    </row>
    <row r="63" spans="2:4" ht="213" customHeight="1" x14ac:dyDescent="0.35">
      <c r="B63" s="147" t="s">
        <v>456</v>
      </c>
      <c r="C63" s="201" t="s">
        <v>1361</v>
      </c>
      <c r="D63" s="209"/>
    </row>
    <row r="64" spans="2:4" x14ac:dyDescent="0.35">
      <c r="B64" s="148" t="s">
        <v>458</v>
      </c>
      <c r="C64" s="149" t="s">
        <v>459</v>
      </c>
      <c r="D64" s="150" t="s">
        <v>460</v>
      </c>
    </row>
    <row r="65" spans="2:4" x14ac:dyDescent="0.35">
      <c r="B65" s="121">
        <v>1</v>
      </c>
      <c r="C65" s="122" t="s">
        <v>503</v>
      </c>
      <c r="D65" s="127"/>
    </row>
    <row r="66" spans="2:4" x14ac:dyDescent="0.35">
      <c r="B66" s="121">
        <v>2</v>
      </c>
      <c r="C66" s="122" t="s">
        <v>504</v>
      </c>
      <c r="D66" s="127"/>
    </row>
    <row r="67" spans="2:4" x14ac:dyDescent="0.35">
      <c r="B67" s="121">
        <v>3</v>
      </c>
      <c r="C67" s="122" t="s">
        <v>505</v>
      </c>
      <c r="D67" s="127"/>
    </row>
    <row r="68" spans="2:4" x14ac:dyDescent="0.35">
      <c r="B68" s="121">
        <v>4</v>
      </c>
      <c r="C68" s="122" t="s">
        <v>506</v>
      </c>
      <c r="D68" s="127"/>
    </row>
    <row r="69" spans="2:4" x14ac:dyDescent="0.35">
      <c r="B69" s="121">
        <v>5</v>
      </c>
      <c r="C69" s="122" t="s">
        <v>507</v>
      </c>
      <c r="D69" s="127"/>
    </row>
    <row r="70" spans="2:4" x14ac:dyDescent="0.35">
      <c r="B70" s="121">
        <v>6</v>
      </c>
      <c r="C70" s="122" t="s">
        <v>508</v>
      </c>
      <c r="D70" s="126"/>
    </row>
    <row r="71" spans="2:4" ht="15" thickBot="1" x14ac:dyDescent="0.4">
      <c r="B71" s="124">
        <v>7</v>
      </c>
      <c r="C71" s="125" t="s">
        <v>509</v>
      </c>
      <c r="D71" s="128"/>
    </row>
    <row r="73" spans="2:4" ht="15" thickBot="1" x14ac:dyDescent="0.4"/>
    <row r="74" spans="2:4" x14ac:dyDescent="0.35">
      <c r="B74" s="146" t="s">
        <v>454</v>
      </c>
      <c r="C74" s="206" t="s">
        <v>253</v>
      </c>
      <c r="D74" s="207"/>
    </row>
    <row r="75" spans="2:4" x14ac:dyDescent="0.35">
      <c r="B75" s="147" t="s">
        <v>456</v>
      </c>
      <c r="C75" s="201" t="s">
        <v>510</v>
      </c>
      <c r="D75" s="209"/>
    </row>
    <row r="76" spans="2:4" x14ac:dyDescent="0.35">
      <c r="B76" s="148" t="s">
        <v>458</v>
      </c>
      <c r="C76" s="149" t="s">
        <v>459</v>
      </c>
      <c r="D76" s="150" t="s">
        <v>460</v>
      </c>
    </row>
    <row r="77" spans="2:4" x14ac:dyDescent="0.35">
      <c r="B77" s="121">
        <v>1</v>
      </c>
      <c r="C77" s="122" t="s">
        <v>511</v>
      </c>
      <c r="D77" s="127"/>
    </row>
    <row r="78" spans="2:4" x14ac:dyDescent="0.35">
      <c r="B78" s="121">
        <v>2</v>
      </c>
      <c r="C78" s="122" t="s">
        <v>504</v>
      </c>
      <c r="D78" s="127"/>
    </row>
    <row r="79" spans="2:4" x14ac:dyDescent="0.35">
      <c r="B79" s="121">
        <v>3</v>
      </c>
      <c r="C79" s="122" t="s">
        <v>508</v>
      </c>
      <c r="D79" s="127"/>
    </row>
    <row r="80" spans="2:4" ht="15" thickBot="1" x14ac:dyDescent="0.4">
      <c r="B80" s="124">
        <v>4</v>
      </c>
      <c r="C80" s="125" t="s">
        <v>512</v>
      </c>
      <c r="D80" s="128"/>
    </row>
    <row r="82" spans="2:4" ht="15" thickBot="1" x14ac:dyDescent="0.4"/>
    <row r="83" spans="2:4" x14ac:dyDescent="0.35">
      <c r="B83" s="146" t="s">
        <v>454</v>
      </c>
      <c r="C83" s="206" t="s">
        <v>84</v>
      </c>
      <c r="D83" s="207"/>
    </row>
    <row r="84" spans="2:4" x14ac:dyDescent="0.35">
      <c r="B84" s="147" t="s">
        <v>456</v>
      </c>
      <c r="C84" s="201" t="s">
        <v>513</v>
      </c>
      <c r="D84" s="209"/>
    </row>
    <row r="85" spans="2:4" x14ac:dyDescent="0.35">
      <c r="B85" s="148" t="s">
        <v>458</v>
      </c>
      <c r="C85" s="149" t="s">
        <v>459</v>
      </c>
      <c r="D85" s="150" t="s">
        <v>460</v>
      </c>
    </row>
    <row r="86" spans="2:4" ht="15" thickBot="1" x14ac:dyDescent="0.4">
      <c r="B86" s="121">
        <v>1</v>
      </c>
      <c r="C86" s="122" t="s">
        <v>514</v>
      </c>
      <c r="D86" s="128"/>
    </row>
    <row r="87" spans="2:4" ht="15" thickBot="1" x14ac:dyDescent="0.4">
      <c r="B87" s="121">
        <v>2</v>
      </c>
      <c r="C87" s="122" t="s">
        <v>515</v>
      </c>
      <c r="D87" s="128"/>
    </row>
    <row r="88" spans="2:4" ht="15" thickBot="1" x14ac:dyDescent="0.4">
      <c r="B88" s="124">
        <v>3</v>
      </c>
      <c r="C88" s="125" t="s">
        <v>516</v>
      </c>
      <c r="D88" s="128"/>
    </row>
    <row r="90" spans="2:4" ht="15" thickBot="1" x14ac:dyDescent="0.4"/>
    <row r="91" spans="2:4" x14ac:dyDescent="0.35">
      <c r="B91" s="146" t="s">
        <v>454</v>
      </c>
      <c r="C91" s="206" t="s">
        <v>126</v>
      </c>
      <c r="D91" s="207"/>
    </row>
    <row r="92" spans="2:4" x14ac:dyDescent="0.35">
      <c r="B92" s="147" t="s">
        <v>456</v>
      </c>
      <c r="C92" s="201" t="s">
        <v>517</v>
      </c>
      <c r="D92" s="209"/>
    </row>
    <row r="93" spans="2:4" x14ac:dyDescent="0.35">
      <c r="B93" s="148" t="s">
        <v>458</v>
      </c>
      <c r="C93" s="149" t="s">
        <v>459</v>
      </c>
      <c r="D93" s="150" t="s">
        <v>460</v>
      </c>
    </row>
    <row r="94" spans="2:4" x14ac:dyDescent="0.35">
      <c r="B94" s="121">
        <v>1</v>
      </c>
      <c r="C94" s="122" t="s">
        <v>518</v>
      </c>
      <c r="D94" s="127"/>
    </row>
    <row r="95" spans="2:4" x14ac:dyDescent="0.35">
      <c r="B95" s="121">
        <v>2</v>
      </c>
      <c r="C95" s="122" t="s">
        <v>519</v>
      </c>
      <c r="D95" s="127"/>
    </row>
    <row r="96" spans="2:4" x14ac:dyDescent="0.35">
      <c r="B96" s="121">
        <v>3</v>
      </c>
      <c r="C96" s="122" t="s">
        <v>520</v>
      </c>
      <c r="D96" s="127"/>
    </row>
    <row r="97" spans="2:6" ht="15" thickBot="1" x14ac:dyDescent="0.4">
      <c r="B97" s="124">
        <v>4</v>
      </c>
      <c r="C97" s="125" t="s">
        <v>521</v>
      </c>
      <c r="D97" s="128"/>
    </row>
    <row r="99" spans="2:6" ht="15" thickBot="1" x14ac:dyDescent="0.4"/>
    <row r="100" spans="2:6" x14ac:dyDescent="0.35">
      <c r="B100" s="146" t="s">
        <v>454</v>
      </c>
      <c r="C100" s="206" t="s">
        <v>299</v>
      </c>
      <c r="D100" s="207"/>
    </row>
    <row r="101" spans="2:6" x14ac:dyDescent="0.35">
      <c r="B101" s="147" t="s">
        <v>456</v>
      </c>
      <c r="C101" s="201" t="s">
        <v>522</v>
      </c>
      <c r="D101" s="209"/>
    </row>
    <row r="102" spans="2:6" x14ac:dyDescent="0.35">
      <c r="B102" s="148" t="s">
        <v>458</v>
      </c>
      <c r="C102" s="149" t="s">
        <v>459</v>
      </c>
      <c r="D102" s="150" t="s">
        <v>460</v>
      </c>
    </row>
    <row r="103" spans="2:6" x14ac:dyDescent="0.35">
      <c r="B103" s="121">
        <v>1</v>
      </c>
      <c r="C103" s="122" t="s">
        <v>523</v>
      </c>
      <c r="D103" s="127"/>
    </row>
    <row r="104" spans="2:6" x14ac:dyDescent="0.35">
      <c r="B104" s="121">
        <v>2</v>
      </c>
      <c r="C104" s="122" t="s">
        <v>524</v>
      </c>
      <c r="D104" s="127"/>
    </row>
    <row r="105" spans="2:6" x14ac:dyDescent="0.35">
      <c r="B105" s="121">
        <v>3</v>
      </c>
      <c r="C105" s="122" t="s">
        <v>525</v>
      </c>
      <c r="D105" s="127"/>
    </row>
    <row r="106" spans="2:6" ht="15" thickBot="1" x14ac:dyDescent="0.4">
      <c r="B106" s="124">
        <v>4</v>
      </c>
      <c r="C106" s="125" t="s">
        <v>526</v>
      </c>
      <c r="D106" s="128"/>
    </row>
    <row r="108" spans="2:6" ht="15" thickBot="1" x14ac:dyDescent="0.4"/>
    <row r="109" spans="2:6" x14ac:dyDescent="0.35">
      <c r="B109" s="146" t="s">
        <v>454</v>
      </c>
      <c r="C109" s="206" t="s">
        <v>305</v>
      </c>
      <c r="D109" s="207"/>
    </row>
    <row r="110" spans="2:6" ht="15.65" customHeight="1" x14ac:dyDescent="0.35">
      <c r="B110" s="147" t="s">
        <v>456</v>
      </c>
      <c r="C110" s="201" t="s">
        <v>527</v>
      </c>
      <c r="D110" s="209"/>
    </row>
    <row r="111" spans="2:6" ht="15.65" customHeight="1" x14ac:dyDescent="0.35">
      <c r="B111" s="148" t="s">
        <v>458</v>
      </c>
      <c r="C111" s="149" t="s">
        <v>459</v>
      </c>
      <c r="D111" s="150" t="s">
        <v>460</v>
      </c>
      <c r="F111" s="129"/>
    </row>
    <row r="112" spans="2:6" x14ac:dyDescent="0.35">
      <c r="B112" s="121">
        <v>1</v>
      </c>
      <c r="C112" s="122" t="s">
        <v>1363</v>
      </c>
      <c r="D112" s="127"/>
    </row>
    <row r="113" spans="2:6" x14ac:dyDescent="0.35">
      <c r="B113" s="121">
        <v>2</v>
      </c>
      <c r="C113" s="122" t="s">
        <v>1364</v>
      </c>
      <c r="D113" s="127"/>
    </row>
    <row r="114" spans="2:6" ht="15" thickBot="1" x14ac:dyDescent="0.4">
      <c r="B114" s="130">
        <v>3</v>
      </c>
      <c r="C114" s="131" t="s">
        <v>1359</v>
      </c>
      <c r="D114" s="132" t="s">
        <v>1362</v>
      </c>
    </row>
    <row r="115" spans="2:6" ht="15" thickBot="1" x14ac:dyDescent="0.4">
      <c r="B115" s="133">
        <v>4</v>
      </c>
      <c r="C115" s="131" t="s">
        <v>1359</v>
      </c>
      <c r="D115" s="132" t="s">
        <v>1362</v>
      </c>
    </row>
    <row r="117" spans="2:6" ht="15" thickBot="1" x14ac:dyDescent="0.4"/>
    <row r="118" spans="2:6" x14ac:dyDescent="0.35">
      <c r="B118" s="146" t="s">
        <v>454</v>
      </c>
      <c r="C118" s="206" t="s">
        <v>129</v>
      </c>
      <c r="D118" s="207"/>
    </row>
    <row r="119" spans="2:6" x14ac:dyDescent="0.35">
      <c r="B119" s="147" t="s">
        <v>456</v>
      </c>
      <c r="C119" s="201" t="s">
        <v>528</v>
      </c>
      <c r="D119" s="209"/>
    </row>
    <row r="120" spans="2:6" x14ac:dyDescent="0.35">
      <c r="B120" s="148" t="s">
        <v>458</v>
      </c>
      <c r="C120" s="149" t="s">
        <v>459</v>
      </c>
      <c r="D120" s="150" t="s">
        <v>460</v>
      </c>
      <c r="F120" s="129"/>
    </row>
    <row r="121" spans="2:6" x14ac:dyDescent="0.35">
      <c r="B121" s="121">
        <v>1</v>
      </c>
      <c r="C121" s="122" t="s">
        <v>529</v>
      </c>
      <c r="D121" s="127"/>
    </row>
    <row r="122" spans="2:6" x14ac:dyDescent="0.35">
      <c r="B122" s="121">
        <v>2</v>
      </c>
      <c r="C122" s="122" t="s">
        <v>530</v>
      </c>
      <c r="D122" s="127"/>
    </row>
    <row r="123" spans="2:6" ht="15" thickBot="1" x14ac:dyDescent="0.4">
      <c r="B123" s="134">
        <v>3</v>
      </c>
      <c r="C123" s="157" t="s">
        <v>531</v>
      </c>
      <c r="D123" s="132" t="s">
        <v>1362</v>
      </c>
    </row>
    <row r="125" spans="2:6" ht="15" thickBot="1" x14ac:dyDescent="0.4"/>
    <row r="126" spans="2:6" x14ac:dyDescent="0.35">
      <c r="B126" s="146" t="s">
        <v>454</v>
      </c>
      <c r="C126" s="206" t="s">
        <v>188</v>
      </c>
      <c r="D126" s="207"/>
    </row>
    <row r="127" spans="2:6" x14ac:dyDescent="0.35">
      <c r="B127" s="147" t="s">
        <v>456</v>
      </c>
      <c r="C127" s="204" t="s">
        <v>532</v>
      </c>
      <c r="D127" s="205"/>
    </row>
    <row r="128" spans="2:6" x14ac:dyDescent="0.35">
      <c r="B128" s="148" t="s">
        <v>458</v>
      </c>
      <c r="C128" s="149" t="s">
        <v>459</v>
      </c>
      <c r="D128" s="150" t="s">
        <v>460</v>
      </c>
    </row>
    <row r="129" spans="2:4" x14ac:dyDescent="0.35">
      <c r="B129" s="121">
        <v>1</v>
      </c>
      <c r="C129" s="122" t="s">
        <v>533</v>
      </c>
      <c r="D129" s="127"/>
    </row>
    <row r="130" spans="2:4" ht="15" thickBot="1" x14ac:dyDescent="0.4">
      <c r="B130" s="124">
        <v>2</v>
      </c>
      <c r="C130" s="125" t="s">
        <v>534</v>
      </c>
      <c r="D130" s="128"/>
    </row>
    <row r="132" spans="2:4" ht="15" thickBot="1" x14ac:dyDescent="0.4"/>
    <row r="133" spans="2:4" x14ac:dyDescent="0.35">
      <c r="B133" s="146" t="s">
        <v>454</v>
      </c>
      <c r="C133" s="206" t="s">
        <v>174</v>
      </c>
      <c r="D133" s="207"/>
    </row>
    <row r="134" spans="2:4" x14ac:dyDescent="0.35">
      <c r="B134" s="147" t="s">
        <v>456</v>
      </c>
      <c r="C134" s="204" t="s">
        <v>535</v>
      </c>
      <c r="D134" s="205"/>
    </row>
    <row r="135" spans="2:4" x14ac:dyDescent="0.35">
      <c r="B135" s="148" t="s">
        <v>458</v>
      </c>
      <c r="C135" s="149" t="s">
        <v>459</v>
      </c>
      <c r="D135" s="150" t="s">
        <v>460</v>
      </c>
    </row>
    <row r="136" spans="2:4" x14ac:dyDescent="0.35">
      <c r="B136" s="121">
        <v>1</v>
      </c>
      <c r="C136" s="122" t="s">
        <v>536</v>
      </c>
      <c r="D136" s="127"/>
    </row>
    <row r="137" spans="2:4" x14ac:dyDescent="0.35">
      <c r="B137" s="121">
        <v>2</v>
      </c>
      <c r="C137" s="122" t="s">
        <v>537</v>
      </c>
      <c r="D137" s="127"/>
    </row>
    <row r="138" spans="2:4" x14ac:dyDescent="0.35">
      <c r="B138" s="121">
        <v>3</v>
      </c>
      <c r="C138" s="122" t="s">
        <v>538</v>
      </c>
      <c r="D138" s="127"/>
    </row>
    <row r="139" spans="2:4" ht="15" thickBot="1" x14ac:dyDescent="0.4">
      <c r="B139" s="124">
        <v>4</v>
      </c>
      <c r="C139" s="125" t="s">
        <v>472</v>
      </c>
      <c r="D139" s="128"/>
    </row>
    <row r="141" spans="2:4" ht="15" thickBot="1" x14ac:dyDescent="0.4"/>
    <row r="142" spans="2:4" x14ac:dyDescent="0.35">
      <c r="B142" s="146" t="s">
        <v>454</v>
      </c>
      <c r="C142" s="206" t="s">
        <v>204</v>
      </c>
      <c r="D142" s="207"/>
    </row>
    <row r="143" spans="2:4" x14ac:dyDescent="0.35">
      <c r="B143" s="147" t="s">
        <v>456</v>
      </c>
      <c r="C143" s="204" t="s">
        <v>539</v>
      </c>
      <c r="D143" s="208"/>
    </row>
    <row r="144" spans="2:4" x14ac:dyDescent="0.35">
      <c r="B144" s="148" t="s">
        <v>458</v>
      </c>
      <c r="C144" s="149" t="s">
        <v>459</v>
      </c>
      <c r="D144" s="150" t="s">
        <v>460</v>
      </c>
    </row>
    <row r="145" spans="2:4" x14ac:dyDescent="0.35">
      <c r="B145" s="121">
        <v>1</v>
      </c>
      <c r="C145" s="122" t="s">
        <v>540</v>
      </c>
      <c r="D145" s="135"/>
    </row>
    <row r="146" spans="2:4" ht="15" thickBot="1" x14ac:dyDescent="0.4">
      <c r="B146" s="124">
        <v>2</v>
      </c>
      <c r="C146" s="125" t="s">
        <v>541</v>
      </c>
      <c r="D146" s="136"/>
    </row>
    <row r="148" spans="2:4" ht="15" thickBot="1" x14ac:dyDescent="0.4"/>
    <row r="149" spans="2:4" x14ac:dyDescent="0.35">
      <c r="B149" s="146" t="s">
        <v>454</v>
      </c>
      <c r="C149" s="206" t="s">
        <v>249</v>
      </c>
      <c r="D149" s="207"/>
    </row>
    <row r="150" spans="2:4" x14ac:dyDescent="0.35">
      <c r="B150" s="147" t="s">
        <v>456</v>
      </c>
      <c r="C150" s="204" t="s">
        <v>542</v>
      </c>
      <c r="D150" s="205"/>
    </row>
    <row r="151" spans="2:4" x14ac:dyDescent="0.35">
      <c r="B151" s="148" t="s">
        <v>458</v>
      </c>
      <c r="C151" s="149" t="s">
        <v>459</v>
      </c>
      <c r="D151" s="150" t="s">
        <v>460</v>
      </c>
    </row>
    <row r="152" spans="2:4" x14ac:dyDescent="0.35">
      <c r="B152" s="121">
        <v>1</v>
      </c>
      <c r="C152" s="122" t="s">
        <v>256</v>
      </c>
      <c r="D152" s="135"/>
    </row>
    <row r="153" spans="2:4" x14ac:dyDescent="0.35">
      <c r="B153" s="121">
        <v>2</v>
      </c>
      <c r="C153" s="122" t="s">
        <v>304</v>
      </c>
      <c r="D153" s="135"/>
    </row>
    <row r="154" spans="2:4" x14ac:dyDescent="0.35">
      <c r="B154" s="121">
        <v>3</v>
      </c>
      <c r="C154" s="122" t="s">
        <v>333</v>
      </c>
      <c r="D154" s="135"/>
    </row>
    <row r="155" spans="2:4" x14ac:dyDescent="0.35">
      <c r="B155" s="121">
        <v>5</v>
      </c>
      <c r="C155" s="122" t="s">
        <v>543</v>
      </c>
      <c r="D155" s="135"/>
    </row>
    <row r="156" spans="2:4" x14ac:dyDescent="0.35">
      <c r="B156" s="121">
        <v>6</v>
      </c>
      <c r="C156" s="122" t="s">
        <v>349</v>
      </c>
      <c r="D156" s="135"/>
    </row>
    <row r="157" spans="2:4" x14ac:dyDescent="0.35">
      <c r="B157" s="121">
        <v>7</v>
      </c>
      <c r="C157" s="122" t="s">
        <v>346</v>
      </c>
      <c r="D157" s="135"/>
    </row>
    <row r="158" spans="2:4" ht="15" thickBot="1" x14ac:dyDescent="0.4">
      <c r="B158" s="124">
        <v>8</v>
      </c>
      <c r="C158" s="125" t="s">
        <v>544</v>
      </c>
      <c r="D158" s="136"/>
    </row>
    <row r="160" spans="2:4" ht="15" thickBot="1" x14ac:dyDescent="0.4"/>
    <row r="161" spans="2:4" x14ac:dyDescent="0.35">
      <c r="B161" s="146" t="s">
        <v>454</v>
      </c>
      <c r="C161" s="206" t="s">
        <v>1365</v>
      </c>
      <c r="D161" s="207"/>
    </row>
    <row r="162" spans="2:4" x14ac:dyDescent="0.35">
      <c r="B162" s="147" t="s">
        <v>456</v>
      </c>
      <c r="C162" s="201" t="s">
        <v>545</v>
      </c>
      <c r="D162" s="209"/>
    </row>
    <row r="163" spans="2:4" x14ac:dyDescent="0.35">
      <c r="B163" s="148" t="s">
        <v>458</v>
      </c>
      <c r="C163" s="149" t="s">
        <v>459</v>
      </c>
      <c r="D163" s="150" t="s">
        <v>460</v>
      </c>
    </row>
    <row r="164" spans="2:4" x14ac:dyDescent="0.35">
      <c r="B164" s="121">
        <v>1</v>
      </c>
      <c r="C164" s="122" t="s">
        <v>546</v>
      </c>
      <c r="D164" s="135"/>
    </row>
    <row r="165" spans="2:4" x14ac:dyDescent="0.35">
      <c r="B165" s="121">
        <v>2</v>
      </c>
      <c r="C165" s="122" t="s">
        <v>547</v>
      </c>
      <c r="D165" s="135"/>
    </row>
    <row r="166" spans="2:4" x14ac:dyDescent="0.35">
      <c r="B166" s="121">
        <v>3</v>
      </c>
      <c r="C166" s="122" t="s">
        <v>548</v>
      </c>
      <c r="D166" s="135"/>
    </row>
    <row r="167" spans="2:4" ht="15" thickBot="1" x14ac:dyDescent="0.4">
      <c r="B167" s="124">
        <v>4</v>
      </c>
      <c r="C167" s="125" t="s">
        <v>549</v>
      </c>
      <c r="D167" s="136"/>
    </row>
    <row r="169" spans="2:4" ht="15" thickBot="1" x14ac:dyDescent="0.4"/>
    <row r="170" spans="2:4" x14ac:dyDescent="0.35">
      <c r="B170" s="170" t="s">
        <v>454</v>
      </c>
      <c r="C170" s="210" t="s">
        <v>1757</v>
      </c>
      <c r="D170" s="211"/>
    </row>
    <row r="171" spans="2:4" x14ac:dyDescent="0.35">
      <c r="B171" s="171" t="s">
        <v>456</v>
      </c>
      <c r="C171" s="202" t="s">
        <v>1758</v>
      </c>
      <c r="D171" s="203"/>
    </row>
    <row r="172" spans="2:4" x14ac:dyDescent="0.35">
      <c r="B172" s="171" t="s">
        <v>458</v>
      </c>
      <c r="C172" s="172" t="s">
        <v>459</v>
      </c>
      <c r="D172" s="173" t="s">
        <v>460</v>
      </c>
    </row>
    <row r="173" spans="2:4" x14ac:dyDescent="0.35">
      <c r="B173" s="174">
        <v>1</v>
      </c>
      <c r="C173" s="175" t="s">
        <v>550</v>
      </c>
      <c r="D173" s="176"/>
    </row>
    <row r="174" spans="2:4" x14ac:dyDescent="0.35">
      <c r="B174" s="174">
        <v>2</v>
      </c>
      <c r="C174" s="175" t="s">
        <v>551</v>
      </c>
      <c r="D174" s="176"/>
    </row>
    <row r="175" spans="2:4" ht="15" thickBot="1" x14ac:dyDescent="0.4">
      <c r="B175" s="177">
        <v>3</v>
      </c>
      <c r="C175" s="178" t="s">
        <v>552</v>
      </c>
      <c r="D175" s="179"/>
    </row>
    <row r="178" spans="2:4" x14ac:dyDescent="0.35">
      <c r="B178" s="166" t="s">
        <v>454</v>
      </c>
      <c r="C178" s="200" t="s">
        <v>1759</v>
      </c>
      <c r="D178" s="200"/>
    </row>
    <row r="179" spans="2:4" ht="38.15" customHeight="1" x14ac:dyDescent="0.35">
      <c r="B179" s="167" t="s">
        <v>456</v>
      </c>
      <c r="C179" s="201" t="s">
        <v>553</v>
      </c>
      <c r="D179" s="201"/>
    </row>
    <row r="180" spans="2:4" x14ac:dyDescent="0.35">
      <c r="B180" s="168" t="s">
        <v>458</v>
      </c>
      <c r="C180" s="149" t="s">
        <v>459</v>
      </c>
      <c r="D180" s="149" t="s">
        <v>460</v>
      </c>
    </row>
    <row r="181" spans="2:4" x14ac:dyDescent="0.35">
      <c r="B181" s="239">
        <v>1001</v>
      </c>
      <c r="C181" s="158" t="s">
        <v>554</v>
      </c>
      <c r="D181" s="240"/>
    </row>
    <row r="182" spans="2:4" x14ac:dyDescent="0.35">
      <c r="B182" s="239">
        <v>1002</v>
      </c>
      <c r="C182" s="158" t="s">
        <v>555</v>
      </c>
      <c r="D182" s="240"/>
    </row>
    <row r="183" spans="2:4" x14ac:dyDescent="0.35">
      <c r="B183" s="239">
        <v>1003</v>
      </c>
      <c r="C183" s="158" t="s">
        <v>556</v>
      </c>
      <c r="D183" s="240"/>
    </row>
    <row r="184" spans="2:4" x14ac:dyDescent="0.35">
      <c r="B184" s="239">
        <v>1004</v>
      </c>
      <c r="C184" s="158" t="s">
        <v>557</v>
      </c>
      <c r="D184" s="240"/>
    </row>
    <row r="185" spans="2:4" x14ac:dyDescent="0.35">
      <c r="B185" s="239">
        <v>1005</v>
      </c>
      <c r="C185" s="158" t="s">
        <v>558</v>
      </c>
      <c r="D185" s="240"/>
    </row>
    <row r="186" spans="2:4" x14ac:dyDescent="0.35">
      <c r="B186" s="239">
        <v>1006</v>
      </c>
      <c r="C186" s="158" t="s">
        <v>559</v>
      </c>
      <c r="D186" s="240"/>
    </row>
    <row r="187" spans="2:4" x14ac:dyDescent="0.35">
      <c r="B187" s="239">
        <v>1007</v>
      </c>
      <c r="C187" s="158" t="s">
        <v>560</v>
      </c>
      <c r="D187" s="240"/>
    </row>
    <row r="188" spans="2:4" x14ac:dyDescent="0.35">
      <c r="B188" s="239">
        <v>1008</v>
      </c>
      <c r="C188" s="158" t="s">
        <v>561</v>
      </c>
      <c r="D188" s="240"/>
    </row>
    <row r="189" spans="2:4" x14ac:dyDescent="0.35">
      <c r="B189" s="239">
        <v>1009</v>
      </c>
      <c r="C189" s="158" t="s">
        <v>562</v>
      </c>
      <c r="D189" s="240"/>
    </row>
    <row r="190" spans="2:4" x14ac:dyDescent="0.35">
      <c r="B190" s="239">
        <v>1010</v>
      </c>
      <c r="C190" s="158" t="s">
        <v>563</v>
      </c>
      <c r="D190" s="240"/>
    </row>
    <row r="191" spans="2:4" x14ac:dyDescent="0.35">
      <c r="B191" s="239">
        <v>1011</v>
      </c>
      <c r="C191" s="158" t="s">
        <v>564</v>
      </c>
      <c r="D191" s="240"/>
    </row>
    <row r="192" spans="2:4" x14ac:dyDescent="0.35">
      <c r="B192" s="239">
        <v>2001</v>
      </c>
      <c r="C192" s="158" t="s">
        <v>565</v>
      </c>
      <c r="D192" s="240"/>
    </row>
    <row r="193" spans="2:4" x14ac:dyDescent="0.35">
      <c r="B193" s="239">
        <v>2002</v>
      </c>
      <c r="C193" s="158" t="s">
        <v>566</v>
      </c>
      <c r="D193" s="240"/>
    </row>
    <row r="194" spans="2:4" x14ac:dyDescent="0.35">
      <c r="B194" s="239">
        <v>2003</v>
      </c>
      <c r="C194" s="158" t="s">
        <v>567</v>
      </c>
      <c r="D194" s="240"/>
    </row>
    <row r="195" spans="2:4" x14ac:dyDescent="0.35">
      <c r="B195" s="239">
        <v>2004</v>
      </c>
      <c r="C195" s="158" t="s">
        <v>568</v>
      </c>
      <c r="D195" s="240"/>
    </row>
    <row r="196" spans="2:4" x14ac:dyDescent="0.35">
      <c r="B196" s="239">
        <v>2005</v>
      </c>
      <c r="C196" s="158" t="s">
        <v>569</v>
      </c>
      <c r="D196" s="240"/>
    </row>
    <row r="197" spans="2:4" x14ac:dyDescent="0.35">
      <c r="B197" s="239">
        <v>2006</v>
      </c>
      <c r="C197" s="158" t="s">
        <v>570</v>
      </c>
      <c r="D197" s="240"/>
    </row>
    <row r="198" spans="2:4" x14ac:dyDescent="0.35">
      <c r="B198" s="239">
        <v>2007</v>
      </c>
      <c r="C198" s="158" t="s">
        <v>571</v>
      </c>
      <c r="D198" s="240"/>
    </row>
    <row r="199" spans="2:4" x14ac:dyDescent="0.35">
      <c r="B199" s="239">
        <v>3001</v>
      </c>
      <c r="C199" s="158" t="s">
        <v>572</v>
      </c>
      <c r="D199" s="240"/>
    </row>
    <row r="200" spans="2:4" x14ac:dyDescent="0.35">
      <c r="B200" s="239">
        <v>3002</v>
      </c>
      <c r="C200" s="158" t="s">
        <v>573</v>
      </c>
      <c r="D200" s="240"/>
    </row>
    <row r="201" spans="2:4" x14ac:dyDescent="0.35">
      <c r="B201" s="239">
        <v>3003</v>
      </c>
      <c r="C201" s="158" t="s">
        <v>574</v>
      </c>
      <c r="D201" s="240"/>
    </row>
    <row r="202" spans="2:4" x14ac:dyDescent="0.35">
      <c r="B202" s="239">
        <v>3004</v>
      </c>
      <c r="C202" s="158" t="s">
        <v>575</v>
      </c>
      <c r="D202" s="240"/>
    </row>
    <row r="203" spans="2:4" x14ac:dyDescent="0.35">
      <c r="B203" s="239">
        <v>3005</v>
      </c>
      <c r="C203" s="158" t="s">
        <v>576</v>
      </c>
      <c r="D203" s="240"/>
    </row>
    <row r="204" spans="2:4" x14ac:dyDescent="0.35">
      <c r="B204" s="239">
        <v>3006</v>
      </c>
      <c r="C204" s="158" t="s">
        <v>577</v>
      </c>
      <c r="D204" s="240"/>
    </row>
    <row r="205" spans="2:4" x14ac:dyDescent="0.35">
      <c r="B205" s="239">
        <v>3007</v>
      </c>
      <c r="C205" s="158" t="s">
        <v>578</v>
      </c>
      <c r="D205" s="240"/>
    </row>
    <row r="206" spans="2:4" x14ac:dyDescent="0.35">
      <c r="B206" s="239">
        <v>3008</v>
      </c>
      <c r="C206" s="158" t="s">
        <v>579</v>
      </c>
      <c r="D206" s="240"/>
    </row>
    <row r="207" spans="2:4" x14ac:dyDescent="0.35">
      <c r="B207" s="239">
        <v>3009</v>
      </c>
      <c r="C207" s="158" t="s">
        <v>580</v>
      </c>
      <c r="D207" s="240"/>
    </row>
    <row r="208" spans="2:4" x14ac:dyDescent="0.35">
      <c r="B208" s="239">
        <v>3010</v>
      </c>
      <c r="C208" s="159" t="s">
        <v>581</v>
      </c>
      <c r="D208" s="240"/>
    </row>
    <row r="209" spans="2:4" x14ac:dyDescent="0.35">
      <c r="B209" s="239">
        <v>3011</v>
      </c>
      <c r="C209" s="158" t="s">
        <v>582</v>
      </c>
      <c r="D209" s="240"/>
    </row>
    <row r="210" spans="2:4" x14ac:dyDescent="0.35">
      <c r="B210" s="239">
        <v>3012</v>
      </c>
      <c r="C210" s="158" t="s">
        <v>583</v>
      </c>
      <c r="D210" s="240"/>
    </row>
    <row r="211" spans="2:4" x14ac:dyDescent="0.35">
      <c r="B211" s="239">
        <v>3013</v>
      </c>
      <c r="C211" s="158" t="s">
        <v>584</v>
      </c>
      <c r="D211" s="240"/>
    </row>
    <row r="212" spans="2:4" x14ac:dyDescent="0.35">
      <c r="B212" s="239">
        <v>3014</v>
      </c>
      <c r="C212" s="158" t="s">
        <v>585</v>
      </c>
      <c r="D212" s="240"/>
    </row>
    <row r="213" spans="2:4" x14ac:dyDescent="0.35">
      <c r="B213" s="239">
        <v>3015</v>
      </c>
      <c r="C213" s="158" t="s">
        <v>586</v>
      </c>
      <c r="D213" s="240"/>
    </row>
    <row r="214" spans="2:4" x14ac:dyDescent="0.35">
      <c r="B214" s="239">
        <v>3016</v>
      </c>
      <c r="C214" s="158" t="s">
        <v>587</v>
      </c>
      <c r="D214" s="240"/>
    </row>
    <row r="215" spans="2:4" x14ac:dyDescent="0.35">
      <c r="B215" s="239">
        <v>3017</v>
      </c>
      <c r="C215" s="158" t="s">
        <v>575</v>
      </c>
      <c r="D215" s="240"/>
    </row>
    <row r="216" spans="2:4" x14ac:dyDescent="0.35">
      <c r="B216" s="239">
        <v>3022</v>
      </c>
      <c r="C216" s="158" t="s">
        <v>580</v>
      </c>
      <c r="D216" s="240"/>
    </row>
    <row r="217" spans="2:4" x14ac:dyDescent="0.35">
      <c r="B217" s="239">
        <v>3023</v>
      </c>
      <c r="C217" s="158" t="s">
        <v>588</v>
      </c>
      <c r="D217" s="240"/>
    </row>
    <row r="218" spans="2:4" x14ac:dyDescent="0.35">
      <c r="B218" s="239">
        <v>3024</v>
      </c>
      <c r="C218" s="158" t="s">
        <v>589</v>
      </c>
      <c r="D218" s="240"/>
    </row>
    <row r="219" spans="2:4" x14ac:dyDescent="0.35">
      <c r="B219" s="239">
        <v>3025</v>
      </c>
      <c r="C219" s="158" t="s">
        <v>590</v>
      </c>
      <c r="D219" s="240"/>
    </row>
    <row r="220" spans="2:4" x14ac:dyDescent="0.35">
      <c r="B220" s="239">
        <v>3026</v>
      </c>
      <c r="C220" s="158" t="s">
        <v>591</v>
      </c>
      <c r="D220" s="240"/>
    </row>
    <row r="221" spans="2:4" x14ac:dyDescent="0.35">
      <c r="B221" s="239">
        <v>3027</v>
      </c>
      <c r="C221" s="158" t="s">
        <v>592</v>
      </c>
      <c r="D221" s="240"/>
    </row>
    <row r="222" spans="2:4" x14ac:dyDescent="0.35">
      <c r="B222" s="239">
        <v>3028</v>
      </c>
      <c r="C222" s="158" t="s">
        <v>593</v>
      </c>
      <c r="D222" s="240"/>
    </row>
    <row r="223" spans="2:4" x14ac:dyDescent="0.35">
      <c r="B223" s="239">
        <v>4000</v>
      </c>
      <c r="C223" s="158" t="s">
        <v>594</v>
      </c>
      <c r="D223" s="240"/>
    </row>
    <row r="224" spans="2:4" x14ac:dyDescent="0.35">
      <c r="B224" s="239">
        <v>5000</v>
      </c>
      <c r="C224" s="158" t="s">
        <v>595</v>
      </c>
      <c r="D224" s="240"/>
    </row>
    <row r="225" spans="2:4" x14ac:dyDescent="0.35">
      <c r="B225" s="239">
        <v>6000</v>
      </c>
      <c r="C225" s="158" t="s">
        <v>596</v>
      </c>
      <c r="D225" s="240"/>
    </row>
    <row r="226" spans="2:4" x14ac:dyDescent="0.35">
      <c r="B226" s="239">
        <v>7000</v>
      </c>
      <c r="C226" s="158" t="s">
        <v>597</v>
      </c>
      <c r="D226" s="240"/>
    </row>
    <row r="227" spans="2:4" x14ac:dyDescent="0.35">
      <c r="B227" s="239">
        <v>8000</v>
      </c>
      <c r="C227" s="158" t="s">
        <v>598</v>
      </c>
      <c r="D227" s="240"/>
    </row>
    <row r="228" spans="2:4" x14ac:dyDescent="0.35">
      <c r="B228" s="239">
        <v>9001</v>
      </c>
      <c r="C228" s="158" t="s">
        <v>599</v>
      </c>
      <c r="D228" s="240"/>
    </row>
    <row r="229" spans="2:4" x14ac:dyDescent="0.35">
      <c r="B229" s="239">
        <v>9002</v>
      </c>
      <c r="C229" s="158" t="s">
        <v>600</v>
      </c>
      <c r="D229" s="240"/>
    </row>
    <row r="230" spans="2:4" x14ac:dyDescent="0.35">
      <c r="B230" s="239">
        <v>9003</v>
      </c>
      <c r="C230" s="158" t="s">
        <v>601</v>
      </c>
      <c r="D230" s="240"/>
    </row>
    <row r="231" spans="2:4" x14ac:dyDescent="0.35">
      <c r="B231" s="239">
        <v>9004</v>
      </c>
      <c r="C231" s="158" t="s">
        <v>602</v>
      </c>
      <c r="D231" s="240"/>
    </row>
    <row r="232" spans="2:4" x14ac:dyDescent="0.35">
      <c r="B232" s="239">
        <v>9005</v>
      </c>
      <c r="C232" s="158" t="s">
        <v>603</v>
      </c>
      <c r="D232" s="240"/>
    </row>
    <row r="233" spans="2:4" x14ac:dyDescent="0.35">
      <c r="B233" s="239">
        <v>9006</v>
      </c>
      <c r="C233" s="158" t="s">
        <v>604</v>
      </c>
      <c r="D233" s="240"/>
    </row>
    <row r="234" spans="2:4" x14ac:dyDescent="0.35">
      <c r="B234" s="239">
        <v>9007</v>
      </c>
      <c r="C234" s="158" t="s">
        <v>605</v>
      </c>
      <c r="D234" s="240"/>
    </row>
    <row r="235" spans="2:4" x14ac:dyDescent="0.35">
      <c r="B235" s="239">
        <v>9008</v>
      </c>
      <c r="C235" s="158" t="s">
        <v>606</v>
      </c>
      <c r="D235" s="240"/>
    </row>
    <row r="236" spans="2:4" x14ac:dyDescent="0.35">
      <c r="B236" s="239">
        <v>9009</v>
      </c>
      <c r="C236" s="158" t="s">
        <v>607</v>
      </c>
      <c r="D236" s="240"/>
    </row>
    <row r="237" spans="2:4" x14ac:dyDescent="0.35">
      <c r="B237" s="239">
        <v>9010</v>
      </c>
      <c r="C237" s="158" t="s">
        <v>608</v>
      </c>
      <c r="D237" s="240"/>
    </row>
    <row r="238" spans="2:4" x14ac:dyDescent="0.35">
      <c r="B238" s="241">
        <v>12000</v>
      </c>
      <c r="C238" s="242" t="s">
        <v>1819</v>
      </c>
      <c r="D238" s="240"/>
    </row>
    <row r="239" spans="2:4" x14ac:dyDescent="0.35">
      <c r="B239" s="241">
        <v>13000</v>
      </c>
      <c r="C239" s="242" t="s">
        <v>1820</v>
      </c>
      <c r="D239" s="240"/>
    </row>
    <row r="240" spans="2:4" x14ac:dyDescent="0.35">
      <c r="B240" s="241">
        <v>14000</v>
      </c>
      <c r="C240" s="242" t="s">
        <v>1818</v>
      </c>
      <c r="D240" s="240"/>
    </row>
    <row r="241" spans="2:4" x14ac:dyDescent="0.35">
      <c r="B241" s="241">
        <v>17000</v>
      </c>
      <c r="C241" s="242" t="s">
        <v>1816</v>
      </c>
      <c r="D241" s="240"/>
    </row>
    <row r="242" spans="2:4" ht="15" thickBot="1" x14ac:dyDescent="0.4"/>
    <row r="243" spans="2:4" x14ac:dyDescent="0.35">
      <c r="B243" s="146" t="s">
        <v>454</v>
      </c>
      <c r="C243" s="206" t="s">
        <v>609</v>
      </c>
      <c r="D243" s="207"/>
    </row>
    <row r="244" spans="2:4" x14ac:dyDescent="0.35">
      <c r="B244" s="147" t="s">
        <v>456</v>
      </c>
      <c r="C244" s="201" t="s">
        <v>610</v>
      </c>
      <c r="D244" s="209"/>
    </row>
    <row r="245" spans="2:4" x14ac:dyDescent="0.35">
      <c r="B245" s="160" t="s">
        <v>458</v>
      </c>
      <c r="C245" s="161" t="s">
        <v>459</v>
      </c>
      <c r="D245" s="162" t="s">
        <v>460</v>
      </c>
    </row>
    <row r="246" spans="2:4" x14ac:dyDescent="0.35">
      <c r="B246" s="163">
        <v>1</v>
      </c>
      <c r="C246" s="163" t="s">
        <v>611</v>
      </c>
      <c r="D246" s="137"/>
    </row>
    <row r="247" spans="2:4" x14ac:dyDescent="0.35">
      <c r="B247" s="163">
        <v>2</v>
      </c>
      <c r="C247" s="163" t="s">
        <v>612</v>
      </c>
      <c r="D247" s="137"/>
    </row>
    <row r="248" spans="2:4" x14ac:dyDescent="0.35">
      <c r="B248" s="163">
        <v>3</v>
      </c>
      <c r="C248" s="163" t="s">
        <v>613</v>
      </c>
      <c r="D248" s="137"/>
    </row>
    <row r="249" spans="2:4" x14ac:dyDescent="0.35">
      <c r="B249" s="163">
        <v>4</v>
      </c>
      <c r="C249" s="163" t="s">
        <v>614</v>
      </c>
      <c r="D249" s="137"/>
    </row>
    <row r="251" spans="2:4" x14ac:dyDescent="0.35">
      <c r="B251" s="146" t="s">
        <v>454</v>
      </c>
      <c r="C251" s="206" t="s">
        <v>615</v>
      </c>
      <c r="D251" s="207"/>
    </row>
    <row r="252" spans="2:4" x14ac:dyDescent="0.35">
      <c r="B252" s="147" t="s">
        <v>456</v>
      </c>
      <c r="C252" s="201" t="s">
        <v>616</v>
      </c>
      <c r="D252" s="209"/>
    </row>
    <row r="253" spans="2:4" x14ac:dyDescent="0.35">
      <c r="B253" s="160" t="s">
        <v>458</v>
      </c>
      <c r="C253" s="161" t="s">
        <v>459</v>
      </c>
      <c r="D253" s="162" t="s">
        <v>460</v>
      </c>
    </row>
    <row r="254" spans="2:4" x14ac:dyDescent="0.35">
      <c r="B254" s="163">
        <v>1</v>
      </c>
      <c r="C254" s="163" t="s">
        <v>617</v>
      </c>
      <c r="D254" s="138"/>
    </row>
    <row r="255" spans="2:4" x14ac:dyDescent="0.35">
      <c r="B255" s="163">
        <v>2</v>
      </c>
      <c r="C255" s="163" t="s">
        <v>618</v>
      </c>
      <c r="D255" s="138"/>
    </row>
    <row r="256" spans="2:4" x14ac:dyDescent="0.35">
      <c r="B256" s="163">
        <v>3</v>
      </c>
      <c r="C256" s="163" t="s">
        <v>619</v>
      </c>
      <c r="D256" s="138"/>
    </row>
    <row r="257" spans="2:4" x14ac:dyDescent="0.35">
      <c r="B257" s="163">
        <v>4</v>
      </c>
      <c r="C257" s="163" t="s">
        <v>620</v>
      </c>
      <c r="D257" s="138"/>
    </row>
    <row r="258" spans="2:4" x14ac:dyDescent="0.35">
      <c r="B258" s="62">
        <v>5</v>
      </c>
      <c r="C258" s="163" t="s">
        <v>621</v>
      </c>
      <c r="D258" s="138"/>
    </row>
    <row r="259" spans="2:4" x14ac:dyDescent="0.35">
      <c r="B259" s="62">
        <v>6</v>
      </c>
      <c r="C259" s="163" t="s">
        <v>622</v>
      </c>
      <c r="D259" s="138"/>
    </row>
    <row r="260" spans="2:4" ht="15" thickBot="1" x14ac:dyDescent="0.4"/>
    <row r="261" spans="2:4" x14ac:dyDescent="0.35">
      <c r="B261" s="146" t="s">
        <v>454</v>
      </c>
      <c r="C261" s="206" t="s">
        <v>1756</v>
      </c>
      <c r="D261" s="207"/>
    </row>
    <row r="262" spans="2:4" x14ac:dyDescent="0.35">
      <c r="B262" s="147" t="s">
        <v>456</v>
      </c>
      <c r="C262" s="201" t="s">
        <v>1761</v>
      </c>
      <c r="D262" s="209"/>
    </row>
    <row r="263" spans="2:4" x14ac:dyDescent="0.35">
      <c r="B263" s="148" t="s">
        <v>458</v>
      </c>
      <c r="C263" s="149" t="s">
        <v>459</v>
      </c>
      <c r="D263" s="150" t="s">
        <v>460</v>
      </c>
    </row>
    <row r="264" spans="2:4" ht="15" thickBot="1" x14ac:dyDescent="0.4">
      <c r="B264" s="139" t="s">
        <v>1508</v>
      </c>
      <c r="C264" s="139" t="s">
        <v>1508</v>
      </c>
      <c r="D264" s="140" t="s">
        <v>1746</v>
      </c>
    </row>
    <row r="265" spans="2:4" x14ac:dyDescent="0.35">
      <c r="B265" s="139" t="s">
        <v>1532</v>
      </c>
      <c r="C265" s="139" t="s">
        <v>1532</v>
      </c>
      <c r="D265" s="141" t="s">
        <v>1768</v>
      </c>
    </row>
    <row r="266" spans="2:4" x14ac:dyDescent="0.35">
      <c r="B266" s="139" t="s">
        <v>1518</v>
      </c>
      <c r="C266" s="139" t="s">
        <v>1518</v>
      </c>
      <c r="D266" s="141" t="s">
        <v>1767</v>
      </c>
    </row>
    <row r="267" spans="2:4" ht="15" thickBot="1" x14ac:dyDescent="0.4">
      <c r="B267" s="142" t="s">
        <v>1509</v>
      </c>
      <c r="C267" s="142" t="s">
        <v>1509</v>
      </c>
      <c r="D267" s="140" t="s">
        <v>1745</v>
      </c>
    </row>
    <row r="268" spans="2:4" ht="15" thickBot="1" x14ac:dyDescent="0.4"/>
    <row r="269" spans="2:4" x14ac:dyDescent="0.35">
      <c r="B269" s="146" t="s">
        <v>454</v>
      </c>
      <c r="C269" s="206" t="s">
        <v>1760</v>
      </c>
      <c r="D269" s="207"/>
    </row>
    <row r="270" spans="2:4" x14ac:dyDescent="0.35">
      <c r="B270" s="147" t="s">
        <v>456</v>
      </c>
      <c r="C270" s="201" t="s">
        <v>1762</v>
      </c>
      <c r="D270" s="209"/>
    </row>
    <row r="271" spans="2:4" x14ac:dyDescent="0.35">
      <c r="B271" s="160" t="s">
        <v>458</v>
      </c>
      <c r="C271" s="161" t="s">
        <v>459</v>
      </c>
      <c r="D271" s="162" t="s">
        <v>460</v>
      </c>
    </row>
    <row r="272" spans="2:4" x14ac:dyDescent="0.35">
      <c r="B272" s="143" t="s">
        <v>1518</v>
      </c>
      <c r="C272" s="143" t="s">
        <v>1518</v>
      </c>
      <c r="D272" s="164" t="s">
        <v>1529</v>
      </c>
    </row>
    <row r="273" spans="2:4" x14ac:dyDescent="0.35">
      <c r="B273" s="165" t="s">
        <v>1519</v>
      </c>
      <c r="C273" s="165" t="s">
        <v>1519</v>
      </c>
      <c r="D273" s="164" t="s">
        <v>1531</v>
      </c>
    </row>
    <row r="274" spans="2:4" x14ac:dyDescent="0.35">
      <c r="B274" s="165" t="s">
        <v>1520</v>
      </c>
      <c r="C274" s="165" t="s">
        <v>1520</v>
      </c>
      <c r="D274" s="164" t="s">
        <v>1524</v>
      </c>
    </row>
    <row r="275" spans="2:4" x14ac:dyDescent="0.35">
      <c r="B275" s="165" t="s">
        <v>1521</v>
      </c>
      <c r="C275" s="165" t="s">
        <v>1521</v>
      </c>
      <c r="D275" s="164" t="s">
        <v>1525</v>
      </c>
    </row>
    <row r="276" spans="2:4" x14ac:dyDescent="0.35">
      <c r="B276" s="143" t="s">
        <v>1522</v>
      </c>
      <c r="C276" s="143" t="s">
        <v>1522</v>
      </c>
      <c r="D276" s="164" t="s">
        <v>1526</v>
      </c>
    </row>
    <row r="277" spans="2:4" x14ac:dyDescent="0.35">
      <c r="B277" s="143" t="s">
        <v>1527</v>
      </c>
      <c r="C277" s="143" t="s">
        <v>1527</v>
      </c>
      <c r="D277" s="164" t="s">
        <v>1530</v>
      </c>
    </row>
    <row r="278" spans="2:4" ht="15" thickBot="1" x14ac:dyDescent="0.4">
      <c r="B278" s="144" t="s">
        <v>1523</v>
      </c>
      <c r="C278" s="144" t="s">
        <v>1523</v>
      </c>
      <c r="D278" s="145" t="s">
        <v>1528</v>
      </c>
    </row>
    <row r="280" spans="2:4" x14ac:dyDescent="0.35">
      <c r="B280" s="166" t="s">
        <v>454</v>
      </c>
      <c r="C280" s="200" t="s">
        <v>1542</v>
      </c>
      <c r="D280" s="200"/>
    </row>
    <row r="281" spans="2:4" x14ac:dyDescent="0.35">
      <c r="B281" s="167" t="s">
        <v>456</v>
      </c>
      <c r="C281" s="201" t="s">
        <v>1542</v>
      </c>
      <c r="D281" s="201"/>
    </row>
    <row r="282" spans="2:4" x14ac:dyDescent="0.35">
      <c r="B282" s="168" t="s">
        <v>458</v>
      </c>
      <c r="C282" s="149" t="s">
        <v>459</v>
      </c>
      <c r="D282" s="149" t="s">
        <v>460</v>
      </c>
    </row>
    <row r="283" spans="2:4" x14ac:dyDescent="0.35">
      <c r="B283" s="169">
        <v>1</v>
      </c>
      <c r="C283" s="169" t="s">
        <v>1539</v>
      </c>
      <c r="D283" s="164" t="s">
        <v>1548</v>
      </c>
    </row>
    <row r="284" spans="2:4" x14ac:dyDescent="0.35">
      <c r="B284" s="169">
        <v>2</v>
      </c>
      <c r="C284" s="169" t="s">
        <v>1540</v>
      </c>
      <c r="D284" s="164" t="s">
        <v>1549</v>
      </c>
    </row>
    <row r="285" spans="2:4" x14ac:dyDescent="0.35">
      <c r="B285" s="169">
        <v>3</v>
      </c>
      <c r="C285" s="169" t="s">
        <v>1541</v>
      </c>
      <c r="D285" s="164" t="s">
        <v>1550</v>
      </c>
    </row>
  </sheetData>
  <mergeCells count="48">
    <mergeCell ref="C251:D251"/>
    <mergeCell ref="C252:D252"/>
    <mergeCell ref="C46:D46"/>
    <mergeCell ref="C62:D62"/>
    <mergeCell ref="C3:D3"/>
    <mergeCell ref="C4:D4"/>
    <mergeCell ref="C12:D12"/>
    <mergeCell ref="C13:D13"/>
    <mergeCell ref="C24:D24"/>
    <mergeCell ref="C25:D25"/>
    <mergeCell ref="C38:D38"/>
    <mergeCell ref="C39:D39"/>
    <mergeCell ref="C45:D45"/>
    <mergeCell ref="C109:D109"/>
    <mergeCell ref="C63:D63"/>
    <mergeCell ref="C74:D74"/>
    <mergeCell ref="C75:D75"/>
    <mergeCell ref="C126:D126"/>
    <mergeCell ref="C119:D119"/>
    <mergeCell ref="C110:D110"/>
    <mergeCell ref="C91:D91"/>
    <mergeCell ref="C92:D92"/>
    <mergeCell ref="C100:D100"/>
    <mergeCell ref="C101:D101"/>
    <mergeCell ref="C118:D118"/>
    <mergeCell ref="C83:D83"/>
    <mergeCell ref="C84:D84"/>
    <mergeCell ref="C127:D127"/>
    <mergeCell ref="C133:D133"/>
    <mergeCell ref="C161:D161"/>
    <mergeCell ref="C162:D162"/>
    <mergeCell ref="C170:D170"/>
    <mergeCell ref="C280:D280"/>
    <mergeCell ref="C281:D281"/>
    <mergeCell ref="C171:D171"/>
    <mergeCell ref="C134:D134"/>
    <mergeCell ref="C142:D142"/>
    <mergeCell ref="C143:D143"/>
    <mergeCell ref="C149:D149"/>
    <mergeCell ref="C150:D150"/>
    <mergeCell ref="C178:D178"/>
    <mergeCell ref="C179:D179"/>
    <mergeCell ref="C261:D261"/>
    <mergeCell ref="C262:D262"/>
    <mergeCell ref="C269:D269"/>
    <mergeCell ref="C270:D270"/>
    <mergeCell ref="C243:D243"/>
    <mergeCell ref="C244:D24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5A162-BAAD-4063-809F-6405924EF1F3}">
  <sheetPr>
    <tabColor rgb="FF92D050"/>
  </sheetPr>
  <dimension ref="B1:D239"/>
  <sheetViews>
    <sheetView zoomScaleNormal="100" workbookViewId="0">
      <selection activeCell="B7" sqref="B7"/>
    </sheetView>
  </sheetViews>
  <sheetFormatPr defaultRowHeight="14.5" x14ac:dyDescent="0.35"/>
  <cols>
    <col min="2" max="2" width="23.1796875" customWidth="1"/>
    <col min="3" max="3" width="37.1796875" customWidth="1"/>
    <col min="4" max="4" width="56.453125" customWidth="1"/>
  </cols>
  <sheetData>
    <row r="1" spans="2:4" ht="15" thickBot="1" x14ac:dyDescent="0.4"/>
    <row r="2" spans="2:4" ht="15.5" x14ac:dyDescent="0.35">
      <c r="B2" s="27" t="s">
        <v>454</v>
      </c>
      <c r="C2" s="215" t="s">
        <v>623</v>
      </c>
      <c r="D2" s="216"/>
    </row>
    <row r="3" spans="2:4" ht="204" customHeight="1" x14ac:dyDescent="0.35">
      <c r="B3" s="28" t="s">
        <v>456</v>
      </c>
      <c r="C3" s="217" t="s">
        <v>1366</v>
      </c>
      <c r="D3" s="218"/>
    </row>
    <row r="4" spans="2:4" x14ac:dyDescent="0.35">
      <c r="B4" s="29" t="s">
        <v>458</v>
      </c>
      <c r="C4" s="26" t="s">
        <v>459</v>
      </c>
      <c r="D4" s="30" t="s">
        <v>460</v>
      </c>
    </row>
    <row r="5" spans="2:4" x14ac:dyDescent="0.35">
      <c r="B5" s="33">
        <v>1</v>
      </c>
      <c r="C5" s="32" t="s">
        <v>624</v>
      </c>
      <c r="D5" s="31"/>
    </row>
    <row r="6" spans="2:4" x14ac:dyDescent="0.35">
      <c r="B6" s="33">
        <v>2</v>
      </c>
      <c r="C6" s="32" t="s">
        <v>625</v>
      </c>
      <c r="D6" s="31"/>
    </row>
    <row r="7" spans="2:4" x14ac:dyDescent="0.35">
      <c r="B7" s="33">
        <v>3</v>
      </c>
      <c r="C7" s="32" t="s">
        <v>626</v>
      </c>
      <c r="D7" s="31"/>
    </row>
    <row r="8" spans="2:4" x14ac:dyDescent="0.35">
      <c r="B8" s="33">
        <v>4</v>
      </c>
      <c r="C8" s="32" t="s">
        <v>627</v>
      </c>
      <c r="D8" s="31"/>
    </row>
    <row r="9" spans="2:4" x14ac:dyDescent="0.35">
      <c r="B9" s="33">
        <v>5</v>
      </c>
      <c r="C9" s="32" t="s">
        <v>628</v>
      </c>
      <c r="D9" s="31"/>
    </row>
    <row r="10" spans="2:4" x14ac:dyDescent="0.35">
      <c r="B10" s="33">
        <v>6</v>
      </c>
      <c r="C10" s="32" t="s">
        <v>629</v>
      </c>
      <c r="D10" s="31"/>
    </row>
    <row r="11" spans="2:4" x14ac:dyDescent="0.35">
      <c r="B11" s="33">
        <v>7</v>
      </c>
      <c r="C11" s="32" t="s">
        <v>630</v>
      </c>
      <c r="D11" s="31"/>
    </row>
    <row r="12" spans="2:4" x14ac:dyDescent="0.35">
      <c r="B12" s="33">
        <v>8</v>
      </c>
      <c r="C12" s="32" t="s">
        <v>631</v>
      </c>
      <c r="D12" s="31"/>
    </row>
    <row r="13" spans="2:4" x14ac:dyDescent="0.35">
      <c r="B13" s="33">
        <v>9</v>
      </c>
      <c r="C13" s="32" t="s">
        <v>632</v>
      </c>
      <c r="D13" s="31"/>
    </row>
    <row r="14" spans="2:4" x14ac:dyDescent="0.35">
      <c r="B14" s="33">
        <v>10</v>
      </c>
      <c r="C14" s="32" t="s">
        <v>633</v>
      </c>
      <c r="D14" s="31"/>
    </row>
    <row r="15" spans="2:4" x14ac:dyDescent="0.35">
      <c r="B15" s="33">
        <v>11</v>
      </c>
      <c r="C15" s="32" t="s">
        <v>634</v>
      </c>
      <c r="D15" s="31"/>
    </row>
    <row r="16" spans="2:4" x14ac:dyDescent="0.35">
      <c r="B16" s="33">
        <v>12</v>
      </c>
      <c r="C16" s="32" t="s">
        <v>635</v>
      </c>
      <c r="D16" s="31"/>
    </row>
    <row r="17" spans="2:4" x14ac:dyDescent="0.35">
      <c r="B17" s="33">
        <v>13</v>
      </c>
      <c r="C17" s="32" t="s">
        <v>636</v>
      </c>
      <c r="D17" s="31"/>
    </row>
    <row r="18" spans="2:4" x14ac:dyDescent="0.35">
      <c r="B18" s="33">
        <v>14</v>
      </c>
      <c r="C18" s="32" t="s">
        <v>637</v>
      </c>
      <c r="D18" s="31"/>
    </row>
    <row r="19" spans="2:4" x14ac:dyDescent="0.35">
      <c r="B19" s="33">
        <v>15</v>
      </c>
      <c r="C19" s="32" t="s">
        <v>638</v>
      </c>
      <c r="D19" s="31"/>
    </row>
    <row r="20" spans="2:4" x14ac:dyDescent="0.35">
      <c r="B20" s="33">
        <v>16</v>
      </c>
      <c r="C20" s="32" t="s">
        <v>639</v>
      </c>
      <c r="D20" s="31"/>
    </row>
    <row r="21" spans="2:4" x14ac:dyDescent="0.35">
      <c r="B21" s="33">
        <v>17</v>
      </c>
      <c r="C21" s="32" t="s">
        <v>640</v>
      </c>
      <c r="D21" s="31"/>
    </row>
    <row r="22" spans="2:4" x14ac:dyDescent="0.35">
      <c r="B22" s="33">
        <v>18</v>
      </c>
      <c r="C22" s="32" t="s">
        <v>641</v>
      </c>
      <c r="D22" s="31"/>
    </row>
    <row r="23" spans="2:4" x14ac:dyDescent="0.35">
      <c r="B23" s="33">
        <v>19</v>
      </c>
      <c r="C23" s="32" t="s">
        <v>642</v>
      </c>
      <c r="D23" s="31"/>
    </row>
    <row r="24" spans="2:4" x14ac:dyDescent="0.35">
      <c r="B24" s="33">
        <v>20</v>
      </c>
      <c r="C24" s="32" t="s">
        <v>643</v>
      </c>
      <c r="D24" s="31"/>
    </row>
    <row r="25" spans="2:4" x14ac:dyDescent="0.35">
      <c r="B25" s="33">
        <v>21</v>
      </c>
      <c r="C25" s="32" t="s">
        <v>644</v>
      </c>
      <c r="D25" s="31"/>
    </row>
    <row r="26" spans="2:4" x14ac:dyDescent="0.35">
      <c r="B26" s="33">
        <v>22</v>
      </c>
      <c r="C26" s="32" t="s">
        <v>645</v>
      </c>
      <c r="D26" s="31"/>
    </row>
    <row r="27" spans="2:4" x14ac:dyDescent="0.35">
      <c r="B27" s="33">
        <v>23</v>
      </c>
      <c r="C27" s="32" t="s">
        <v>646</v>
      </c>
      <c r="D27" s="31"/>
    </row>
    <row r="28" spans="2:4" x14ac:dyDescent="0.35">
      <c r="B28" s="33">
        <v>24</v>
      </c>
      <c r="C28" s="32" t="s">
        <v>647</v>
      </c>
      <c r="D28" s="31"/>
    </row>
    <row r="29" spans="2:4" x14ac:dyDescent="0.35">
      <c r="B29" s="33">
        <v>25</v>
      </c>
      <c r="C29" s="32" t="s">
        <v>648</v>
      </c>
      <c r="D29" s="31"/>
    </row>
    <row r="30" spans="2:4" x14ac:dyDescent="0.35">
      <c r="B30" s="33">
        <v>26</v>
      </c>
      <c r="C30" s="32" t="s">
        <v>649</v>
      </c>
      <c r="D30" s="31"/>
    </row>
    <row r="31" spans="2:4" x14ac:dyDescent="0.35">
      <c r="B31" s="33">
        <v>27</v>
      </c>
      <c r="C31" s="32" t="s">
        <v>650</v>
      </c>
      <c r="D31" s="31"/>
    </row>
    <row r="32" spans="2:4" x14ac:dyDescent="0.35">
      <c r="B32" s="33">
        <v>28</v>
      </c>
      <c r="C32" s="32" t="s">
        <v>651</v>
      </c>
      <c r="D32" s="31"/>
    </row>
    <row r="33" spans="2:4" x14ac:dyDescent="0.35">
      <c r="B33" s="33">
        <v>29</v>
      </c>
      <c r="C33" s="32" t="s">
        <v>652</v>
      </c>
      <c r="D33" s="31"/>
    </row>
    <row r="34" spans="2:4" x14ac:dyDescent="0.35">
      <c r="B34" s="33">
        <v>30</v>
      </c>
      <c r="C34" s="32" t="s">
        <v>653</v>
      </c>
      <c r="D34" s="31"/>
    </row>
    <row r="35" spans="2:4" x14ac:dyDescent="0.35">
      <c r="B35" s="33">
        <v>31</v>
      </c>
      <c r="C35" s="32" t="s">
        <v>654</v>
      </c>
      <c r="D35" s="31"/>
    </row>
    <row r="36" spans="2:4" x14ac:dyDescent="0.35">
      <c r="B36" s="33">
        <v>32</v>
      </c>
      <c r="C36" s="32" t="s">
        <v>655</v>
      </c>
      <c r="D36" s="31"/>
    </row>
    <row r="37" spans="2:4" x14ac:dyDescent="0.35">
      <c r="B37" s="33">
        <v>33</v>
      </c>
      <c r="C37" s="32" t="s">
        <v>656</v>
      </c>
      <c r="D37" s="31"/>
    </row>
    <row r="38" spans="2:4" x14ac:dyDescent="0.35">
      <c r="B38" s="33">
        <v>34</v>
      </c>
      <c r="C38" s="32" t="s">
        <v>657</v>
      </c>
      <c r="D38" s="31"/>
    </row>
    <row r="39" spans="2:4" x14ac:dyDescent="0.35">
      <c r="B39" s="33">
        <v>35</v>
      </c>
      <c r="C39" s="32" t="s">
        <v>658</v>
      </c>
      <c r="D39" s="31"/>
    </row>
    <row r="40" spans="2:4" x14ac:dyDescent="0.35">
      <c r="B40" s="33">
        <v>36</v>
      </c>
      <c r="C40" s="32" t="s">
        <v>659</v>
      </c>
      <c r="D40" s="31"/>
    </row>
    <row r="41" spans="2:4" x14ac:dyDescent="0.35">
      <c r="B41" s="33">
        <v>37</v>
      </c>
      <c r="C41" s="32" t="s">
        <v>660</v>
      </c>
      <c r="D41" s="31"/>
    </row>
    <row r="42" spans="2:4" x14ac:dyDescent="0.35">
      <c r="B42" s="33">
        <v>38</v>
      </c>
      <c r="C42" s="32" t="s">
        <v>661</v>
      </c>
      <c r="D42" s="31"/>
    </row>
    <row r="43" spans="2:4" x14ac:dyDescent="0.35">
      <c r="B43" s="33">
        <v>39</v>
      </c>
      <c r="C43" s="32" t="s">
        <v>662</v>
      </c>
      <c r="D43" s="31"/>
    </row>
    <row r="44" spans="2:4" x14ac:dyDescent="0.35">
      <c r="B44" s="33">
        <v>40</v>
      </c>
      <c r="C44" s="32" t="s">
        <v>663</v>
      </c>
      <c r="D44" s="31"/>
    </row>
    <row r="45" spans="2:4" x14ac:dyDescent="0.35">
      <c r="B45" s="33">
        <v>41</v>
      </c>
      <c r="C45" s="32" t="s">
        <v>664</v>
      </c>
      <c r="D45" s="31"/>
    </row>
    <row r="46" spans="2:4" x14ac:dyDescent="0.35">
      <c r="B46" s="33">
        <v>42</v>
      </c>
      <c r="C46" s="32" t="s">
        <v>665</v>
      </c>
      <c r="D46" s="31"/>
    </row>
    <row r="47" spans="2:4" x14ac:dyDescent="0.35">
      <c r="B47" s="33">
        <v>43</v>
      </c>
      <c r="C47" s="32" t="s">
        <v>666</v>
      </c>
      <c r="D47" s="31"/>
    </row>
    <row r="48" spans="2:4" x14ac:dyDescent="0.35">
      <c r="B48" s="33">
        <v>44</v>
      </c>
      <c r="C48" s="32" t="s">
        <v>667</v>
      </c>
      <c r="D48" s="31"/>
    </row>
    <row r="49" spans="2:4" x14ac:dyDescent="0.35">
      <c r="B49" s="33">
        <v>45</v>
      </c>
      <c r="C49" s="32" t="s">
        <v>668</v>
      </c>
      <c r="D49" s="31"/>
    </row>
    <row r="50" spans="2:4" x14ac:dyDescent="0.35">
      <c r="B50" s="33">
        <v>46</v>
      </c>
      <c r="C50" s="32" t="s">
        <v>669</v>
      </c>
      <c r="D50" s="31"/>
    </row>
    <row r="51" spans="2:4" x14ac:dyDescent="0.35">
      <c r="B51" s="33">
        <v>47</v>
      </c>
      <c r="C51" s="32" t="s">
        <v>670</v>
      </c>
      <c r="D51" s="31"/>
    </row>
    <row r="52" spans="2:4" x14ac:dyDescent="0.35">
      <c r="B52" s="33">
        <v>48</v>
      </c>
      <c r="C52" s="32" t="s">
        <v>671</v>
      </c>
      <c r="D52" s="31"/>
    </row>
    <row r="53" spans="2:4" x14ac:dyDescent="0.35">
      <c r="B53" s="33">
        <v>49</v>
      </c>
      <c r="C53" s="32" t="s">
        <v>672</v>
      </c>
      <c r="D53" s="31"/>
    </row>
    <row r="54" spans="2:4" x14ac:dyDescent="0.35">
      <c r="B54" s="33">
        <v>50</v>
      </c>
      <c r="C54" s="32" t="s">
        <v>673</v>
      </c>
      <c r="D54" s="31"/>
    </row>
    <row r="55" spans="2:4" x14ac:dyDescent="0.35">
      <c r="B55" s="33">
        <v>51</v>
      </c>
      <c r="C55" s="32" t="s">
        <v>674</v>
      </c>
      <c r="D55" s="31"/>
    </row>
    <row r="56" spans="2:4" x14ac:dyDescent="0.35">
      <c r="B56" s="33">
        <v>52</v>
      </c>
      <c r="C56" s="32" t="s">
        <v>675</v>
      </c>
      <c r="D56" s="31"/>
    </row>
    <row r="57" spans="2:4" x14ac:dyDescent="0.35">
      <c r="B57" s="33">
        <v>53</v>
      </c>
      <c r="C57" s="32" t="s">
        <v>676</v>
      </c>
      <c r="D57" s="31"/>
    </row>
    <row r="58" spans="2:4" x14ac:dyDescent="0.35">
      <c r="B58" s="33">
        <v>54</v>
      </c>
      <c r="C58" s="32" t="s">
        <v>677</v>
      </c>
      <c r="D58" s="31"/>
    </row>
    <row r="59" spans="2:4" x14ac:dyDescent="0.35">
      <c r="B59" s="33">
        <v>55</v>
      </c>
      <c r="C59" s="32" t="s">
        <v>678</v>
      </c>
      <c r="D59" s="31"/>
    </row>
    <row r="60" spans="2:4" x14ac:dyDescent="0.35">
      <c r="B60" s="33">
        <v>56</v>
      </c>
      <c r="C60" s="32" t="s">
        <v>679</v>
      </c>
      <c r="D60" s="31"/>
    </row>
    <row r="61" spans="2:4" x14ac:dyDescent="0.35">
      <c r="B61" s="33">
        <v>57</v>
      </c>
      <c r="C61" s="32" t="s">
        <v>680</v>
      </c>
      <c r="D61" s="31"/>
    </row>
    <row r="62" spans="2:4" x14ac:dyDescent="0.35">
      <c r="B62" s="33">
        <v>58</v>
      </c>
      <c r="C62" s="32" t="s">
        <v>681</v>
      </c>
      <c r="D62" s="36"/>
    </row>
    <row r="63" spans="2:4" x14ac:dyDescent="0.35">
      <c r="B63" s="33">
        <v>59</v>
      </c>
      <c r="C63" s="32" t="s">
        <v>682</v>
      </c>
      <c r="D63" s="36"/>
    </row>
    <row r="64" spans="2:4" x14ac:dyDescent="0.35">
      <c r="B64" s="33">
        <v>60</v>
      </c>
      <c r="C64" s="32" t="s">
        <v>683</v>
      </c>
      <c r="D64" s="36"/>
    </row>
    <row r="65" spans="2:4" x14ac:dyDescent="0.35">
      <c r="B65" s="33">
        <v>61</v>
      </c>
      <c r="C65" s="32" t="s">
        <v>684</v>
      </c>
      <c r="D65" s="36"/>
    </row>
    <row r="66" spans="2:4" x14ac:dyDescent="0.35">
      <c r="B66" s="33">
        <v>62</v>
      </c>
      <c r="C66" s="32" t="s">
        <v>685</v>
      </c>
      <c r="D66" s="36"/>
    </row>
    <row r="67" spans="2:4" x14ac:dyDescent="0.35">
      <c r="B67" s="33">
        <v>63</v>
      </c>
      <c r="C67" s="32" t="s">
        <v>686</v>
      </c>
      <c r="D67" s="36"/>
    </row>
    <row r="68" spans="2:4" x14ac:dyDescent="0.35">
      <c r="B68" s="33">
        <v>64</v>
      </c>
      <c r="C68" s="32" t="s">
        <v>687</v>
      </c>
      <c r="D68" s="36"/>
    </row>
    <row r="69" spans="2:4" x14ac:dyDescent="0.35">
      <c r="B69" s="33">
        <v>65</v>
      </c>
      <c r="C69" s="32" t="s">
        <v>688</v>
      </c>
      <c r="D69" s="36"/>
    </row>
    <row r="70" spans="2:4" x14ac:dyDescent="0.35">
      <c r="B70" s="33">
        <v>66</v>
      </c>
      <c r="C70" s="32" t="s">
        <v>689</v>
      </c>
      <c r="D70" s="36"/>
    </row>
    <row r="71" spans="2:4" x14ac:dyDescent="0.35">
      <c r="B71" s="33">
        <v>67</v>
      </c>
      <c r="C71" s="32" t="s">
        <v>690</v>
      </c>
      <c r="D71" s="36"/>
    </row>
    <row r="72" spans="2:4" x14ac:dyDescent="0.35">
      <c r="B72" s="33">
        <v>68</v>
      </c>
      <c r="C72" s="32" t="s">
        <v>691</v>
      </c>
      <c r="D72" s="36"/>
    </row>
    <row r="73" spans="2:4" x14ac:dyDescent="0.35">
      <c r="B73" s="33">
        <v>69</v>
      </c>
      <c r="C73" s="32" t="s">
        <v>692</v>
      </c>
      <c r="D73" s="36"/>
    </row>
    <row r="74" spans="2:4" x14ac:dyDescent="0.35">
      <c r="B74" s="33">
        <v>70</v>
      </c>
      <c r="C74" s="32" t="s">
        <v>693</v>
      </c>
      <c r="D74" s="36"/>
    </row>
    <row r="75" spans="2:4" x14ac:dyDescent="0.35">
      <c r="B75" s="33">
        <v>71</v>
      </c>
      <c r="C75" s="32" t="s">
        <v>694</v>
      </c>
      <c r="D75" s="36"/>
    </row>
    <row r="76" spans="2:4" x14ac:dyDescent="0.35">
      <c r="B76" s="33">
        <v>72</v>
      </c>
      <c r="C76" s="32" t="s">
        <v>695</v>
      </c>
      <c r="D76" s="36"/>
    </row>
    <row r="77" spans="2:4" x14ac:dyDescent="0.35">
      <c r="B77" s="33">
        <v>73</v>
      </c>
      <c r="C77" s="32" t="s">
        <v>696</v>
      </c>
      <c r="D77" s="36"/>
    </row>
    <row r="78" spans="2:4" x14ac:dyDescent="0.35">
      <c r="B78" s="33">
        <v>74</v>
      </c>
      <c r="C78" s="32" t="s">
        <v>697</v>
      </c>
      <c r="D78" s="36"/>
    </row>
    <row r="79" spans="2:4" x14ac:dyDescent="0.35">
      <c r="B79" s="33">
        <v>75</v>
      </c>
      <c r="C79" s="32" t="s">
        <v>698</v>
      </c>
      <c r="D79" s="36"/>
    </row>
    <row r="80" spans="2:4" x14ac:dyDescent="0.35">
      <c r="B80" s="33">
        <v>76</v>
      </c>
      <c r="C80" s="32" t="s">
        <v>699</v>
      </c>
      <c r="D80" s="36"/>
    </row>
    <row r="81" spans="2:4" x14ac:dyDescent="0.35">
      <c r="B81" s="33">
        <v>77</v>
      </c>
      <c r="C81" s="32" t="s">
        <v>700</v>
      </c>
      <c r="D81" s="36"/>
    </row>
    <row r="82" spans="2:4" x14ac:dyDescent="0.35">
      <c r="B82" s="33">
        <v>78</v>
      </c>
      <c r="C82" s="32" t="s">
        <v>701</v>
      </c>
      <c r="D82" s="36"/>
    </row>
    <row r="83" spans="2:4" x14ac:dyDescent="0.35">
      <c r="B83" s="33">
        <v>79</v>
      </c>
      <c r="C83" s="32" t="s">
        <v>702</v>
      </c>
      <c r="D83" s="36"/>
    </row>
    <row r="84" spans="2:4" x14ac:dyDescent="0.35">
      <c r="B84" s="33">
        <v>80</v>
      </c>
      <c r="C84" s="32" t="s">
        <v>703</v>
      </c>
      <c r="D84" s="36"/>
    </row>
    <row r="85" spans="2:4" x14ac:dyDescent="0.35">
      <c r="B85" s="33">
        <v>81</v>
      </c>
      <c r="C85" s="32" t="s">
        <v>704</v>
      </c>
      <c r="D85" s="36"/>
    </row>
    <row r="86" spans="2:4" x14ac:dyDescent="0.35">
      <c r="B86" s="33">
        <v>82</v>
      </c>
      <c r="C86" s="32" t="s">
        <v>705</v>
      </c>
      <c r="D86" s="36"/>
    </row>
    <row r="87" spans="2:4" x14ac:dyDescent="0.35">
      <c r="B87" s="33">
        <v>83</v>
      </c>
      <c r="C87" s="32" t="s">
        <v>706</v>
      </c>
      <c r="D87" s="36"/>
    </row>
    <row r="88" spans="2:4" x14ac:dyDescent="0.35">
      <c r="B88" s="33">
        <v>84</v>
      </c>
      <c r="C88" s="32" t="s">
        <v>707</v>
      </c>
      <c r="D88" s="36"/>
    </row>
    <row r="89" spans="2:4" x14ac:dyDescent="0.35">
      <c r="B89" s="33">
        <v>85</v>
      </c>
      <c r="C89" s="32" t="s">
        <v>708</v>
      </c>
      <c r="D89" s="36"/>
    </row>
    <row r="90" spans="2:4" x14ac:dyDescent="0.35">
      <c r="B90" s="33">
        <v>86</v>
      </c>
      <c r="C90" s="32" t="s">
        <v>709</v>
      </c>
      <c r="D90" s="36"/>
    </row>
    <row r="91" spans="2:4" x14ac:dyDescent="0.35">
      <c r="B91" s="33">
        <v>87</v>
      </c>
      <c r="C91" s="32" t="s">
        <v>710</v>
      </c>
      <c r="D91" s="36"/>
    </row>
    <row r="92" spans="2:4" x14ac:dyDescent="0.35">
      <c r="B92" s="33">
        <v>88</v>
      </c>
      <c r="C92" s="32" t="s">
        <v>711</v>
      </c>
      <c r="D92" s="36"/>
    </row>
    <row r="93" spans="2:4" x14ac:dyDescent="0.35">
      <c r="B93" s="33">
        <v>89</v>
      </c>
      <c r="C93" s="32" t="s">
        <v>712</v>
      </c>
      <c r="D93" s="36"/>
    </row>
    <row r="94" spans="2:4" x14ac:dyDescent="0.35">
      <c r="B94" s="33">
        <v>90</v>
      </c>
      <c r="C94" s="32" t="s">
        <v>713</v>
      </c>
      <c r="D94" s="36"/>
    </row>
    <row r="95" spans="2:4" x14ac:dyDescent="0.35">
      <c r="B95" s="33">
        <v>91</v>
      </c>
      <c r="C95" s="32" t="s">
        <v>714</v>
      </c>
      <c r="D95" s="36"/>
    </row>
    <row r="96" spans="2:4" x14ac:dyDescent="0.35">
      <c r="B96" s="33">
        <v>92</v>
      </c>
      <c r="C96" s="32" t="s">
        <v>715</v>
      </c>
      <c r="D96" s="36"/>
    </row>
    <row r="97" spans="2:4" x14ac:dyDescent="0.35">
      <c r="B97" s="33">
        <v>93</v>
      </c>
      <c r="C97" s="32" t="s">
        <v>716</v>
      </c>
      <c r="D97" s="36"/>
    </row>
    <row r="98" spans="2:4" x14ac:dyDescent="0.35">
      <c r="B98" s="33">
        <v>94</v>
      </c>
      <c r="C98" s="32" t="s">
        <v>717</v>
      </c>
      <c r="D98" s="36"/>
    </row>
    <row r="99" spans="2:4" x14ac:dyDescent="0.35">
      <c r="B99" s="33">
        <v>95</v>
      </c>
      <c r="C99" s="32" t="s">
        <v>718</v>
      </c>
      <c r="D99" s="36"/>
    </row>
    <row r="100" spans="2:4" x14ac:dyDescent="0.35">
      <c r="B100" s="33">
        <v>96</v>
      </c>
      <c r="C100" s="32" t="s">
        <v>719</v>
      </c>
      <c r="D100" s="36"/>
    </row>
    <row r="101" spans="2:4" x14ac:dyDescent="0.35">
      <c r="B101" s="33">
        <v>97</v>
      </c>
      <c r="C101" s="32" t="s">
        <v>720</v>
      </c>
      <c r="D101" s="36"/>
    </row>
    <row r="102" spans="2:4" x14ac:dyDescent="0.35">
      <c r="B102" s="33">
        <v>98</v>
      </c>
      <c r="C102" s="32" t="s">
        <v>721</v>
      </c>
      <c r="D102" s="36"/>
    </row>
    <row r="103" spans="2:4" x14ac:dyDescent="0.35">
      <c r="B103" s="33">
        <v>99</v>
      </c>
      <c r="C103" s="32" t="s">
        <v>722</v>
      </c>
      <c r="D103" s="36"/>
    </row>
    <row r="104" spans="2:4" x14ac:dyDescent="0.35">
      <c r="B104" s="33">
        <v>100</v>
      </c>
      <c r="C104" s="32" t="s">
        <v>723</v>
      </c>
      <c r="D104" s="36"/>
    </row>
    <row r="105" spans="2:4" x14ac:dyDescent="0.35">
      <c r="B105" s="33">
        <v>101</v>
      </c>
      <c r="C105" s="32" t="s">
        <v>724</v>
      </c>
      <c r="D105" s="36"/>
    </row>
    <row r="106" spans="2:4" x14ac:dyDescent="0.35">
      <c r="B106" s="33">
        <v>102</v>
      </c>
      <c r="C106" s="32" t="s">
        <v>725</v>
      </c>
      <c r="D106" s="36"/>
    </row>
    <row r="107" spans="2:4" x14ac:dyDescent="0.35">
      <c r="B107" s="33">
        <v>103</v>
      </c>
      <c r="C107" s="32" t="s">
        <v>726</v>
      </c>
      <c r="D107" s="36"/>
    </row>
    <row r="108" spans="2:4" x14ac:dyDescent="0.35">
      <c r="B108" s="33">
        <v>104</v>
      </c>
      <c r="C108" s="32" t="s">
        <v>727</v>
      </c>
      <c r="D108" s="36"/>
    </row>
    <row r="109" spans="2:4" x14ac:dyDescent="0.35">
      <c r="B109" s="33">
        <v>105</v>
      </c>
      <c r="C109" s="32" t="s">
        <v>728</v>
      </c>
      <c r="D109" s="36"/>
    </row>
    <row r="110" spans="2:4" x14ac:dyDescent="0.35">
      <c r="B110" s="33">
        <v>106</v>
      </c>
      <c r="C110" s="32" t="s">
        <v>729</v>
      </c>
      <c r="D110" s="36"/>
    </row>
    <row r="111" spans="2:4" x14ac:dyDescent="0.35">
      <c r="B111" s="33">
        <v>107</v>
      </c>
      <c r="C111" s="32" t="s">
        <v>730</v>
      </c>
      <c r="D111" s="36"/>
    </row>
    <row r="112" spans="2:4" x14ac:dyDescent="0.35">
      <c r="B112" s="33">
        <v>108</v>
      </c>
      <c r="C112" s="32" t="s">
        <v>731</v>
      </c>
      <c r="D112" s="36"/>
    </row>
    <row r="113" spans="2:4" x14ac:dyDescent="0.35">
      <c r="B113" s="33">
        <v>109</v>
      </c>
      <c r="C113" s="32" t="s">
        <v>732</v>
      </c>
      <c r="D113" s="36"/>
    </row>
    <row r="114" spans="2:4" x14ac:dyDescent="0.35">
      <c r="B114" s="33">
        <v>110</v>
      </c>
      <c r="C114" s="32" t="s">
        <v>733</v>
      </c>
      <c r="D114" s="36"/>
    </row>
    <row r="115" spans="2:4" x14ac:dyDescent="0.35">
      <c r="B115" s="33">
        <v>111</v>
      </c>
      <c r="C115" s="32" t="s">
        <v>734</v>
      </c>
      <c r="D115" s="36"/>
    </row>
    <row r="116" spans="2:4" x14ac:dyDescent="0.35">
      <c r="B116" s="33">
        <v>112</v>
      </c>
      <c r="C116" s="32" t="s">
        <v>735</v>
      </c>
      <c r="D116" s="36"/>
    </row>
    <row r="117" spans="2:4" x14ac:dyDescent="0.35">
      <c r="B117" s="33">
        <v>113</v>
      </c>
      <c r="C117" s="32" t="s">
        <v>736</v>
      </c>
      <c r="D117" s="36"/>
    </row>
    <row r="118" spans="2:4" x14ac:dyDescent="0.35">
      <c r="B118" s="33">
        <v>114</v>
      </c>
      <c r="C118" s="32" t="s">
        <v>737</v>
      </c>
      <c r="D118" s="36"/>
    </row>
    <row r="119" spans="2:4" x14ac:dyDescent="0.35">
      <c r="B119" s="33">
        <v>115</v>
      </c>
      <c r="C119" s="32" t="s">
        <v>738</v>
      </c>
      <c r="D119" s="36"/>
    </row>
    <row r="120" spans="2:4" x14ac:dyDescent="0.35">
      <c r="B120" s="33">
        <v>116</v>
      </c>
      <c r="C120" s="32" t="s">
        <v>739</v>
      </c>
      <c r="D120" s="36"/>
    </row>
    <row r="121" spans="2:4" x14ac:dyDescent="0.35">
      <c r="B121" s="33">
        <v>117</v>
      </c>
      <c r="C121" s="32" t="s">
        <v>740</v>
      </c>
      <c r="D121" s="36"/>
    </row>
    <row r="122" spans="2:4" x14ac:dyDescent="0.35">
      <c r="B122" s="33">
        <v>118</v>
      </c>
      <c r="C122" s="32" t="s">
        <v>741</v>
      </c>
      <c r="D122" s="36"/>
    </row>
    <row r="123" spans="2:4" x14ac:dyDescent="0.35">
      <c r="B123" s="33">
        <v>119</v>
      </c>
      <c r="C123" s="32" t="s">
        <v>742</v>
      </c>
      <c r="D123" s="36"/>
    </row>
    <row r="124" spans="2:4" x14ac:dyDescent="0.35">
      <c r="B124" s="33">
        <v>120</v>
      </c>
      <c r="C124" s="32" t="s">
        <v>743</v>
      </c>
      <c r="D124" s="36"/>
    </row>
    <row r="125" spans="2:4" x14ac:dyDescent="0.35">
      <c r="B125" s="33">
        <v>121</v>
      </c>
      <c r="C125" s="32" t="s">
        <v>744</v>
      </c>
      <c r="D125" s="36"/>
    </row>
    <row r="126" spans="2:4" x14ac:dyDescent="0.35">
      <c r="B126" s="33">
        <v>122</v>
      </c>
      <c r="C126" s="32" t="s">
        <v>745</v>
      </c>
      <c r="D126" s="36"/>
    </row>
    <row r="127" spans="2:4" x14ac:dyDescent="0.35">
      <c r="B127" s="33">
        <v>123</v>
      </c>
      <c r="C127" s="32" t="s">
        <v>746</v>
      </c>
      <c r="D127" s="36"/>
    </row>
    <row r="128" spans="2:4" x14ac:dyDescent="0.35">
      <c r="B128" s="33">
        <v>124</v>
      </c>
      <c r="C128" s="32" t="s">
        <v>747</v>
      </c>
      <c r="D128" s="36"/>
    </row>
    <row r="129" spans="2:4" x14ac:dyDescent="0.35">
      <c r="B129" s="33">
        <v>125</v>
      </c>
      <c r="C129" s="32" t="s">
        <v>748</v>
      </c>
      <c r="D129" s="36"/>
    </row>
    <row r="130" spans="2:4" x14ac:dyDescent="0.35">
      <c r="B130" s="33">
        <v>126</v>
      </c>
      <c r="C130" s="32" t="s">
        <v>749</v>
      </c>
      <c r="D130" s="36"/>
    </row>
    <row r="131" spans="2:4" x14ac:dyDescent="0.35">
      <c r="B131" s="33">
        <v>127</v>
      </c>
      <c r="C131" s="32" t="s">
        <v>750</v>
      </c>
      <c r="D131" s="36"/>
    </row>
    <row r="132" spans="2:4" x14ac:dyDescent="0.35">
      <c r="B132" s="33">
        <v>128</v>
      </c>
      <c r="C132" s="32" t="s">
        <v>751</v>
      </c>
      <c r="D132" s="36"/>
    </row>
    <row r="133" spans="2:4" x14ac:dyDescent="0.35">
      <c r="B133" s="33">
        <v>129</v>
      </c>
      <c r="C133" s="32" t="s">
        <v>752</v>
      </c>
      <c r="D133" s="36"/>
    </row>
    <row r="134" spans="2:4" x14ac:dyDescent="0.35">
      <c r="B134" s="33">
        <v>130</v>
      </c>
      <c r="C134" s="32" t="s">
        <v>753</v>
      </c>
      <c r="D134" s="36"/>
    </row>
    <row r="135" spans="2:4" x14ac:dyDescent="0.35">
      <c r="B135" s="33">
        <v>131</v>
      </c>
      <c r="C135" s="32" t="s">
        <v>754</v>
      </c>
      <c r="D135" s="36"/>
    </row>
    <row r="136" spans="2:4" x14ac:dyDescent="0.35">
      <c r="B136" s="33">
        <v>132</v>
      </c>
      <c r="C136" s="32" t="s">
        <v>755</v>
      </c>
      <c r="D136" s="36"/>
    </row>
    <row r="137" spans="2:4" x14ac:dyDescent="0.35">
      <c r="B137" s="33">
        <v>133</v>
      </c>
      <c r="C137" s="32" t="s">
        <v>756</v>
      </c>
      <c r="D137" s="36"/>
    </row>
    <row r="138" spans="2:4" x14ac:dyDescent="0.35">
      <c r="B138" s="33">
        <v>134</v>
      </c>
      <c r="C138" s="32" t="s">
        <v>757</v>
      </c>
      <c r="D138" s="36"/>
    </row>
    <row r="139" spans="2:4" x14ac:dyDescent="0.35">
      <c r="B139" s="33">
        <v>135</v>
      </c>
      <c r="C139" s="32" t="s">
        <v>758</v>
      </c>
      <c r="D139" s="36"/>
    </row>
    <row r="140" spans="2:4" x14ac:dyDescent="0.35">
      <c r="B140" s="33">
        <v>136</v>
      </c>
      <c r="C140" s="32" t="s">
        <v>759</v>
      </c>
      <c r="D140" s="36"/>
    </row>
    <row r="141" spans="2:4" x14ac:dyDescent="0.35">
      <c r="B141" s="33">
        <v>137</v>
      </c>
      <c r="C141" s="32" t="s">
        <v>760</v>
      </c>
      <c r="D141" s="36"/>
    </row>
    <row r="142" spans="2:4" x14ac:dyDescent="0.35">
      <c r="B142" s="33">
        <v>138</v>
      </c>
      <c r="C142" s="32" t="s">
        <v>761</v>
      </c>
      <c r="D142" s="36"/>
    </row>
    <row r="143" spans="2:4" x14ac:dyDescent="0.35">
      <c r="B143" s="33">
        <v>139</v>
      </c>
      <c r="C143" s="32" t="s">
        <v>762</v>
      </c>
      <c r="D143" s="36"/>
    </row>
    <row r="144" spans="2:4" x14ac:dyDescent="0.35">
      <c r="B144" s="33">
        <v>140</v>
      </c>
      <c r="C144" s="32" t="s">
        <v>763</v>
      </c>
      <c r="D144" s="36"/>
    </row>
    <row r="145" spans="2:4" x14ac:dyDescent="0.35">
      <c r="B145" s="33">
        <v>141</v>
      </c>
      <c r="C145" s="32" t="s">
        <v>764</v>
      </c>
      <c r="D145" s="36"/>
    </row>
    <row r="146" spans="2:4" x14ac:dyDescent="0.35">
      <c r="B146" s="33">
        <v>142</v>
      </c>
      <c r="C146" s="32" t="s">
        <v>765</v>
      </c>
      <c r="D146" s="36"/>
    </row>
    <row r="147" spans="2:4" x14ac:dyDescent="0.35">
      <c r="B147" s="33">
        <v>143</v>
      </c>
      <c r="C147" s="32" t="s">
        <v>766</v>
      </c>
      <c r="D147" s="36"/>
    </row>
    <row r="148" spans="2:4" x14ac:dyDescent="0.35">
      <c r="B148" s="33">
        <v>144</v>
      </c>
      <c r="C148" s="32" t="s">
        <v>767</v>
      </c>
      <c r="D148" s="36"/>
    </row>
    <row r="149" spans="2:4" x14ac:dyDescent="0.35">
      <c r="B149" s="33">
        <v>145</v>
      </c>
      <c r="C149" s="32" t="s">
        <v>768</v>
      </c>
      <c r="D149" s="36"/>
    </row>
    <row r="150" spans="2:4" x14ac:dyDescent="0.35">
      <c r="B150" s="33">
        <v>146</v>
      </c>
      <c r="C150" s="32" t="s">
        <v>769</v>
      </c>
      <c r="D150" s="36"/>
    </row>
    <row r="151" spans="2:4" x14ac:dyDescent="0.35">
      <c r="B151" s="33">
        <v>147</v>
      </c>
      <c r="C151" s="32" t="s">
        <v>770</v>
      </c>
      <c r="D151" s="36"/>
    </row>
    <row r="152" spans="2:4" x14ac:dyDescent="0.35">
      <c r="B152" s="33">
        <v>148</v>
      </c>
      <c r="C152" s="32" t="s">
        <v>771</v>
      </c>
      <c r="D152" s="36"/>
    </row>
    <row r="153" spans="2:4" x14ac:dyDescent="0.35">
      <c r="B153" s="33">
        <v>149</v>
      </c>
      <c r="C153" s="32" t="s">
        <v>772</v>
      </c>
      <c r="D153" s="36"/>
    </row>
    <row r="154" spans="2:4" x14ac:dyDescent="0.35">
      <c r="B154" s="33">
        <v>150</v>
      </c>
      <c r="C154" s="32" t="s">
        <v>773</v>
      </c>
      <c r="D154" s="36"/>
    </row>
    <row r="155" spans="2:4" x14ac:dyDescent="0.35">
      <c r="B155" s="33">
        <v>151</v>
      </c>
      <c r="C155" s="32" t="s">
        <v>774</v>
      </c>
      <c r="D155" s="36"/>
    </row>
    <row r="156" spans="2:4" x14ac:dyDescent="0.35">
      <c r="B156" s="33">
        <v>152</v>
      </c>
      <c r="C156" s="32" t="s">
        <v>775</v>
      </c>
      <c r="D156" s="36"/>
    </row>
    <row r="157" spans="2:4" x14ac:dyDescent="0.35">
      <c r="B157" s="33">
        <v>153</v>
      </c>
      <c r="C157" s="32" t="s">
        <v>776</v>
      </c>
      <c r="D157" s="36"/>
    </row>
    <row r="158" spans="2:4" x14ac:dyDescent="0.35">
      <c r="B158" s="33">
        <v>154</v>
      </c>
      <c r="C158" s="32" t="s">
        <v>777</v>
      </c>
      <c r="D158" s="36"/>
    </row>
    <row r="159" spans="2:4" x14ac:dyDescent="0.35">
      <c r="B159" s="33">
        <v>155</v>
      </c>
      <c r="C159" s="32" t="s">
        <v>778</v>
      </c>
      <c r="D159" s="36"/>
    </row>
    <row r="160" spans="2:4" x14ac:dyDescent="0.35">
      <c r="B160" s="33">
        <v>156</v>
      </c>
      <c r="C160" s="32" t="s">
        <v>779</v>
      </c>
      <c r="D160" s="36"/>
    </row>
    <row r="161" spans="2:4" x14ac:dyDescent="0.35">
      <c r="B161" s="33">
        <v>157</v>
      </c>
      <c r="C161" s="32" t="s">
        <v>780</v>
      </c>
      <c r="D161" s="36"/>
    </row>
    <row r="162" spans="2:4" x14ac:dyDescent="0.35">
      <c r="B162" s="33">
        <v>158</v>
      </c>
      <c r="C162" s="32" t="s">
        <v>781</v>
      </c>
      <c r="D162" s="36"/>
    </row>
    <row r="163" spans="2:4" x14ac:dyDescent="0.35">
      <c r="B163" s="33">
        <v>159</v>
      </c>
      <c r="C163" s="32" t="s">
        <v>782</v>
      </c>
      <c r="D163" s="36"/>
    </row>
    <row r="164" spans="2:4" x14ac:dyDescent="0.35">
      <c r="B164" s="33">
        <v>160</v>
      </c>
      <c r="C164" s="32" t="s">
        <v>783</v>
      </c>
      <c r="D164" s="36"/>
    </row>
    <row r="165" spans="2:4" x14ac:dyDescent="0.35">
      <c r="B165" s="33">
        <v>161</v>
      </c>
      <c r="C165" s="32" t="s">
        <v>784</v>
      </c>
      <c r="D165" s="36"/>
    </row>
    <row r="166" spans="2:4" x14ac:dyDescent="0.35">
      <c r="B166" s="33">
        <v>162</v>
      </c>
      <c r="C166" s="32" t="s">
        <v>785</v>
      </c>
      <c r="D166" s="36"/>
    </row>
    <row r="167" spans="2:4" x14ac:dyDescent="0.35">
      <c r="B167" s="33">
        <v>163</v>
      </c>
      <c r="C167" s="32" t="s">
        <v>786</v>
      </c>
      <c r="D167" s="36"/>
    </row>
    <row r="168" spans="2:4" x14ac:dyDescent="0.35">
      <c r="B168" s="33">
        <v>164</v>
      </c>
      <c r="C168" s="32" t="s">
        <v>787</v>
      </c>
      <c r="D168" s="36"/>
    </row>
    <row r="169" spans="2:4" x14ac:dyDescent="0.35">
      <c r="B169" s="33">
        <v>165</v>
      </c>
      <c r="C169" s="32" t="s">
        <v>788</v>
      </c>
      <c r="D169" s="36"/>
    </row>
    <row r="170" spans="2:4" x14ac:dyDescent="0.35">
      <c r="B170" s="33">
        <v>166</v>
      </c>
      <c r="C170" s="32" t="s">
        <v>789</v>
      </c>
      <c r="D170" s="36"/>
    </row>
    <row r="171" spans="2:4" x14ac:dyDescent="0.35">
      <c r="B171" s="33">
        <v>167</v>
      </c>
      <c r="C171" s="32" t="s">
        <v>790</v>
      </c>
      <c r="D171" s="36"/>
    </row>
    <row r="172" spans="2:4" x14ac:dyDescent="0.35">
      <c r="B172" s="33">
        <v>168</v>
      </c>
      <c r="C172" s="32" t="s">
        <v>791</v>
      </c>
      <c r="D172" s="36"/>
    </row>
    <row r="173" spans="2:4" x14ac:dyDescent="0.35">
      <c r="B173" s="33">
        <v>169</v>
      </c>
      <c r="C173" s="32" t="s">
        <v>792</v>
      </c>
      <c r="D173" s="36"/>
    </row>
    <row r="174" spans="2:4" x14ac:dyDescent="0.35">
      <c r="B174" s="33">
        <v>170</v>
      </c>
      <c r="C174" s="32" t="s">
        <v>793</v>
      </c>
      <c r="D174" s="36"/>
    </row>
    <row r="175" spans="2:4" x14ac:dyDescent="0.35">
      <c r="B175" s="33">
        <v>171</v>
      </c>
      <c r="C175" s="32" t="s">
        <v>794</v>
      </c>
      <c r="D175" s="36"/>
    </row>
    <row r="176" spans="2:4" x14ac:dyDescent="0.35">
      <c r="B176" s="33">
        <v>172</v>
      </c>
      <c r="C176" s="32" t="s">
        <v>795</v>
      </c>
      <c r="D176" s="36"/>
    </row>
    <row r="177" spans="2:4" x14ac:dyDescent="0.35">
      <c r="B177" s="33">
        <v>173</v>
      </c>
      <c r="C177" s="32" t="s">
        <v>796</v>
      </c>
      <c r="D177" s="36"/>
    </row>
    <row r="178" spans="2:4" x14ac:dyDescent="0.35">
      <c r="B178" s="33">
        <v>174</v>
      </c>
      <c r="C178" s="32" t="s">
        <v>797</v>
      </c>
      <c r="D178" s="36"/>
    </row>
    <row r="179" spans="2:4" x14ac:dyDescent="0.35">
      <c r="B179" s="33">
        <v>175</v>
      </c>
      <c r="C179" s="32" t="s">
        <v>798</v>
      </c>
      <c r="D179" s="36"/>
    </row>
    <row r="180" spans="2:4" x14ac:dyDescent="0.35">
      <c r="B180" s="33">
        <v>176</v>
      </c>
      <c r="C180" s="32" t="s">
        <v>799</v>
      </c>
      <c r="D180" s="36"/>
    </row>
    <row r="181" spans="2:4" x14ac:dyDescent="0.35">
      <c r="B181" s="33">
        <v>177</v>
      </c>
      <c r="C181" s="32" t="s">
        <v>800</v>
      </c>
      <c r="D181" s="36"/>
    </row>
    <row r="182" spans="2:4" x14ac:dyDescent="0.35">
      <c r="B182" s="33">
        <v>178</v>
      </c>
      <c r="C182" s="32" t="s">
        <v>801</v>
      </c>
      <c r="D182" s="36"/>
    </row>
    <row r="183" spans="2:4" x14ac:dyDescent="0.35">
      <c r="B183" s="33">
        <v>179</v>
      </c>
      <c r="C183" s="32" t="s">
        <v>802</v>
      </c>
      <c r="D183" s="36"/>
    </row>
    <row r="184" spans="2:4" x14ac:dyDescent="0.35">
      <c r="B184" s="33">
        <v>180</v>
      </c>
      <c r="C184" s="32" t="s">
        <v>803</v>
      </c>
      <c r="D184" s="36"/>
    </row>
    <row r="185" spans="2:4" x14ac:dyDescent="0.35">
      <c r="B185" s="33">
        <v>181</v>
      </c>
      <c r="C185" s="32" t="s">
        <v>804</v>
      </c>
      <c r="D185" s="36"/>
    </row>
    <row r="186" spans="2:4" x14ac:dyDescent="0.35">
      <c r="B186" s="33">
        <v>182</v>
      </c>
      <c r="C186" s="32" t="s">
        <v>805</v>
      </c>
      <c r="D186" s="36"/>
    </row>
    <row r="187" spans="2:4" x14ac:dyDescent="0.35">
      <c r="B187" s="33">
        <v>183</v>
      </c>
      <c r="C187" s="32" t="s">
        <v>806</v>
      </c>
      <c r="D187" s="36"/>
    </row>
    <row r="188" spans="2:4" x14ac:dyDescent="0.35">
      <c r="B188" s="33">
        <v>184</v>
      </c>
      <c r="C188" s="32" t="s">
        <v>807</v>
      </c>
      <c r="D188" s="36"/>
    </row>
    <row r="189" spans="2:4" x14ac:dyDescent="0.35">
      <c r="B189" s="33">
        <v>185</v>
      </c>
      <c r="C189" s="32" t="s">
        <v>808</v>
      </c>
      <c r="D189" s="36"/>
    </row>
    <row r="190" spans="2:4" x14ac:dyDescent="0.35">
      <c r="B190" s="33">
        <v>186</v>
      </c>
      <c r="C190" s="32" t="s">
        <v>809</v>
      </c>
      <c r="D190" s="36"/>
    </row>
    <row r="191" spans="2:4" x14ac:dyDescent="0.35">
      <c r="B191" s="33">
        <v>187</v>
      </c>
      <c r="C191" s="32" t="s">
        <v>810</v>
      </c>
      <c r="D191" s="36"/>
    </row>
    <row r="192" spans="2:4" x14ac:dyDescent="0.35">
      <c r="B192" s="33">
        <v>188</v>
      </c>
      <c r="C192" s="32" t="s">
        <v>811</v>
      </c>
      <c r="D192" s="36"/>
    </row>
    <row r="193" spans="2:4" x14ac:dyDescent="0.35">
      <c r="B193" s="33">
        <v>189</v>
      </c>
      <c r="C193" s="32" t="s">
        <v>812</v>
      </c>
      <c r="D193" s="36"/>
    </row>
    <row r="194" spans="2:4" x14ac:dyDescent="0.35">
      <c r="B194" s="33">
        <v>190</v>
      </c>
      <c r="C194" s="32" t="s">
        <v>813</v>
      </c>
      <c r="D194" s="36"/>
    </row>
    <row r="195" spans="2:4" x14ac:dyDescent="0.35">
      <c r="B195" s="33">
        <v>191</v>
      </c>
      <c r="C195" s="32" t="s">
        <v>814</v>
      </c>
      <c r="D195" s="36"/>
    </row>
    <row r="196" spans="2:4" x14ac:dyDescent="0.35">
      <c r="B196" s="33">
        <v>193</v>
      </c>
      <c r="C196" s="32" t="s">
        <v>815</v>
      </c>
      <c r="D196" s="36"/>
    </row>
    <row r="197" spans="2:4" x14ac:dyDescent="0.35">
      <c r="B197" s="33">
        <v>194</v>
      </c>
      <c r="C197" s="32" t="s">
        <v>816</v>
      </c>
      <c r="D197" s="36"/>
    </row>
    <row r="198" spans="2:4" x14ac:dyDescent="0.35">
      <c r="B198" s="33">
        <v>195</v>
      </c>
      <c r="C198" s="32" t="s">
        <v>817</v>
      </c>
      <c r="D198" s="36"/>
    </row>
    <row r="199" spans="2:4" x14ac:dyDescent="0.35">
      <c r="B199" s="33">
        <v>196</v>
      </c>
      <c r="C199" s="32" t="s">
        <v>818</v>
      </c>
      <c r="D199" s="36"/>
    </row>
    <row r="200" spans="2:4" x14ac:dyDescent="0.35">
      <c r="B200" s="33">
        <v>197</v>
      </c>
      <c r="C200" s="32" t="s">
        <v>819</v>
      </c>
      <c r="D200" s="36"/>
    </row>
    <row r="201" spans="2:4" x14ac:dyDescent="0.35">
      <c r="B201" s="33">
        <v>198</v>
      </c>
      <c r="C201" s="32" t="s">
        <v>820</v>
      </c>
      <c r="D201" s="36"/>
    </row>
    <row r="202" spans="2:4" x14ac:dyDescent="0.35">
      <c r="B202" s="33">
        <v>199</v>
      </c>
      <c r="C202" s="32" t="s">
        <v>821</v>
      </c>
      <c r="D202" s="36"/>
    </row>
    <row r="203" spans="2:4" x14ac:dyDescent="0.35">
      <c r="B203" s="33">
        <v>200</v>
      </c>
      <c r="C203" s="32" t="s">
        <v>822</v>
      </c>
      <c r="D203" s="36"/>
    </row>
    <row r="204" spans="2:4" x14ac:dyDescent="0.35">
      <c r="B204" s="33">
        <v>201</v>
      </c>
      <c r="C204" s="32" t="s">
        <v>823</v>
      </c>
      <c r="D204" s="36"/>
    </row>
    <row r="205" spans="2:4" x14ac:dyDescent="0.35">
      <c r="B205" s="33">
        <v>202</v>
      </c>
      <c r="C205" s="32" t="s">
        <v>824</v>
      </c>
      <c r="D205" s="36"/>
    </row>
    <row r="206" spans="2:4" x14ac:dyDescent="0.35">
      <c r="B206" s="33">
        <v>203</v>
      </c>
      <c r="C206" s="32" t="s">
        <v>825</v>
      </c>
      <c r="D206" s="36"/>
    </row>
    <row r="207" spans="2:4" x14ac:dyDescent="0.35">
      <c r="B207" s="33">
        <v>204</v>
      </c>
      <c r="C207" s="32" t="s">
        <v>826</v>
      </c>
      <c r="D207" s="36"/>
    </row>
    <row r="208" spans="2:4" x14ac:dyDescent="0.35">
      <c r="B208" s="33">
        <v>205</v>
      </c>
      <c r="C208" s="32" t="s">
        <v>827</v>
      </c>
      <c r="D208" s="36"/>
    </row>
    <row r="209" spans="2:4" x14ac:dyDescent="0.35">
      <c r="B209" s="33">
        <v>206</v>
      </c>
      <c r="C209" s="32" t="s">
        <v>828</v>
      </c>
      <c r="D209" s="36"/>
    </row>
    <row r="210" spans="2:4" x14ac:dyDescent="0.35">
      <c r="B210" s="33">
        <v>207</v>
      </c>
      <c r="C210" s="32" t="s">
        <v>829</v>
      </c>
      <c r="D210" s="36"/>
    </row>
    <row r="211" spans="2:4" x14ac:dyDescent="0.35">
      <c r="B211" s="33">
        <v>208</v>
      </c>
      <c r="C211" s="32" t="s">
        <v>830</v>
      </c>
      <c r="D211" s="36"/>
    </row>
    <row r="212" spans="2:4" x14ac:dyDescent="0.35">
      <c r="B212" s="33">
        <v>209</v>
      </c>
      <c r="C212" s="32" t="s">
        <v>831</v>
      </c>
      <c r="D212" s="36"/>
    </row>
    <row r="213" spans="2:4" x14ac:dyDescent="0.35">
      <c r="B213" s="33">
        <v>210</v>
      </c>
      <c r="C213" s="32" t="s">
        <v>832</v>
      </c>
      <c r="D213" s="36"/>
    </row>
    <row r="214" spans="2:4" x14ac:dyDescent="0.35">
      <c r="B214" s="33">
        <v>211</v>
      </c>
      <c r="C214" s="32" t="s">
        <v>833</v>
      </c>
      <c r="D214" s="36"/>
    </row>
    <row r="215" spans="2:4" x14ac:dyDescent="0.35">
      <c r="B215" s="33">
        <v>212</v>
      </c>
      <c r="C215" s="32" t="s">
        <v>834</v>
      </c>
      <c r="D215" s="36"/>
    </row>
    <row r="216" spans="2:4" x14ac:dyDescent="0.35">
      <c r="B216" s="33">
        <v>213</v>
      </c>
      <c r="C216" s="32" t="s">
        <v>835</v>
      </c>
      <c r="D216" s="36"/>
    </row>
    <row r="217" spans="2:4" x14ac:dyDescent="0.35">
      <c r="B217" s="33">
        <v>214</v>
      </c>
      <c r="C217" s="32" t="s">
        <v>836</v>
      </c>
      <c r="D217" s="36"/>
    </row>
    <row r="218" spans="2:4" x14ac:dyDescent="0.35">
      <c r="B218" s="33">
        <v>215</v>
      </c>
      <c r="C218" s="32" t="s">
        <v>837</v>
      </c>
      <c r="D218" s="36"/>
    </row>
    <row r="219" spans="2:4" x14ac:dyDescent="0.35">
      <c r="B219" s="33">
        <v>216</v>
      </c>
      <c r="C219" s="32" t="s">
        <v>838</v>
      </c>
      <c r="D219" s="36"/>
    </row>
    <row r="220" spans="2:4" x14ac:dyDescent="0.35">
      <c r="B220" s="33">
        <v>217</v>
      </c>
      <c r="C220" s="32" t="s">
        <v>839</v>
      </c>
      <c r="D220" s="36"/>
    </row>
    <row r="221" spans="2:4" x14ac:dyDescent="0.35">
      <c r="B221" s="33">
        <v>218</v>
      </c>
      <c r="C221" s="32" t="s">
        <v>840</v>
      </c>
      <c r="D221" s="36"/>
    </row>
    <row r="222" spans="2:4" x14ac:dyDescent="0.35">
      <c r="B222" s="33">
        <v>219</v>
      </c>
      <c r="C222" s="32" t="s">
        <v>841</v>
      </c>
      <c r="D222" s="36"/>
    </row>
    <row r="223" spans="2:4" x14ac:dyDescent="0.35">
      <c r="B223" s="33">
        <v>221</v>
      </c>
      <c r="C223" s="32" t="s">
        <v>842</v>
      </c>
      <c r="D223" s="36"/>
    </row>
    <row r="224" spans="2:4" x14ac:dyDescent="0.35">
      <c r="B224" s="33">
        <v>222</v>
      </c>
      <c r="C224" s="32" t="s">
        <v>843</v>
      </c>
      <c r="D224" s="36"/>
    </row>
    <row r="225" spans="2:4" x14ac:dyDescent="0.35">
      <c r="B225" s="33">
        <v>223</v>
      </c>
      <c r="C225" s="32" t="s">
        <v>844</v>
      </c>
      <c r="D225" s="36"/>
    </row>
    <row r="226" spans="2:4" x14ac:dyDescent="0.35">
      <c r="B226" s="33">
        <v>225</v>
      </c>
      <c r="C226" s="32" t="s">
        <v>845</v>
      </c>
      <c r="D226" s="36"/>
    </row>
    <row r="227" spans="2:4" x14ac:dyDescent="0.35">
      <c r="B227" s="33">
        <v>226</v>
      </c>
      <c r="C227" s="32" t="s">
        <v>846</v>
      </c>
      <c r="D227" s="36"/>
    </row>
    <row r="228" spans="2:4" x14ac:dyDescent="0.35">
      <c r="B228" s="33">
        <v>229</v>
      </c>
      <c r="C228" s="32" t="s">
        <v>847</v>
      </c>
      <c r="D228" s="36"/>
    </row>
    <row r="229" spans="2:4" x14ac:dyDescent="0.35">
      <c r="B229" s="33">
        <v>230</v>
      </c>
      <c r="C229" s="32" t="s">
        <v>848</v>
      </c>
      <c r="D229" s="36"/>
    </row>
    <row r="230" spans="2:4" x14ac:dyDescent="0.35">
      <c r="B230" s="33">
        <v>231</v>
      </c>
      <c r="C230" s="32" t="s">
        <v>849</v>
      </c>
      <c r="D230" s="36"/>
    </row>
    <row r="231" spans="2:4" x14ac:dyDescent="0.35">
      <c r="B231" s="33">
        <v>232</v>
      </c>
      <c r="C231" s="32" t="s">
        <v>850</v>
      </c>
      <c r="D231" s="36"/>
    </row>
    <row r="232" spans="2:4" x14ac:dyDescent="0.35">
      <c r="B232" s="33">
        <v>233</v>
      </c>
      <c r="C232" s="32" t="s">
        <v>851</v>
      </c>
      <c r="D232" s="36"/>
    </row>
    <row r="233" spans="2:4" x14ac:dyDescent="0.35">
      <c r="B233" s="33">
        <v>234</v>
      </c>
      <c r="C233" s="32" t="s">
        <v>852</v>
      </c>
      <c r="D233" s="36"/>
    </row>
    <row r="234" spans="2:4" x14ac:dyDescent="0.35">
      <c r="B234" s="33">
        <v>235</v>
      </c>
      <c r="C234" s="32" t="s">
        <v>853</v>
      </c>
      <c r="D234" s="36"/>
    </row>
    <row r="235" spans="2:4" x14ac:dyDescent="0.35">
      <c r="B235" s="33">
        <v>236</v>
      </c>
      <c r="C235" s="32" t="s">
        <v>854</v>
      </c>
      <c r="D235" s="36"/>
    </row>
    <row r="236" spans="2:4" x14ac:dyDescent="0.35">
      <c r="B236" s="33">
        <v>237</v>
      </c>
      <c r="C236" s="32" t="s">
        <v>855</v>
      </c>
      <c r="D236" s="36"/>
    </row>
    <row r="237" spans="2:4" x14ac:dyDescent="0.35">
      <c r="B237" s="33">
        <v>238</v>
      </c>
      <c r="C237" s="32" t="s">
        <v>856</v>
      </c>
      <c r="D237" s="36"/>
    </row>
    <row r="238" spans="2:4" x14ac:dyDescent="0.35">
      <c r="B238" s="33">
        <v>239</v>
      </c>
      <c r="C238" s="32" t="s">
        <v>857</v>
      </c>
      <c r="D238" s="36"/>
    </row>
    <row r="239" spans="2:4" ht="15" thickBot="1" x14ac:dyDescent="0.4">
      <c r="B239" s="34">
        <v>240</v>
      </c>
      <c r="C239" s="35" t="s">
        <v>1557</v>
      </c>
      <c r="D239" s="37"/>
    </row>
  </sheetData>
  <mergeCells count="2">
    <mergeCell ref="C2:D2"/>
    <mergeCell ref="C3:D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5073-F1DD-43E3-94B0-BD46FC7CA1BB}">
  <sheetPr>
    <tabColor rgb="FF92D050"/>
  </sheetPr>
  <dimension ref="B1:D238"/>
  <sheetViews>
    <sheetView zoomScaleNormal="100" workbookViewId="0"/>
  </sheetViews>
  <sheetFormatPr defaultRowHeight="14.5" x14ac:dyDescent="0.35"/>
  <cols>
    <col min="2" max="2" width="23.1796875" customWidth="1"/>
    <col min="3" max="3" width="37.1796875" customWidth="1"/>
    <col min="4" max="4" width="56.453125" customWidth="1"/>
  </cols>
  <sheetData>
    <row r="1" spans="2:4" ht="15" thickBot="1" x14ac:dyDescent="0.4"/>
    <row r="2" spans="2:4" ht="15.5" x14ac:dyDescent="0.35">
      <c r="B2" s="27" t="s">
        <v>454</v>
      </c>
      <c r="C2" s="215" t="s">
        <v>181</v>
      </c>
      <c r="D2" s="216"/>
    </row>
    <row r="3" spans="2:4" ht="56.5" customHeight="1" x14ac:dyDescent="0.35">
      <c r="B3" s="28" t="s">
        <v>456</v>
      </c>
      <c r="C3" s="217" t="s">
        <v>1367</v>
      </c>
      <c r="D3" s="218"/>
    </row>
    <row r="4" spans="2:4" x14ac:dyDescent="0.35">
      <c r="B4" s="29" t="s">
        <v>458</v>
      </c>
      <c r="C4" s="26" t="s">
        <v>459</v>
      </c>
      <c r="D4" s="30" t="s">
        <v>460</v>
      </c>
    </row>
    <row r="5" spans="2:4" x14ac:dyDescent="0.35">
      <c r="B5" s="58">
        <v>1</v>
      </c>
      <c r="C5" s="58" t="s">
        <v>858</v>
      </c>
      <c r="D5" s="31"/>
    </row>
    <row r="6" spans="2:4" x14ac:dyDescent="0.35">
      <c r="B6" s="58">
        <v>2</v>
      </c>
      <c r="C6" s="58" t="s">
        <v>859</v>
      </c>
      <c r="D6" s="31"/>
    </row>
    <row r="7" spans="2:4" x14ac:dyDescent="0.35">
      <c r="B7" s="58">
        <v>3</v>
      </c>
      <c r="C7" s="58" t="s">
        <v>860</v>
      </c>
      <c r="D7" s="31"/>
    </row>
    <row r="8" spans="2:4" x14ac:dyDescent="0.35">
      <c r="B8" s="58">
        <v>4</v>
      </c>
      <c r="C8" s="58" t="s">
        <v>861</v>
      </c>
      <c r="D8" s="31"/>
    </row>
    <row r="9" spans="2:4" x14ac:dyDescent="0.35">
      <c r="B9" s="58">
        <v>5</v>
      </c>
      <c r="C9" s="58" t="s">
        <v>862</v>
      </c>
      <c r="D9" s="31"/>
    </row>
    <row r="10" spans="2:4" x14ac:dyDescent="0.35">
      <c r="B10" s="58">
        <v>6</v>
      </c>
      <c r="C10" s="58" t="s">
        <v>863</v>
      </c>
      <c r="D10" s="31"/>
    </row>
    <row r="11" spans="2:4" x14ac:dyDescent="0.35">
      <c r="B11" s="58">
        <v>7</v>
      </c>
      <c r="C11" s="58" t="s">
        <v>864</v>
      </c>
      <c r="D11" s="31"/>
    </row>
    <row r="12" spans="2:4" x14ac:dyDescent="0.35">
      <c r="B12" s="58">
        <v>8</v>
      </c>
      <c r="C12" s="58" t="s">
        <v>865</v>
      </c>
      <c r="D12" s="31"/>
    </row>
    <row r="13" spans="2:4" x14ac:dyDescent="0.35">
      <c r="B13" s="58">
        <v>9</v>
      </c>
      <c r="C13" s="58" t="s">
        <v>866</v>
      </c>
      <c r="D13" s="31"/>
    </row>
    <row r="14" spans="2:4" x14ac:dyDescent="0.35">
      <c r="B14" s="58">
        <v>10</v>
      </c>
      <c r="C14" s="58" t="s">
        <v>867</v>
      </c>
      <c r="D14" s="31"/>
    </row>
    <row r="15" spans="2:4" x14ac:dyDescent="0.35">
      <c r="B15" s="58">
        <v>11</v>
      </c>
      <c r="C15" s="58" t="s">
        <v>868</v>
      </c>
      <c r="D15" s="31"/>
    </row>
    <row r="16" spans="2:4" x14ac:dyDescent="0.35">
      <c r="B16" s="58">
        <v>12</v>
      </c>
      <c r="C16" s="58" t="s">
        <v>869</v>
      </c>
      <c r="D16" s="31"/>
    </row>
    <row r="17" spans="2:4" x14ac:dyDescent="0.35">
      <c r="B17" s="58">
        <v>13</v>
      </c>
      <c r="C17" s="58" t="s">
        <v>870</v>
      </c>
      <c r="D17" s="31"/>
    </row>
    <row r="18" spans="2:4" x14ac:dyDescent="0.35">
      <c r="B18" s="58">
        <v>14</v>
      </c>
      <c r="C18" s="58" t="s">
        <v>871</v>
      </c>
      <c r="D18" s="31"/>
    </row>
    <row r="19" spans="2:4" x14ac:dyDescent="0.35">
      <c r="B19" s="58">
        <v>15</v>
      </c>
      <c r="C19" s="58" t="s">
        <v>872</v>
      </c>
      <c r="D19" s="31"/>
    </row>
    <row r="20" spans="2:4" x14ac:dyDescent="0.35">
      <c r="B20" s="58">
        <v>16</v>
      </c>
      <c r="C20" s="58" t="s">
        <v>873</v>
      </c>
      <c r="D20" s="31"/>
    </row>
    <row r="21" spans="2:4" x14ac:dyDescent="0.35">
      <c r="B21" s="58">
        <v>17</v>
      </c>
      <c r="C21" s="58" t="s">
        <v>874</v>
      </c>
      <c r="D21" s="31"/>
    </row>
    <row r="22" spans="2:4" x14ac:dyDescent="0.35">
      <c r="B22" s="58">
        <v>18</v>
      </c>
      <c r="C22" s="58" t="s">
        <v>875</v>
      </c>
      <c r="D22" s="31"/>
    </row>
    <row r="23" spans="2:4" x14ac:dyDescent="0.35">
      <c r="B23" s="58">
        <v>19</v>
      </c>
      <c r="C23" s="58" t="s">
        <v>876</v>
      </c>
      <c r="D23" s="31"/>
    </row>
    <row r="24" spans="2:4" x14ac:dyDescent="0.35">
      <c r="B24" s="58">
        <v>20</v>
      </c>
      <c r="C24" s="58" t="s">
        <v>877</v>
      </c>
      <c r="D24" s="31"/>
    </row>
    <row r="25" spans="2:4" x14ac:dyDescent="0.35">
      <c r="B25" s="58">
        <v>21</v>
      </c>
      <c r="C25" s="58" t="s">
        <v>878</v>
      </c>
      <c r="D25" s="31"/>
    </row>
    <row r="26" spans="2:4" x14ac:dyDescent="0.35">
      <c r="B26" s="58">
        <v>22</v>
      </c>
      <c r="C26" s="58" t="s">
        <v>879</v>
      </c>
      <c r="D26" s="31"/>
    </row>
    <row r="27" spans="2:4" x14ac:dyDescent="0.35">
      <c r="B27" s="58">
        <v>23</v>
      </c>
      <c r="C27" s="58" t="s">
        <v>880</v>
      </c>
      <c r="D27" s="31"/>
    </row>
    <row r="28" spans="2:4" x14ac:dyDescent="0.35">
      <c r="B28" s="58">
        <v>24</v>
      </c>
      <c r="C28" s="58" t="s">
        <v>881</v>
      </c>
      <c r="D28" s="31"/>
    </row>
    <row r="29" spans="2:4" x14ac:dyDescent="0.35">
      <c r="B29" s="58">
        <v>25</v>
      </c>
      <c r="C29" s="58" t="s">
        <v>882</v>
      </c>
      <c r="D29" s="31"/>
    </row>
    <row r="30" spans="2:4" x14ac:dyDescent="0.35">
      <c r="B30" s="58">
        <v>26</v>
      </c>
      <c r="C30" s="58" t="s">
        <v>883</v>
      </c>
      <c r="D30" s="31"/>
    </row>
    <row r="31" spans="2:4" x14ac:dyDescent="0.35">
      <c r="B31" s="58">
        <v>27</v>
      </c>
      <c r="C31" s="58" t="s">
        <v>884</v>
      </c>
      <c r="D31" s="31"/>
    </row>
    <row r="32" spans="2:4" ht="21" customHeight="1" x14ac:dyDescent="0.35">
      <c r="B32" s="58">
        <v>28</v>
      </c>
      <c r="C32" s="58" t="s">
        <v>885</v>
      </c>
      <c r="D32" s="31"/>
    </row>
    <row r="33" spans="2:4" x14ac:dyDescent="0.35">
      <c r="B33" s="58">
        <v>29</v>
      </c>
      <c r="C33" s="58" t="s">
        <v>886</v>
      </c>
      <c r="D33" s="31"/>
    </row>
    <row r="34" spans="2:4" x14ac:dyDescent="0.35">
      <c r="B34" s="58">
        <v>30</v>
      </c>
      <c r="C34" s="58" t="s">
        <v>887</v>
      </c>
      <c r="D34" s="31"/>
    </row>
    <row r="35" spans="2:4" x14ac:dyDescent="0.35">
      <c r="B35" s="58">
        <v>31</v>
      </c>
      <c r="C35" s="58" t="s">
        <v>888</v>
      </c>
      <c r="D35" s="31"/>
    </row>
    <row r="36" spans="2:4" x14ac:dyDescent="0.35">
      <c r="B36" s="58">
        <v>32</v>
      </c>
      <c r="C36" s="58" t="s">
        <v>889</v>
      </c>
      <c r="D36" s="31"/>
    </row>
    <row r="37" spans="2:4" x14ac:dyDescent="0.35">
      <c r="B37" s="58">
        <v>33</v>
      </c>
      <c r="C37" s="58" t="s">
        <v>890</v>
      </c>
      <c r="D37" s="31"/>
    </row>
    <row r="38" spans="2:4" x14ac:dyDescent="0.35">
      <c r="B38" s="58">
        <v>34</v>
      </c>
      <c r="C38" s="58" t="s">
        <v>891</v>
      </c>
      <c r="D38" s="31"/>
    </row>
    <row r="39" spans="2:4" x14ac:dyDescent="0.35">
      <c r="B39" s="58">
        <v>35</v>
      </c>
      <c r="C39" s="58" t="s">
        <v>892</v>
      </c>
      <c r="D39" s="31"/>
    </row>
    <row r="40" spans="2:4" x14ac:dyDescent="0.35">
      <c r="B40" s="58">
        <v>36</v>
      </c>
      <c r="C40" s="58" t="s">
        <v>893</v>
      </c>
      <c r="D40" s="31"/>
    </row>
    <row r="41" spans="2:4" x14ac:dyDescent="0.35">
      <c r="B41" s="58">
        <v>37</v>
      </c>
      <c r="C41" s="58" t="s">
        <v>894</v>
      </c>
      <c r="D41" s="31"/>
    </row>
    <row r="42" spans="2:4" x14ac:dyDescent="0.35">
      <c r="B42" s="58">
        <v>38</v>
      </c>
      <c r="C42" s="58" t="s">
        <v>895</v>
      </c>
      <c r="D42" s="31"/>
    </row>
    <row r="43" spans="2:4" x14ac:dyDescent="0.35">
      <c r="B43" s="58">
        <v>39</v>
      </c>
      <c r="C43" s="58" t="s">
        <v>896</v>
      </c>
      <c r="D43" s="31"/>
    </row>
    <row r="44" spans="2:4" x14ac:dyDescent="0.35">
      <c r="B44" s="58">
        <v>40</v>
      </c>
      <c r="C44" s="58" t="s">
        <v>897</v>
      </c>
      <c r="D44" s="31"/>
    </row>
    <row r="45" spans="2:4" x14ac:dyDescent="0.35">
      <c r="B45" s="58">
        <v>41</v>
      </c>
      <c r="C45" s="58" t="s">
        <v>898</v>
      </c>
      <c r="D45" s="31"/>
    </row>
    <row r="46" spans="2:4" x14ac:dyDescent="0.35">
      <c r="B46" s="58">
        <v>42</v>
      </c>
      <c r="C46" s="58" t="s">
        <v>899</v>
      </c>
      <c r="D46" s="31"/>
    </row>
    <row r="47" spans="2:4" x14ac:dyDescent="0.35">
      <c r="B47" s="58">
        <v>43</v>
      </c>
      <c r="C47" s="58" t="s">
        <v>900</v>
      </c>
      <c r="D47" s="31"/>
    </row>
    <row r="48" spans="2:4" x14ac:dyDescent="0.35">
      <c r="B48" s="58">
        <v>44</v>
      </c>
      <c r="C48" s="58" t="s">
        <v>901</v>
      </c>
      <c r="D48" s="31"/>
    </row>
    <row r="49" spans="2:4" x14ac:dyDescent="0.35">
      <c r="B49" s="58">
        <v>45</v>
      </c>
      <c r="C49" s="58" t="s">
        <v>902</v>
      </c>
      <c r="D49" s="31"/>
    </row>
    <row r="50" spans="2:4" x14ac:dyDescent="0.35">
      <c r="B50" s="58">
        <v>46</v>
      </c>
      <c r="C50" s="58" t="s">
        <v>903</v>
      </c>
      <c r="D50" s="31"/>
    </row>
    <row r="51" spans="2:4" x14ac:dyDescent="0.35">
      <c r="B51" s="58">
        <v>47</v>
      </c>
      <c r="C51" s="58" t="s">
        <v>904</v>
      </c>
      <c r="D51" s="31"/>
    </row>
    <row r="52" spans="2:4" x14ac:dyDescent="0.35">
      <c r="B52" s="58">
        <v>48</v>
      </c>
      <c r="C52" s="58" t="s">
        <v>905</v>
      </c>
      <c r="D52" s="31"/>
    </row>
    <row r="53" spans="2:4" x14ac:dyDescent="0.35">
      <c r="B53" s="58">
        <v>49</v>
      </c>
      <c r="C53" s="58" t="s">
        <v>906</v>
      </c>
      <c r="D53" s="31"/>
    </row>
    <row r="54" spans="2:4" x14ac:dyDescent="0.35">
      <c r="B54" s="58">
        <v>50</v>
      </c>
      <c r="C54" s="58" t="s">
        <v>907</v>
      </c>
      <c r="D54" s="31"/>
    </row>
    <row r="55" spans="2:4" x14ac:dyDescent="0.35">
      <c r="B55" s="58">
        <v>51</v>
      </c>
      <c r="C55" s="58" t="s">
        <v>908</v>
      </c>
      <c r="D55" s="31"/>
    </row>
    <row r="56" spans="2:4" x14ac:dyDescent="0.35">
      <c r="B56" s="58">
        <v>52</v>
      </c>
      <c r="C56" s="58" t="s">
        <v>909</v>
      </c>
      <c r="D56" s="31"/>
    </row>
    <row r="57" spans="2:4" x14ac:dyDescent="0.35">
      <c r="B57" s="58">
        <v>53</v>
      </c>
      <c r="C57" s="58" t="s">
        <v>910</v>
      </c>
      <c r="D57" s="31"/>
    </row>
    <row r="58" spans="2:4" x14ac:dyDescent="0.35">
      <c r="B58" s="58">
        <v>54</v>
      </c>
      <c r="C58" s="58" t="s">
        <v>911</v>
      </c>
      <c r="D58" s="31"/>
    </row>
    <row r="59" spans="2:4" x14ac:dyDescent="0.35">
      <c r="B59" s="58">
        <v>55</v>
      </c>
      <c r="C59" s="58" t="s">
        <v>912</v>
      </c>
      <c r="D59" s="31"/>
    </row>
    <row r="60" spans="2:4" x14ac:dyDescent="0.35">
      <c r="B60" s="58">
        <v>56</v>
      </c>
      <c r="C60" s="58" t="s">
        <v>913</v>
      </c>
      <c r="D60" s="31"/>
    </row>
    <row r="61" spans="2:4" x14ac:dyDescent="0.35">
      <c r="B61" s="58">
        <v>57</v>
      </c>
      <c r="C61" s="58" t="s">
        <v>914</v>
      </c>
      <c r="D61" s="31"/>
    </row>
    <row r="62" spans="2:4" x14ac:dyDescent="0.35">
      <c r="B62" s="58">
        <v>58</v>
      </c>
      <c r="C62" s="58" t="s">
        <v>915</v>
      </c>
      <c r="D62" s="36"/>
    </row>
    <row r="63" spans="2:4" x14ac:dyDescent="0.35">
      <c r="B63" s="58">
        <v>59</v>
      </c>
      <c r="C63" s="58" t="s">
        <v>916</v>
      </c>
      <c r="D63" s="36"/>
    </row>
    <row r="64" spans="2:4" x14ac:dyDescent="0.35">
      <c r="B64" s="58">
        <v>60</v>
      </c>
      <c r="C64" s="58" t="s">
        <v>917</v>
      </c>
      <c r="D64" s="36"/>
    </row>
    <row r="65" spans="2:4" x14ac:dyDescent="0.35">
      <c r="B65" s="58">
        <v>61</v>
      </c>
      <c r="C65" s="58" t="s">
        <v>918</v>
      </c>
      <c r="D65" s="36"/>
    </row>
    <row r="66" spans="2:4" x14ac:dyDescent="0.35">
      <c r="B66" s="58">
        <v>62</v>
      </c>
      <c r="C66" s="58" t="s">
        <v>919</v>
      </c>
      <c r="D66" s="36"/>
    </row>
    <row r="67" spans="2:4" x14ac:dyDescent="0.35">
      <c r="B67" s="58">
        <v>63</v>
      </c>
      <c r="C67" s="58" t="s">
        <v>920</v>
      </c>
      <c r="D67" s="36"/>
    </row>
    <row r="68" spans="2:4" x14ac:dyDescent="0.35">
      <c r="B68" s="58">
        <v>64</v>
      </c>
      <c r="C68" s="58" t="s">
        <v>921</v>
      </c>
      <c r="D68" s="36"/>
    </row>
    <row r="69" spans="2:4" x14ac:dyDescent="0.35">
      <c r="B69" s="58">
        <v>65</v>
      </c>
      <c r="C69" s="58" t="s">
        <v>922</v>
      </c>
      <c r="D69" s="36"/>
    </row>
    <row r="70" spans="2:4" x14ac:dyDescent="0.35">
      <c r="B70" s="58">
        <v>66</v>
      </c>
      <c r="C70" s="58" t="s">
        <v>923</v>
      </c>
      <c r="D70" s="36"/>
    </row>
    <row r="71" spans="2:4" x14ac:dyDescent="0.35">
      <c r="B71" s="58">
        <v>67</v>
      </c>
      <c r="C71" s="58" t="s">
        <v>924</v>
      </c>
      <c r="D71" s="36"/>
    </row>
    <row r="72" spans="2:4" x14ac:dyDescent="0.35">
      <c r="B72" s="58">
        <v>68</v>
      </c>
      <c r="C72" s="58" t="s">
        <v>925</v>
      </c>
      <c r="D72" s="36"/>
    </row>
    <row r="73" spans="2:4" x14ac:dyDescent="0.35">
      <c r="B73" s="58">
        <v>69</v>
      </c>
      <c r="C73" s="58" t="s">
        <v>926</v>
      </c>
      <c r="D73" s="36"/>
    </row>
    <row r="74" spans="2:4" x14ac:dyDescent="0.35">
      <c r="B74" s="58">
        <v>70</v>
      </c>
      <c r="C74" s="58" t="s">
        <v>927</v>
      </c>
      <c r="D74" s="36"/>
    </row>
    <row r="75" spans="2:4" x14ac:dyDescent="0.35">
      <c r="B75" s="58">
        <v>71</v>
      </c>
      <c r="C75" s="58" t="s">
        <v>928</v>
      </c>
      <c r="D75" s="36"/>
    </row>
    <row r="76" spans="2:4" x14ac:dyDescent="0.35">
      <c r="B76" s="58">
        <v>72</v>
      </c>
      <c r="C76" s="58" t="s">
        <v>929</v>
      </c>
      <c r="D76" s="36"/>
    </row>
    <row r="77" spans="2:4" x14ac:dyDescent="0.35">
      <c r="B77" s="58">
        <v>73</v>
      </c>
      <c r="C77" s="58" t="s">
        <v>930</v>
      </c>
      <c r="D77" s="36"/>
    </row>
    <row r="78" spans="2:4" x14ac:dyDescent="0.35">
      <c r="B78" s="58">
        <v>74</v>
      </c>
      <c r="C78" s="58" t="s">
        <v>931</v>
      </c>
      <c r="D78" s="36"/>
    </row>
    <row r="79" spans="2:4" x14ac:dyDescent="0.35">
      <c r="B79" s="58">
        <v>75</v>
      </c>
      <c r="C79" s="58" t="s">
        <v>932</v>
      </c>
      <c r="D79" s="36"/>
    </row>
    <row r="80" spans="2:4" x14ac:dyDescent="0.35">
      <c r="B80" s="58">
        <v>76</v>
      </c>
      <c r="C80" s="58" t="s">
        <v>933</v>
      </c>
      <c r="D80" s="36"/>
    </row>
    <row r="81" spans="2:4" x14ac:dyDescent="0.35">
      <c r="B81" s="58">
        <v>77</v>
      </c>
      <c r="C81" s="58" t="s">
        <v>934</v>
      </c>
      <c r="D81" s="36"/>
    </row>
    <row r="82" spans="2:4" x14ac:dyDescent="0.35">
      <c r="B82" s="58">
        <v>78</v>
      </c>
      <c r="C82" s="58" t="s">
        <v>935</v>
      </c>
      <c r="D82" s="36"/>
    </row>
    <row r="83" spans="2:4" x14ac:dyDescent="0.35">
      <c r="B83" s="58">
        <v>79</v>
      </c>
      <c r="C83" s="58" t="s">
        <v>936</v>
      </c>
      <c r="D83" s="36"/>
    </row>
    <row r="84" spans="2:4" x14ac:dyDescent="0.35">
      <c r="B84" s="58">
        <v>80</v>
      </c>
      <c r="C84" s="58" t="s">
        <v>937</v>
      </c>
      <c r="D84" s="36"/>
    </row>
    <row r="85" spans="2:4" x14ac:dyDescent="0.35">
      <c r="B85" s="58">
        <v>81</v>
      </c>
      <c r="C85" s="58" t="s">
        <v>938</v>
      </c>
      <c r="D85" s="36"/>
    </row>
    <row r="86" spans="2:4" x14ac:dyDescent="0.35">
      <c r="B86" s="58">
        <v>82</v>
      </c>
      <c r="C86" s="58" t="s">
        <v>939</v>
      </c>
      <c r="D86" s="36"/>
    </row>
    <row r="87" spans="2:4" x14ac:dyDescent="0.35">
      <c r="B87" s="58">
        <v>83</v>
      </c>
      <c r="C87" s="58" t="s">
        <v>940</v>
      </c>
      <c r="D87" s="36"/>
    </row>
    <row r="88" spans="2:4" x14ac:dyDescent="0.35">
      <c r="B88" s="58">
        <v>84</v>
      </c>
      <c r="C88" s="58" t="s">
        <v>941</v>
      </c>
      <c r="D88" s="36"/>
    </row>
    <row r="89" spans="2:4" x14ac:dyDescent="0.35">
      <c r="B89" s="58">
        <v>85</v>
      </c>
      <c r="C89" s="58" t="s">
        <v>942</v>
      </c>
      <c r="D89" s="36"/>
    </row>
    <row r="90" spans="2:4" x14ac:dyDescent="0.35">
      <c r="B90" s="58">
        <v>86</v>
      </c>
      <c r="C90" s="58" t="s">
        <v>943</v>
      </c>
      <c r="D90" s="36"/>
    </row>
    <row r="91" spans="2:4" x14ac:dyDescent="0.35">
      <c r="B91" s="58">
        <v>87</v>
      </c>
      <c r="C91" s="58" t="s">
        <v>944</v>
      </c>
      <c r="D91" s="36"/>
    </row>
    <row r="92" spans="2:4" x14ac:dyDescent="0.35">
      <c r="B92" s="58">
        <v>88</v>
      </c>
      <c r="C92" s="58" t="s">
        <v>945</v>
      </c>
      <c r="D92" s="36"/>
    </row>
    <row r="93" spans="2:4" x14ac:dyDescent="0.35">
      <c r="B93" s="58">
        <v>89</v>
      </c>
      <c r="C93" s="58" t="s">
        <v>946</v>
      </c>
      <c r="D93" s="36"/>
    </row>
    <row r="94" spans="2:4" x14ac:dyDescent="0.35">
      <c r="B94" s="58">
        <v>90</v>
      </c>
      <c r="C94" s="58" t="s">
        <v>947</v>
      </c>
      <c r="D94" s="36"/>
    </row>
    <row r="95" spans="2:4" x14ac:dyDescent="0.35">
      <c r="B95" s="58">
        <v>91</v>
      </c>
      <c r="C95" s="58" t="s">
        <v>948</v>
      </c>
      <c r="D95" s="36"/>
    </row>
    <row r="96" spans="2:4" x14ac:dyDescent="0.35">
      <c r="B96" s="58">
        <v>92</v>
      </c>
      <c r="C96" s="58" t="s">
        <v>949</v>
      </c>
      <c r="D96" s="36"/>
    </row>
    <row r="97" spans="2:4" x14ac:dyDescent="0.35">
      <c r="B97" s="58">
        <v>93</v>
      </c>
      <c r="C97" s="58" t="s">
        <v>950</v>
      </c>
      <c r="D97" s="36"/>
    </row>
    <row r="98" spans="2:4" x14ac:dyDescent="0.35">
      <c r="B98" s="58">
        <v>94</v>
      </c>
      <c r="C98" s="58" t="s">
        <v>951</v>
      </c>
      <c r="D98" s="36"/>
    </row>
    <row r="99" spans="2:4" x14ac:dyDescent="0.35">
      <c r="B99" s="58">
        <v>95</v>
      </c>
      <c r="C99" s="58" t="s">
        <v>952</v>
      </c>
      <c r="D99" s="36"/>
    </row>
    <row r="100" spans="2:4" x14ac:dyDescent="0.35">
      <c r="B100" s="58">
        <v>96</v>
      </c>
      <c r="C100" s="58" t="s">
        <v>953</v>
      </c>
      <c r="D100" s="36"/>
    </row>
    <row r="101" spans="2:4" x14ac:dyDescent="0.35">
      <c r="B101" s="58">
        <v>97</v>
      </c>
      <c r="C101" s="58" t="s">
        <v>954</v>
      </c>
      <c r="D101" s="36"/>
    </row>
    <row r="102" spans="2:4" x14ac:dyDescent="0.35">
      <c r="B102" s="58">
        <v>98</v>
      </c>
      <c r="C102" s="58" t="s">
        <v>955</v>
      </c>
      <c r="D102" s="36"/>
    </row>
    <row r="103" spans="2:4" x14ac:dyDescent="0.35">
      <c r="B103" s="58">
        <v>99</v>
      </c>
      <c r="C103" s="58" t="s">
        <v>956</v>
      </c>
      <c r="D103" s="36"/>
    </row>
    <row r="104" spans="2:4" x14ac:dyDescent="0.35">
      <c r="B104" s="58">
        <v>100</v>
      </c>
      <c r="C104" s="58" t="s">
        <v>957</v>
      </c>
      <c r="D104" s="36"/>
    </row>
    <row r="105" spans="2:4" x14ac:dyDescent="0.35">
      <c r="B105" s="58">
        <v>101</v>
      </c>
      <c r="C105" s="58" t="s">
        <v>958</v>
      </c>
      <c r="D105" s="36"/>
    </row>
    <row r="106" spans="2:4" x14ac:dyDescent="0.35">
      <c r="B106" s="58">
        <v>102</v>
      </c>
      <c r="C106" s="58" t="s">
        <v>959</v>
      </c>
      <c r="D106" s="36"/>
    </row>
    <row r="107" spans="2:4" x14ac:dyDescent="0.35">
      <c r="B107" s="58">
        <v>103</v>
      </c>
      <c r="C107" s="58" t="s">
        <v>960</v>
      </c>
      <c r="D107" s="36"/>
    </row>
    <row r="108" spans="2:4" x14ac:dyDescent="0.35">
      <c r="B108" s="58">
        <v>104</v>
      </c>
      <c r="C108" s="58" t="s">
        <v>961</v>
      </c>
      <c r="D108" s="36"/>
    </row>
    <row r="109" spans="2:4" x14ac:dyDescent="0.35">
      <c r="B109" s="58">
        <v>105</v>
      </c>
      <c r="C109" s="58" t="s">
        <v>962</v>
      </c>
      <c r="D109" s="36"/>
    </row>
    <row r="110" spans="2:4" x14ac:dyDescent="0.35">
      <c r="B110" s="58">
        <v>106</v>
      </c>
      <c r="C110" s="58" t="s">
        <v>963</v>
      </c>
      <c r="D110" s="36"/>
    </row>
    <row r="111" spans="2:4" x14ac:dyDescent="0.35">
      <c r="B111" s="58">
        <v>107</v>
      </c>
      <c r="C111" s="58" t="s">
        <v>964</v>
      </c>
      <c r="D111" s="36"/>
    </row>
    <row r="112" spans="2:4" x14ac:dyDescent="0.35">
      <c r="B112" s="58">
        <v>108</v>
      </c>
      <c r="C112" s="58" t="s">
        <v>965</v>
      </c>
      <c r="D112" s="36"/>
    </row>
    <row r="113" spans="2:4" x14ac:dyDescent="0.35">
      <c r="B113" s="58">
        <v>109</v>
      </c>
      <c r="C113" s="58" t="s">
        <v>966</v>
      </c>
      <c r="D113" s="36"/>
    </row>
    <row r="114" spans="2:4" x14ac:dyDescent="0.35">
      <c r="B114" s="58">
        <v>110</v>
      </c>
      <c r="C114" s="58" t="s">
        <v>967</v>
      </c>
      <c r="D114" s="36"/>
    </row>
    <row r="115" spans="2:4" x14ac:dyDescent="0.35">
      <c r="B115" s="58">
        <v>111</v>
      </c>
      <c r="C115" s="58" t="s">
        <v>968</v>
      </c>
      <c r="D115" s="36"/>
    </row>
    <row r="116" spans="2:4" x14ac:dyDescent="0.35">
      <c r="B116" s="58">
        <v>112</v>
      </c>
      <c r="C116" s="58" t="s">
        <v>969</v>
      </c>
      <c r="D116" s="36"/>
    </row>
    <row r="117" spans="2:4" x14ac:dyDescent="0.35">
      <c r="B117" s="58">
        <v>113</v>
      </c>
      <c r="C117" s="58" t="s">
        <v>970</v>
      </c>
      <c r="D117" s="36"/>
    </row>
    <row r="118" spans="2:4" x14ac:dyDescent="0.35">
      <c r="B118" s="58">
        <v>114</v>
      </c>
      <c r="C118" s="58" t="s">
        <v>971</v>
      </c>
      <c r="D118" s="36"/>
    </row>
    <row r="119" spans="2:4" x14ac:dyDescent="0.35">
      <c r="B119" s="58">
        <v>115</v>
      </c>
      <c r="C119" s="58" t="s">
        <v>972</v>
      </c>
      <c r="D119" s="36"/>
    </row>
    <row r="120" spans="2:4" x14ac:dyDescent="0.35">
      <c r="B120" s="58">
        <v>116</v>
      </c>
      <c r="C120" s="58" t="s">
        <v>973</v>
      </c>
      <c r="D120" s="36"/>
    </row>
    <row r="121" spans="2:4" x14ac:dyDescent="0.35">
      <c r="B121" s="58">
        <v>117</v>
      </c>
      <c r="C121" s="58" t="s">
        <v>974</v>
      </c>
      <c r="D121" s="36"/>
    </row>
    <row r="122" spans="2:4" x14ac:dyDescent="0.35">
      <c r="B122" s="58">
        <v>118</v>
      </c>
      <c r="C122" s="58" t="s">
        <v>975</v>
      </c>
      <c r="D122" s="36"/>
    </row>
    <row r="123" spans="2:4" x14ac:dyDescent="0.35">
      <c r="B123" s="58">
        <v>119</v>
      </c>
      <c r="C123" s="58" t="s">
        <v>976</v>
      </c>
      <c r="D123" s="36"/>
    </row>
    <row r="124" spans="2:4" x14ac:dyDescent="0.35">
      <c r="B124" s="58">
        <v>120</v>
      </c>
      <c r="C124" s="58" t="s">
        <v>977</v>
      </c>
      <c r="D124" s="36"/>
    </row>
    <row r="125" spans="2:4" x14ac:dyDescent="0.35">
      <c r="B125" s="58">
        <v>121</v>
      </c>
      <c r="C125" s="58" t="s">
        <v>978</v>
      </c>
      <c r="D125" s="36"/>
    </row>
    <row r="126" spans="2:4" x14ac:dyDescent="0.35">
      <c r="B126" s="58">
        <v>122</v>
      </c>
      <c r="C126" s="58" t="s">
        <v>979</v>
      </c>
      <c r="D126" s="36"/>
    </row>
    <row r="127" spans="2:4" x14ac:dyDescent="0.35">
      <c r="B127" s="58">
        <v>123</v>
      </c>
      <c r="C127" s="58" t="s">
        <v>980</v>
      </c>
      <c r="D127" s="36"/>
    </row>
    <row r="128" spans="2:4" x14ac:dyDescent="0.35">
      <c r="B128" s="58">
        <v>124</v>
      </c>
      <c r="C128" s="58" t="s">
        <v>981</v>
      </c>
      <c r="D128" s="36"/>
    </row>
    <row r="129" spans="2:4" x14ac:dyDescent="0.35">
      <c r="B129" s="58">
        <v>125</v>
      </c>
      <c r="C129" s="58" t="s">
        <v>982</v>
      </c>
      <c r="D129" s="36"/>
    </row>
    <row r="130" spans="2:4" x14ac:dyDescent="0.35">
      <c r="B130" s="58">
        <v>126</v>
      </c>
      <c r="C130" s="58" t="s">
        <v>983</v>
      </c>
      <c r="D130" s="36"/>
    </row>
    <row r="131" spans="2:4" x14ac:dyDescent="0.35">
      <c r="B131" s="58">
        <v>127</v>
      </c>
      <c r="C131" s="58" t="s">
        <v>984</v>
      </c>
      <c r="D131" s="36"/>
    </row>
    <row r="132" spans="2:4" x14ac:dyDescent="0.35">
      <c r="B132" s="58">
        <v>128</v>
      </c>
      <c r="C132" s="58" t="s">
        <v>985</v>
      </c>
      <c r="D132" s="36"/>
    </row>
    <row r="133" spans="2:4" x14ac:dyDescent="0.35">
      <c r="B133" s="58">
        <v>129</v>
      </c>
      <c r="C133" s="58" t="s">
        <v>986</v>
      </c>
      <c r="D133" s="36"/>
    </row>
    <row r="134" spans="2:4" x14ac:dyDescent="0.35">
      <c r="B134" s="58">
        <v>130</v>
      </c>
      <c r="C134" s="58" t="s">
        <v>987</v>
      </c>
      <c r="D134" s="36"/>
    </row>
    <row r="135" spans="2:4" x14ac:dyDescent="0.35">
      <c r="B135" s="58">
        <v>131</v>
      </c>
      <c r="C135" s="58" t="s">
        <v>988</v>
      </c>
      <c r="D135" s="36"/>
    </row>
    <row r="136" spans="2:4" x14ac:dyDescent="0.35">
      <c r="B136" s="58">
        <v>132</v>
      </c>
      <c r="C136" s="58" t="s">
        <v>989</v>
      </c>
      <c r="D136" s="36"/>
    </row>
    <row r="137" spans="2:4" x14ac:dyDescent="0.35">
      <c r="B137" s="58">
        <v>133</v>
      </c>
      <c r="C137" s="58" t="s">
        <v>990</v>
      </c>
      <c r="D137" s="36"/>
    </row>
    <row r="138" spans="2:4" x14ac:dyDescent="0.35">
      <c r="B138" s="58">
        <v>134</v>
      </c>
      <c r="C138" s="58" t="s">
        <v>991</v>
      </c>
      <c r="D138" s="36"/>
    </row>
    <row r="139" spans="2:4" x14ac:dyDescent="0.35">
      <c r="B139" s="58">
        <v>135</v>
      </c>
      <c r="C139" s="58" t="s">
        <v>992</v>
      </c>
      <c r="D139" s="36"/>
    </row>
    <row r="140" spans="2:4" x14ac:dyDescent="0.35">
      <c r="B140" s="58">
        <v>136</v>
      </c>
      <c r="C140" s="58" t="s">
        <v>993</v>
      </c>
      <c r="D140" s="36"/>
    </row>
    <row r="141" spans="2:4" x14ac:dyDescent="0.35">
      <c r="B141" s="58">
        <v>137</v>
      </c>
      <c r="C141" s="58" t="s">
        <v>994</v>
      </c>
      <c r="D141" s="36"/>
    </row>
    <row r="142" spans="2:4" x14ac:dyDescent="0.35">
      <c r="B142" s="58">
        <v>138</v>
      </c>
      <c r="C142" s="58" t="s">
        <v>995</v>
      </c>
      <c r="D142" s="36"/>
    </row>
    <row r="143" spans="2:4" x14ac:dyDescent="0.35">
      <c r="B143" s="58">
        <v>139</v>
      </c>
      <c r="C143" s="58" t="s">
        <v>996</v>
      </c>
      <c r="D143" s="36"/>
    </row>
    <row r="144" spans="2:4" x14ac:dyDescent="0.35">
      <c r="B144" s="58">
        <v>140</v>
      </c>
      <c r="C144" s="58" t="s">
        <v>997</v>
      </c>
      <c r="D144" s="36"/>
    </row>
    <row r="145" spans="2:4" x14ac:dyDescent="0.35">
      <c r="B145" s="58">
        <v>141</v>
      </c>
      <c r="C145" s="58" t="s">
        <v>998</v>
      </c>
      <c r="D145" s="36"/>
    </row>
    <row r="146" spans="2:4" x14ac:dyDescent="0.35">
      <c r="B146" s="58">
        <v>142</v>
      </c>
      <c r="C146" s="58" t="s">
        <v>999</v>
      </c>
      <c r="D146" s="36"/>
    </row>
    <row r="147" spans="2:4" x14ac:dyDescent="0.35">
      <c r="B147" s="58">
        <v>143</v>
      </c>
      <c r="C147" s="58" t="s">
        <v>1000</v>
      </c>
      <c r="D147" s="36"/>
    </row>
    <row r="148" spans="2:4" x14ac:dyDescent="0.35">
      <c r="B148" s="58">
        <v>144</v>
      </c>
      <c r="C148" s="58" t="s">
        <v>1001</v>
      </c>
      <c r="D148" s="36"/>
    </row>
    <row r="149" spans="2:4" x14ac:dyDescent="0.35">
      <c r="B149" s="58">
        <v>145</v>
      </c>
      <c r="C149" s="58" t="s">
        <v>1002</v>
      </c>
      <c r="D149" s="36"/>
    </row>
    <row r="150" spans="2:4" x14ac:dyDescent="0.35">
      <c r="B150" s="58">
        <v>146</v>
      </c>
      <c r="C150" s="58" t="s">
        <v>1003</v>
      </c>
      <c r="D150" s="36"/>
    </row>
    <row r="151" spans="2:4" x14ac:dyDescent="0.35">
      <c r="B151" s="58">
        <v>147</v>
      </c>
      <c r="C151" s="58" t="s">
        <v>1004</v>
      </c>
      <c r="D151" s="36"/>
    </row>
    <row r="152" spans="2:4" x14ac:dyDescent="0.35">
      <c r="B152" s="58">
        <v>148</v>
      </c>
      <c r="C152" s="58" t="s">
        <v>1005</v>
      </c>
      <c r="D152" s="36"/>
    </row>
    <row r="153" spans="2:4" x14ac:dyDescent="0.35">
      <c r="B153" s="58">
        <v>149</v>
      </c>
      <c r="C153" s="58" t="s">
        <v>1006</v>
      </c>
      <c r="D153" s="36"/>
    </row>
    <row r="154" spans="2:4" x14ac:dyDescent="0.35">
      <c r="B154" s="58">
        <v>150</v>
      </c>
      <c r="C154" s="58" t="s">
        <v>1007</v>
      </c>
      <c r="D154" s="36"/>
    </row>
    <row r="155" spans="2:4" x14ac:dyDescent="0.35">
      <c r="B155" s="58">
        <v>151</v>
      </c>
      <c r="C155" s="58" t="s">
        <v>1008</v>
      </c>
      <c r="D155" s="36"/>
    </row>
    <row r="156" spans="2:4" x14ac:dyDescent="0.35">
      <c r="B156" s="58">
        <v>152</v>
      </c>
      <c r="C156" s="58" t="s">
        <v>1009</v>
      </c>
      <c r="D156" s="36"/>
    </row>
    <row r="157" spans="2:4" x14ac:dyDescent="0.35">
      <c r="B157" s="58">
        <v>153</v>
      </c>
      <c r="C157" s="58" t="s">
        <v>1010</v>
      </c>
      <c r="D157" s="36"/>
    </row>
    <row r="158" spans="2:4" x14ac:dyDescent="0.35">
      <c r="B158" s="58">
        <v>154</v>
      </c>
      <c r="C158" s="58" t="s">
        <v>1011</v>
      </c>
      <c r="D158" s="36"/>
    </row>
    <row r="159" spans="2:4" x14ac:dyDescent="0.35">
      <c r="B159" s="58">
        <v>155</v>
      </c>
      <c r="C159" s="58" t="s">
        <v>1012</v>
      </c>
      <c r="D159" s="36"/>
    </row>
    <row r="160" spans="2:4" x14ac:dyDescent="0.35">
      <c r="B160" s="58">
        <v>156</v>
      </c>
      <c r="C160" s="58" t="s">
        <v>1013</v>
      </c>
      <c r="D160" s="36"/>
    </row>
    <row r="161" spans="2:4" x14ac:dyDescent="0.35">
      <c r="B161" s="58">
        <v>157</v>
      </c>
      <c r="C161" s="58" t="s">
        <v>1014</v>
      </c>
      <c r="D161" s="36"/>
    </row>
    <row r="162" spans="2:4" x14ac:dyDescent="0.35">
      <c r="B162" s="58">
        <v>158</v>
      </c>
      <c r="C162" s="58" t="s">
        <v>1015</v>
      </c>
      <c r="D162" s="36"/>
    </row>
    <row r="163" spans="2:4" x14ac:dyDescent="0.35">
      <c r="B163" s="58">
        <v>159</v>
      </c>
      <c r="C163" s="58" t="s">
        <v>1016</v>
      </c>
      <c r="D163" s="36"/>
    </row>
    <row r="164" spans="2:4" x14ac:dyDescent="0.35">
      <c r="B164" s="58">
        <v>160</v>
      </c>
      <c r="C164" s="58" t="s">
        <v>1017</v>
      </c>
      <c r="D164" s="36"/>
    </row>
    <row r="165" spans="2:4" x14ac:dyDescent="0.35">
      <c r="B165" s="58">
        <v>161</v>
      </c>
      <c r="C165" s="58" t="s">
        <v>1018</v>
      </c>
      <c r="D165" s="36"/>
    </row>
    <row r="166" spans="2:4" x14ac:dyDescent="0.35">
      <c r="B166" s="58">
        <v>162</v>
      </c>
      <c r="C166" s="58" t="s">
        <v>1019</v>
      </c>
      <c r="D166" s="36"/>
    </row>
    <row r="167" spans="2:4" x14ac:dyDescent="0.35">
      <c r="B167" s="58">
        <v>163</v>
      </c>
      <c r="C167" s="58" t="s">
        <v>1020</v>
      </c>
      <c r="D167" s="36"/>
    </row>
    <row r="168" spans="2:4" x14ac:dyDescent="0.35">
      <c r="B168" s="58">
        <v>164</v>
      </c>
      <c r="C168" s="58" t="s">
        <v>1021</v>
      </c>
      <c r="D168" s="36"/>
    </row>
    <row r="169" spans="2:4" x14ac:dyDescent="0.35">
      <c r="B169" s="58">
        <v>165</v>
      </c>
      <c r="C169" s="58" t="s">
        <v>1022</v>
      </c>
      <c r="D169" s="36"/>
    </row>
    <row r="170" spans="2:4" x14ac:dyDescent="0.35">
      <c r="B170" s="58">
        <v>166</v>
      </c>
      <c r="C170" s="58" t="s">
        <v>1023</v>
      </c>
      <c r="D170" s="36"/>
    </row>
    <row r="171" spans="2:4" x14ac:dyDescent="0.35">
      <c r="B171" s="58">
        <v>167</v>
      </c>
      <c r="C171" s="58" t="s">
        <v>1024</v>
      </c>
      <c r="D171" s="36"/>
    </row>
    <row r="172" spans="2:4" x14ac:dyDescent="0.35">
      <c r="B172" s="58">
        <v>168</v>
      </c>
      <c r="C172" s="58" t="s">
        <v>1025</v>
      </c>
      <c r="D172" s="36"/>
    </row>
    <row r="173" spans="2:4" x14ac:dyDescent="0.35">
      <c r="B173" s="58">
        <v>169</v>
      </c>
      <c r="C173" s="58" t="s">
        <v>1026</v>
      </c>
      <c r="D173" s="36"/>
    </row>
    <row r="174" spans="2:4" x14ac:dyDescent="0.35">
      <c r="B174" s="58">
        <v>170</v>
      </c>
      <c r="C174" s="58" t="s">
        <v>1027</v>
      </c>
      <c r="D174" s="36"/>
    </row>
    <row r="175" spans="2:4" x14ac:dyDescent="0.35">
      <c r="B175" s="58">
        <v>171</v>
      </c>
      <c r="C175" s="58" t="s">
        <v>1028</v>
      </c>
      <c r="D175" s="36"/>
    </row>
    <row r="176" spans="2:4" x14ac:dyDescent="0.35">
      <c r="B176" s="58">
        <v>172</v>
      </c>
      <c r="C176" s="58" t="s">
        <v>1029</v>
      </c>
      <c r="D176" s="36"/>
    </row>
    <row r="177" spans="2:4" x14ac:dyDescent="0.35">
      <c r="B177" s="58">
        <v>173</v>
      </c>
      <c r="C177" s="58" t="s">
        <v>1030</v>
      </c>
      <c r="D177" s="36"/>
    </row>
    <row r="178" spans="2:4" x14ac:dyDescent="0.35">
      <c r="B178" s="58">
        <v>174</v>
      </c>
      <c r="C178" s="58" t="s">
        <v>1031</v>
      </c>
      <c r="D178" s="36"/>
    </row>
    <row r="179" spans="2:4" x14ac:dyDescent="0.35">
      <c r="B179" s="58">
        <v>175</v>
      </c>
      <c r="C179" s="58" t="s">
        <v>1032</v>
      </c>
      <c r="D179" s="36"/>
    </row>
    <row r="180" spans="2:4" x14ac:dyDescent="0.35">
      <c r="B180" s="58">
        <v>176</v>
      </c>
      <c r="C180" s="58" t="s">
        <v>1033</v>
      </c>
      <c r="D180" s="36"/>
    </row>
    <row r="181" spans="2:4" x14ac:dyDescent="0.35">
      <c r="B181" s="58">
        <v>177</v>
      </c>
      <c r="C181" s="58" t="s">
        <v>1034</v>
      </c>
      <c r="D181" s="36"/>
    </row>
    <row r="182" spans="2:4" x14ac:dyDescent="0.35">
      <c r="B182" s="58">
        <v>178</v>
      </c>
      <c r="C182" s="58" t="s">
        <v>1035</v>
      </c>
      <c r="D182" s="36"/>
    </row>
    <row r="183" spans="2:4" x14ac:dyDescent="0.35">
      <c r="B183" s="58">
        <v>179</v>
      </c>
      <c r="C183" s="58" t="s">
        <v>1036</v>
      </c>
      <c r="D183" s="36"/>
    </row>
    <row r="184" spans="2:4" x14ac:dyDescent="0.35">
      <c r="B184" s="58">
        <v>180</v>
      </c>
      <c r="C184" s="58" t="s">
        <v>1037</v>
      </c>
      <c r="D184" s="36"/>
    </row>
    <row r="185" spans="2:4" x14ac:dyDescent="0.35">
      <c r="B185" s="58">
        <v>181</v>
      </c>
      <c r="C185" s="58" t="s">
        <v>1038</v>
      </c>
      <c r="D185" s="36"/>
    </row>
    <row r="186" spans="2:4" x14ac:dyDescent="0.35">
      <c r="B186" s="58">
        <v>182</v>
      </c>
      <c r="C186" s="58" t="s">
        <v>1039</v>
      </c>
      <c r="D186" s="36"/>
    </row>
    <row r="187" spans="2:4" x14ac:dyDescent="0.35">
      <c r="B187" s="58">
        <v>183</v>
      </c>
      <c r="C187" s="58" t="s">
        <v>1040</v>
      </c>
      <c r="D187" s="36"/>
    </row>
    <row r="188" spans="2:4" x14ac:dyDescent="0.35">
      <c r="B188" s="58">
        <v>184</v>
      </c>
      <c r="C188" s="58" t="s">
        <v>1041</v>
      </c>
      <c r="D188" s="36"/>
    </row>
    <row r="189" spans="2:4" x14ac:dyDescent="0.35">
      <c r="B189" s="58">
        <v>185</v>
      </c>
      <c r="C189" s="58" t="s">
        <v>1042</v>
      </c>
      <c r="D189" s="36"/>
    </row>
    <row r="190" spans="2:4" x14ac:dyDescent="0.35">
      <c r="B190" s="58">
        <v>186</v>
      </c>
      <c r="C190" s="58" t="s">
        <v>1043</v>
      </c>
      <c r="D190" s="36"/>
    </row>
    <row r="191" spans="2:4" x14ac:dyDescent="0.35">
      <c r="B191" s="58">
        <v>187</v>
      </c>
      <c r="C191" s="58" t="s">
        <v>1044</v>
      </c>
      <c r="D191" s="36"/>
    </row>
    <row r="192" spans="2:4" x14ac:dyDescent="0.35">
      <c r="B192" s="58">
        <v>188</v>
      </c>
      <c r="C192" s="58" t="s">
        <v>1045</v>
      </c>
      <c r="D192" s="36"/>
    </row>
    <row r="193" spans="2:4" x14ac:dyDescent="0.35">
      <c r="B193" s="58">
        <v>189</v>
      </c>
      <c r="C193" s="58" t="s">
        <v>1046</v>
      </c>
      <c r="D193" s="36"/>
    </row>
    <row r="194" spans="2:4" x14ac:dyDescent="0.35">
      <c r="B194" s="58">
        <v>190</v>
      </c>
      <c r="C194" s="58" t="s">
        <v>1047</v>
      </c>
      <c r="D194" s="36"/>
    </row>
    <row r="195" spans="2:4" x14ac:dyDescent="0.35">
      <c r="B195" s="58">
        <v>191</v>
      </c>
      <c r="C195" s="58" t="s">
        <v>1048</v>
      </c>
      <c r="D195" s="36"/>
    </row>
    <row r="196" spans="2:4" x14ac:dyDescent="0.35">
      <c r="B196" s="58">
        <v>192</v>
      </c>
      <c r="C196" s="58" t="s">
        <v>1049</v>
      </c>
      <c r="D196" s="36"/>
    </row>
    <row r="197" spans="2:4" x14ac:dyDescent="0.35">
      <c r="B197" s="58">
        <v>193</v>
      </c>
      <c r="C197" s="58" t="s">
        <v>1050</v>
      </c>
      <c r="D197" s="36"/>
    </row>
    <row r="198" spans="2:4" x14ac:dyDescent="0.35">
      <c r="B198" s="58">
        <v>194</v>
      </c>
      <c r="C198" s="58" t="s">
        <v>1051</v>
      </c>
      <c r="D198" s="36"/>
    </row>
    <row r="199" spans="2:4" x14ac:dyDescent="0.35">
      <c r="B199" s="58">
        <v>195</v>
      </c>
      <c r="C199" s="58" t="s">
        <v>1052</v>
      </c>
      <c r="D199" s="36"/>
    </row>
    <row r="200" spans="2:4" x14ac:dyDescent="0.35">
      <c r="B200" s="58">
        <v>196</v>
      </c>
      <c r="C200" s="58" t="s">
        <v>1053</v>
      </c>
      <c r="D200" s="36"/>
    </row>
    <row r="201" spans="2:4" x14ac:dyDescent="0.35">
      <c r="B201" s="58">
        <v>197</v>
      </c>
      <c r="C201" s="58" t="s">
        <v>1054</v>
      </c>
      <c r="D201" s="36"/>
    </row>
    <row r="202" spans="2:4" x14ac:dyDescent="0.35">
      <c r="B202" s="58">
        <v>198</v>
      </c>
      <c r="C202" s="58" t="s">
        <v>1055</v>
      </c>
      <c r="D202" s="36"/>
    </row>
    <row r="203" spans="2:4" x14ac:dyDescent="0.35">
      <c r="B203" s="58">
        <v>199</v>
      </c>
      <c r="C203" s="58" t="s">
        <v>1056</v>
      </c>
      <c r="D203" s="36"/>
    </row>
    <row r="204" spans="2:4" x14ac:dyDescent="0.35">
      <c r="B204" s="58">
        <v>200</v>
      </c>
      <c r="C204" s="58" t="s">
        <v>1057</v>
      </c>
      <c r="D204" s="36"/>
    </row>
    <row r="205" spans="2:4" x14ac:dyDescent="0.35">
      <c r="B205" s="58">
        <v>201</v>
      </c>
      <c r="C205" s="58" t="s">
        <v>1058</v>
      </c>
      <c r="D205" s="36"/>
    </row>
    <row r="206" spans="2:4" x14ac:dyDescent="0.35">
      <c r="B206" s="58">
        <v>202</v>
      </c>
      <c r="C206" s="58" t="s">
        <v>1059</v>
      </c>
      <c r="D206" s="36"/>
    </row>
    <row r="207" spans="2:4" x14ac:dyDescent="0.35">
      <c r="B207" s="58">
        <v>203</v>
      </c>
      <c r="C207" s="58" t="s">
        <v>1060</v>
      </c>
      <c r="D207" s="36"/>
    </row>
    <row r="208" spans="2:4" x14ac:dyDescent="0.35">
      <c r="B208" s="58">
        <v>204</v>
      </c>
      <c r="C208" s="58" t="s">
        <v>1061</v>
      </c>
      <c r="D208" s="36"/>
    </row>
    <row r="209" spans="2:4" x14ac:dyDescent="0.35">
      <c r="B209" s="58">
        <v>205</v>
      </c>
      <c r="C209" s="58" t="s">
        <v>1062</v>
      </c>
      <c r="D209" s="36"/>
    </row>
    <row r="210" spans="2:4" x14ac:dyDescent="0.35">
      <c r="B210" s="58">
        <v>206</v>
      </c>
      <c r="C210" s="58" t="s">
        <v>1063</v>
      </c>
      <c r="D210" s="36"/>
    </row>
    <row r="211" spans="2:4" x14ac:dyDescent="0.35">
      <c r="B211" s="58">
        <v>207</v>
      </c>
      <c r="C211" s="58" t="s">
        <v>1064</v>
      </c>
      <c r="D211" s="36"/>
    </row>
    <row r="212" spans="2:4" x14ac:dyDescent="0.35">
      <c r="B212" s="58">
        <v>208</v>
      </c>
      <c r="C212" s="58" t="s">
        <v>1065</v>
      </c>
      <c r="D212" s="36"/>
    </row>
    <row r="213" spans="2:4" x14ac:dyDescent="0.35">
      <c r="B213" s="58">
        <v>209</v>
      </c>
      <c r="C213" s="58" t="s">
        <v>1066</v>
      </c>
      <c r="D213" s="36"/>
    </row>
    <row r="214" spans="2:4" x14ac:dyDescent="0.35">
      <c r="B214" s="58">
        <v>210</v>
      </c>
      <c r="C214" s="58" t="s">
        <v>1067</v>
      </c>
      <c r="D214" s="36"/>
    </row>
    <row r="215" spans="2:4" x14ac:dyDescent="0.35">
      <c r="B215" s="58">
        <v>211</v>
      </c>
      <c r="C215" s="58" t="s">
        <v>1068</v>
      </c>
      <c r="D215" s="36"/>
    </row>
    <row r="216" spans="2:4" x14ac:dyDescent="0.35">
      <c r="B216" s="58">
        <v>212</v>
      </c>
      <c r="C216" s="58" t="s">
        <v>1069</v>
      </c>
      <c r="D216" s="36"/>
    </row>
    <row r="217" spans="2:4" x14ac:dyDescent="0.35">
      <c r="B217" s="58">
        <v>213</v>
      </c>
      <c r="C217" s="58" t="s">
        <v>1070</v>
      </c>
      <c r="D217" s="36"/>
    </row>
    <row r="218" spans="2:4" x14ac:dyDescent="0.35">
      <c r="B218" s="58">
        <v>214</v>
      </c>
      <c r="C218" s="58" t="s">
        <v>1071</v>
      </c>
      <c r="D218" s="36"/>
    </row>
    <row r="219" spans="2:4" x14ac:dyDescent="0.35">
      <c r="B219" s="58">
        <v>215</v>
      </c>
      <c r="C219" s="58" t="s">
        <v>1072</v>
      </c>
      <c r="D219" s="36"/>
    </row>
    <row r="220" spans="2:4" x14ac:dyDescent="0.35">
      <c r="B220" s="58">
        <v>216</v>
      </c>
      <c r="C220" s="58" t="s">
        <v>1073</v>
      </c>
      <c r="D220" s="36"/>
    </row>
    <row r="221" spans="2:4" x14ac:dyDescent="0.35">
      <c r="B221" s="58">
        <v>217</v>
      </c>
      <c r="C221" s="58" t="s">
        <v>1074</v>
      </c>
      <c r="D221" s="36"/>
    </row>
    <row r="222" spans="2:4" x14ac:dyDescent="0.35">
      <c r="B222" s="58">
        <v>218</v>
      </c>
      <c r="C222" s="58" t="s">
        <v>1075</v>
      </c>
      <c r="D222" s="36"/>
    </row>
    <row r="223" spans="2:4" x14ac:dyDescent="0.35">
      <c r="B223" s="58">
        <v>219</v>
      </c>
      <c r="C223" s="58" t="s">
        <v>1076</v>
      </c>
      <c r="D223" s="36"/>
    </row>
    <row r="224" spans="2:4" x14ac:dyDescent="0.35">
      <c r="B224" s="58">
        <v>220</v>
      </c>
      <c r="C224" s="58" t="s">
        <v>1077</v>
      </c>
      <c r="D224" s="36"/>
    </row>
    <row r="225" spans="2:4" x14ac:dyDescent="0.35">
      <c r="B225" s="58">
        <v>221</v>
      </c>
      <c r="C225" s="58" t="s">
        <v>1078</v>
      </c>
      <c r="D225" s="36"/>
    </row>
    <row r="226" spans="2:4" x14ac:dyDescent="0.35">
      <c r="B226" s="58">
        <v>222</v>
      </c>
      <c r="C226" s="58" t="s">
        <v>1079</v>
      </c>
      <c r="D226" s="36"/>
    </row>
    <row r="227" spans="2:4" x14ac:dyDescent="0.35">
      <c r="B227" s="58">
        <v>223</v>
      </c>
      <c r="C227" s="58" t="s">
        <v>1080</v>
      </c>
      <c r="D227" s="36"/>
    </row>
    <row r="228" spans="2:4" x14ac:dyDescent="0.35">
      <c r="B228" s="58">
        <v>224</v>
      </c>
      <c r="C228" s="58" t="s">
        <v>1081</v>
      </c>
      <c r="D228" s="36"/>
    </row>
    <row r="229" spans="2:4" x14ac:dyDescent="0.35">
      <c r="B229" s="58">
        <v>225</v>
      </c>
      <c r="C229" s="58" t="s">
        <v>1082</v>
      </c>
      <c r="D229" s="36"/>
    </row>
    <row r="230" spans="2:4" x14ac:dyDescent="0.35">
      <c r="B230" s="58">
        <v>226</v>
      </c>
      <c r="C230" s="58" t="s">
        <v>1083</v>
      </c>
      <c r="D230" s="36"/>
    </row>
    <row r="231" spans="2:4" x14ac:dyDescent="0.35">
      <c r="B231" s="58">
        <v>227</v>
      </c>
      <c r="C231" s="58" t="s">
        <v>1084</v>
      </c>
      <c r="D231" s="36"/>
    </row>
    <row r="232" spans="2:4" x14ac:dyDescent="0.35">
      <c r="B232" s="58">
        <v>228</v>
      </c>
      <c r="C232" s="58" t="s">
        <v>1085</v>
      </c>
      <c r="D232" s="36"/>
    </row>
    <row r="233" spans="2:4" x14ac:dyDescent="0.35">
      <c r="B233" s="58">
        <v>229</v>
      </c>
      <c r="C233" s="58" t="s">
        <v>1086</v>
      </c>
      <c r="D233" s="36"/>
    </row>
    <row r="234" spans="2:4" x14ac:dyDescent="0.35">
      <c r="B234" s="58">
        <v>230</v>
      </c>
      <c r="C234" s="58" t="s">
        <v>1087</v>
      </c>
      <c r="D234" s="36"/>
    </row>
    <row r="235" spans="2:4" x14ac:dyDescent="0.35">
      <c r="B235" s="58">
        <v>231</v>
      </c>
      <c r="C235" s="58" t="s">
        <v>1088</v>
      </c>
      <c r="D235" s="36"/>
    </row>
    <row r="236" spans="2:4" x14ac:dyDescent="0.35">
      <c r="B236" s="33"/>
      <c r="C236" s="32"/>
      <c r="D236" s="36"/>
    </row>
    <row r="237" spans="2:4" x14ac:dyDescent="0.35">
      <c r="B237" s="33"/>
      <c r="C237" s="32"/>
      <c r="D237" s="36"/>
    </row>
    <row r="238" spans="2:4" ht="15" thickBot="1" x14ac:dyDescent="0.4">
      <c r="B238" s="34"/>
      <c r="C238" s="35"/>
      <c r="D238" s="37"/>
    </row>
  </sheetData>
  <mergeCells count="2">
    <mergeCell ref="C2:D2"/>
    <mergeCell ref="C3:D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5443E-5F5E-4C77-B772-E701D96228D7}">
  <sheetPr>
    <tabColor rgb="FF4472C4"/>
  </sheetPr>
  <dimension ref="A1:G25"/>
  <sheetViews>
    <sheetView zoomScale="70" zoomScaleNormal="70" workbookViewId="0">
      <selection activeCell="A12" sqref="A7:G12"/>
    </sheetView>
  </sheetViews>
  <sheetFormatPr defaultRowHeight="14.5" x14ac:dyDescent="0.35"/>
  <cols>
    <col min="1" max="1" width="71.1796875" bestFit="1" customWidth="1"/>
    <col min="2" max="2" width="22.1796875" bestFit="1" customWidth="1"/>
    <col min="3" max="3" width="16" bestFit="1" customWidth="1"/>
    <col min="4" max="4" width="15.453125" bestFit="1" customWidth="1"/>
    <col min="5" max="5" width="10.54296875" customWidth="1"/>
    <col min="6" max="6" width="14.453125" customWidth="1"/>
    <col min="7" max="7" width="68.81640625" bestFit="1" customWidth="1"/>
  </cols>
  <sheetData>
    <row r="1" spans="1:7" ht="43.5" x14ac:dyDescent="0.35">
      <c r="A1" s="63" t="s">
        <v>1122</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B5" si="0">IF(OR(ISNUMBER(SEARCH("{", A3)),ISNUMBER(SEARCH("[", A3))), "", IFERROR(MID(A3, SEARCH("""", A3) +1, SEARCH("""", A3, SEARCH("""",A3) +1) - SEARCH("""", A3) -1), ""))</f>
        <v/>
      </c>
      <c r="C3" s="62" t="str">
        <f>IF(B3="", "", VLOOKUP(B3,'API Data Dictionary'!C:N,12,FALSE))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1349</v>
      </c>
      <c r="B4" s="62" t="s">
        <v>1359</v>
      </c>
      <c r="C4" s="62" t="s">
        <v>1359</v>
      </c>
      <c r="D4" s="62" t="s">
        <v>1359</v>
      </c>
      <c r="E4" s="62" t="s">
        <v>1359</v>
      </c>
      <c r="F4" s="62" t="s">
        <v>1359</v>
      </c>
      <c r="G4" s="62" t="s">
        <v>1359</v>
      </c>
    </row>
    <row r="5" spans="1:7" x14ac:dyDescent="0.35">
      <c r="A5" s="64" t="s">
        <v>1120</v>
      </c>
      <c r="B5" s="62" t="str">
        <f t="shared" si="0"/>
        <v/>
      </c>
      <c r="C5" s="62" t="str">
        <f>IF(B5="", "", VLOOKUP(B5,'API Data Dictionary'!C:N,12,FALSE))</f>
        <v/>
      </c>
      <c r="D5" s="62" t="str">
        <f>IF(B5="", "", VLOOKUP(B5,'API Data Dictionary'!C:D,2,FALSE))</f>
        <v/>
      </c>
      <c r="E5" s="62" t="str">
        <f>IF(IF(B5="", "", VLOOKUP(B5,'API Data Dictionary'!C:E,3,FALSE))=0, "", IF(B5="", "", VLOOKUP(B5,'API Data Dictionary'!C:E,3,FALSE)))</f>
        <v/>
      </c>
      <c r="F5" s="62" t="str">
        <f>IF(IF(B5="", "", VLOOKUP(B5,'API Data Dictionary'!C:F,4,FALSE))=0, "", IF(B5="", "", VLOOKUP(B5,'API Data Dictionary'!C:F,4,FALSE)))</f>
        <v/>
      </c>
      <c r="G5" s="62" t="str">
        <f>IF(IF(B5="", "", VLOOKUP(B5,'API Data Dictionary'!C:G,5,FALSE))=0, "", IF(B5="", "", VLOOKUP(B5,'API Data Dictionary'!C:G,5,FALSE)))</f>
        <v/>
      </c>
    </row>
    <row r="7" spans="1:7" x14ac:dyDescent="0.35">
      <c r="A7" s="222" t="s">
        <v>1626</v>
      </c>
      <c r="B7" s="222"/>
      <c r="C7" s="222"/>
      <c r="D7" s="222"/>
      <c r="E7" s="222"/>
      <c r="F7" s="222"/>
      <c r="G7" s="222"/>
    </row>
    <row r="8" spans="1:7" x14ac:dyDescent="0.35">
      <c r="A8" s="64" t="s">
        <v>1094</v>
      </c>
      <c r="B8" s="62" t="str">
        <f t="shared" ref="B8" si="1">IF(OR(ISNUMBER(SEARCH("{", A8)),ISNUMBER(SEARCH("[", A8))), "", IFERROR(MID(A8, SEARCH("""", A8) +1, SEARCH("""", A8, SEARCH("""",A8) +1) - SEARCH("""", A8) -1), ""))</f>
        <v/>
      </c>
      <c r="C8" s="62" t="str">
        <f>IF(B8="", "", VLOOKUP(B8,'API Data Dictionary'!C:N,12,FALSE))</f>
        <v/>
      </c>
      <c r="D8" s="62" t="str">
        <f>IF(B8="", "", VLOOKUP(B8,'API Data Dictionary'!C:D,2,FALSE))</f>
        <v/>
      </c>
      <c r="E8" s="62" t="str">
        <f>IF(IF(B8="", "", VLOOKUP(B8,'API Data Dictionary'!C:E,3,FALSE))=0, "", IF(B8="", "", VLOOKUP(B8,'API Data Dictionary'!C:E,3,FALSE)))</f>
        <v/>
      </c>
      <c r="F8" s="62" t="str">
        <f>IF(IF(B8="", "", VLOOKUP(B8,'API Data Dictionary'!C:F,4,FALSE))=0, "", IF(B8="", "", VLOOKUP(B8,'API Data Dictionary'!C:F,4,FALSE)))</f>
        <v/>
      </c>
      <c r="G8" s="62" t="str">
        <f>IF(IF(B8="", "", VLOOKUP(B8,'API Data Dictionary'!C:G,5,FALSE))=0, "", IF(B8="", "", VLOOKUP(B8,'API Data Dictionary'!C:G,5,FALSE)))</f>
        <v/>
      </c>
    </row>
    <row r="9" spans="1:7" x14ac:dyDescent="0.35">
      <c r="A9" s="64" t="s">
        <v>1350</v>
      </c>
      <c r="B9" s="62" t="str">
        <f t="shared" ref="B9:B11" si="2">IF(OR(ISNUMBER(SEARCH("{", A9)),ISNUMBER(SEARCH("[", A9))), "", IFERROR(MID(A9, SEARCH("""", A9) +1, SEARCH("""", A9, SEARCH("""",A9) +1) - SEARCH("""", A9) -1), ""))</f>
        <v>success</v>
      </c>
      <c r="C9" s="62" t="s">
        <v>68</v>
      </c>
      <c r="D9" s="62" t="str">
        <f>IF(B9="", "", VLOOKUP(B9,'API Data Dictionary'!C:D,2,FALSE))</f>
        <v>string - Boolean</v>
      </c>
      <c r="E9" s="62">
        <f>IF(IF(B9="", "", VLOOKUP(B9,'API Data Dictionary'!C:E,3,FALSE))=0, "", IF(B9="", "", VLOOKUP(B9,'API Data Dictionary'!C:E,3,FALSE)))</f>
        <v>100</v>
      </c>
      <c r="F9" s="62" t="str">
        <f>IF(IF(B9="", "", VLOOKUP(B9,'API Data Dictionary'!C:F,4,FALSE))=0, "", IF(B9="", "", VLOOKUP(B9,'API Data Dictionary'!C:F,4,FALSE)))</f>
        <v/>
      </c>
      <c r="G9" s="62" t="str">
        <f>IF(IF(B9="", "", VLOOKUP(B9,'API Data Dictionary'!C:G,5,FALSE))=0, "", IF(B9="", "", VLOOKUP(B9,'API Data Dictionary'!C:G,5,FALSE)))</f>
        <v>Returns true when successful call/connection</v>
      </c>
    </row>
    <row r="10" spans="1:7" x14ac:dyDescent="0.35">
      <c r="A10" s="64" t="s">
        <v>1351</v>
      </c>
      <c r="B10" s="62" t="str">
        <f t="shared" si="2"/>
        <v>payload</v>
      </c>
      <c r="C10" s="62" t="s">
        <v>68</v>
      </c>
      <c r="D10" s="62" t="str">
        <f>IF(B10="", "", VLOOKUP(B10,'API Data Dictionary'!C:D,2,FALSE))</f>
        <v>string</v>
      </c>
      <c r="E10" s="62">
        <f>IF(IF(B10="", "", VLOOKUP(B10,'API Data Dictionary'!C:E,3,FALSE))=0, "", IF(B10="", "", VLOOKUP(B10,'API Data Dictionary'!C:E,3,FALSE)))</f>
        <v>100</v>
      </c>
      <c r="F10" s="62" t="str">
        <f>IF(IF(B10="", "", VLOOKUP(B10,'API Data Dictionary'!C:F,4,FALSE))=0, "", IF(B10="", "", VLOOKUP(B10,'API Data Dictionary'!C:F,4,FALSE)))</f>
        <v/>
      </c>
      <c r="G10" s="62" t="str">
        <f>IF(IF(B10="", "", VLOOKUP(B10,'API Data Dictionary'!C:G,5,FALSE))=0, "", IF(B10="", "", VLOOKUP(B10,'API Data Dictionary'!C:G,5,FALSE)))</f>
        <v>Returns healthy when connection has worked properly</v>
      </c>
    </row>
    <row r="11" spans="1:7" x14ac:dyDescent="0.35">
      <c r="A11" s="64" t="s">
        <v>1352</v>
      </c>
      <c r="B11" s="85" t="str">
        <f t="shared" si="2"/>
        <v>message</v>
      </c>
      <c r="C11" s="85" t="s">
        <v>68</v>
      </c>
      <c r="D11" s="85" t="str">
        <f>IF(B11="", "", VLOOKUP(B11,'API Data Dictionary'!C:D,2,FALSE))</f>
        <v>string</v>
      </c>
      <c r="E11" s="85">
        <f>IF(IF(B11="", "", VLOOKUP(B11,'API Data Dictionary'!C:E,3,FALSE))=0, "", IF(B11="", "", VLOOKUP(B11,'API Data Dictionary'!C:E,3,FALSE)))</f>
        <v>100</v>
      </c>
      <c r="F11" s="85" t="str">
        <f>IF(IF(B11="", "", VLOOKUP(B11,'API Data Dictionary'!C:F,4,FALSE))=0, "", IF(B11="", "", VLOOKUP(B11,'API Data Dictionary'!C:F,4,FALSE)))</f>
        <v/>
      </c>
      <c r="G11" s="85" t="str">
        <f>IF(IF(B11="", "", VLOOKUP(B11,'API Data Dictionary'!C:G,5,FALSE))=0, "", IF(B11="", "", VLOOKUP(B11,'API Data Dictionary'!C:G,5,FALSE)))</f>
        <v>return value, null or success, unless there has been error</v>
      </c>
    </row>
    <row r="12" spans="1:7" x14ac:dyDescent="0.35">
      <c r="A12" s="88" t="s">
        <v>1120</v>
      </c>
      <c r="B12" s="89"/>
      <c r="C12" s="89"/>
      <c r="D12" s="89"/>
      <c r="E12" s="89"/>
      <c r="F12" s="89"/>
      <c r="G12" s="89"/>
    </row>
    <row r="14" spans="1:7" x14ac:dyDescent="0.35">
      <c r="A14" s="219" t="s">
        <v>1625</v>
      </c>
      <c r="B14" s="220"/>
      <c r="C14" s="220"/>
      <c r="D14" s="220"/>
      <c r="E14" s="220"/>
      <c r="F14" s="220"/>
      <c r="G14" s="220"/>
    </row>
    <row r="15" spans="1:7" ht="14.5" customHeight="1" x14ac:dyDescent="0.35">
      <c r="A15" s="88" t="s">
        <v>1561</v>
      </c>
      <c r="B15" s="62" t="s">
        <v>1359</v>
      </c>
      <c r="C15" s="89" t="s">
        <v>1359</v>
      </c>
      <c r="D15" s="62" t="s">
        <v>64</v>
      </c>
      <c r="E15" s="89">
        <v>100</v>
      </c>
      <c r="F15" s="89"/>
      <c r="G15" s="89" t="s">
        <v>1562</v>
      </c>
    </row>
    <row r="17" spans="1:7" x14ac:dyDescent="0.35">
      <c r="A17" s="219" t="s">
        <v>1764</v>
      </c>
      <c r="B17" s="220"/>
      <c r="C17" s="220"/>
      <c r="D17" s="220"/>
      <c r="E17" s="220"/>
      <c r="F17" s="220"/>
      <c r="G17" s="220"/>
    </row>
    <row r="18" spans="1:7" x14ac:dyDescent="0.35">
      <c r="A18" s="88" t="s">
        <v>1763</v>
      </c>
      <c r="B18" s="62" t="s">
        <v>1359</v>
      </c>
      <c r="C18" s="89" t="s">
        <v>1359</v>
      </c>
      <c r="D18" s="62" t="s">
        <v>64</v>
      </c>
      <c r="E18" s="89">
        <v>100</v>
      </c>
      <c r="F18" s="89"/>
      <c r="G18" s="89" t="s">
        <v>1765</v>
      </c>
    </row>
    <row r="20" spans="1:7" x14ac:dyDescent="0.35">
      <c r="A20" s="220" t="s">
        <v>1598</v>
      </c>
      <c r="B20" s="220"/>
      <c r="C20" s="220"/>
      <c r="D20" s="220"/>
      <c r="E20" s="220"/>
      <c r="F20" s="220"/>
      <c r="G20" s="220"/>
    </row>
    <row r="21" spans="1:7" x14ac:dyDescent="0.35">
      <c r="A21" s="64" t="s">
        <v>1094</v>
      </c>
      <c r="B21" s="89" t="str">
        <f t="shared" ref="B21:B25" si="3">IF(OR(ISNUMBER(SEARCH("{", A21)),ISNUMBER(SEARCH("[", A21))), "", IFERROR(MID(A21, SEARCH("""", A21) +1, SEARCH("""", A21, SEARCH("""",A21) +1) - SEARCH("""", A21) -1), ""))</f>
        <v/>
      </c>
      <c r="C21" s="89" t="str">
        <f>IF(B21="", "", VLOOKUP(B21,'API Data Dictionary'!C:J,8,FALSE))</f>
        <v/>
      </c>
      <c r="D21" s="89" t="str">
        <f>IF(B21="", "", VLOOKUP(B21,'API Data Dictionary'!C:D,2,FALSE))</f>
        <v/>
      </c>
      <c r="E21" s="89" t="str">
        <f>IF(IF(B21="", "", VLOOKUP(B21,'API Data Dictionary'!C:E,3,FALSE))=0, "", IF(B21="", "", VLOOKUP(B21,'API Data Dictionary'!C:E,3,FALSE)))</f>
        <v/>
      </c>
      <c r="F21" s="89" t="str">
        <f>IF(IF(B21="", "", VLOOKUP(B21,'API Data Dictionary'!C:F,4,FALSE))=0, "", IF(B21="", "", VLOOKUP(B21,'API Data Dictionary'!C:F,4,FALSE)))</f>
        <v/>
      </c>
      <c r="G21" s="89" t="str">
        <f>IF(IF(B21="", "", VLOOKUP(B21,'API Data Dictionary'!C:G,5,FALSE))=0, "", IF(B21="", "", VLOOKUP(B21,'API Data Dictionary'!C:G,5,FALSE)))</f>
        <v/>
      </c>
    </row>
    <row r="22" spans="1:7" x14ac:dyDescent="0.35">
      <c r="A22" s="64" t="s">
        <v>1701</v>
      </c>
      <c r="B22" s="89" t="str">
        <f t="shared" si="3"/>
        <v>success</v>
      </c>
      <c r="C22" s="89" t="s">
        <v>68</v>
      </c>
      <c r="D22" s="89" t="str">
        <f>IF(B22="", "", VLOOKUP(B22,'API Data Dictionary'!C:D,2,FALSE))</f>
        <v>string - Boolean</v>
      </c>
      <c r="E22" s="89">
        <f>IF(IF(B22="", "", VLOOKUP(B22,'API Data Dictionary'!C:E,3,FALSE))=0, "", IF(B22="", "", VLOOKUP(B22,'API Data Dictionary'!C:E,3,FALSE)))</f>
        <v>100</v>
      </c>
      <c r="F22" s="89" t="str">
        <f>IF(IF(B22="", "", VLOOKUP(B22,'API Data Dictionary'!C:F,4,FALSE))=0, "", IF(B22="", "", VLOOKUP(B22,'API Data Dictionary'!C:F,4,FALSE)))</f>
        <v/>
      </c>
      <c r="G22" s="89" t="str">
        <f>IF(IF(B22="", "", VLOOKUP(B22,'API Data Dictionary'!C:G,5,FALSE))=0, "", IF(B22="", "", VLOOKUP(B22,'API Data Dictionary'!C:G,5,FALSE)))</f>
        <v>Returns true when successful call/connection</v>
      </c>
    </row>
    <row r="23" spans="1:7" x14ac:dyDescent="0.35">
      <c r="A23" s="64" t="s">
        <v>1596</v>
      </c>
      <c r="B23" s="89" t="str">
        <f t="shared" si="3"/>
        <v>payload</v>
      </c>
      <c r="C23" s="89" t="s">
        <v>68</v>
      </c>
      <c r="D23" s="89" t="str">
        <f>IF(B23="", "", VLOOKUP(B23,'API Data Dictionary'!C:D,2,FALSE))</f>
        <v>string</v>
      </c>
      <c r="E23" s="89">
        <f>IF(IF(B23="", "", VLOOKUP(B23,'API Data Dictionary'!C:E,3,FALSE))=0, "", IF(B23="", "", VLOOKUP(B23,'API Data Dictionary'!C:E,3,FALSE)))</f>
        <v>100</v>
      </c>
      <c r="F23" s="89" t="str">
        <f>IF(IF(B23="", "", VLOOKUP(B23,'API Data Dictionary'!C:F,4,FALSE))=0, "", IF(B23="", "", VLOOKUP(B23,'API Data Dictionary'!C:F,4,FALSE)))</f>
        <v/>
      </c>
      <c r="G23" s="89" t="str">
        <f>IF(IF(B23="", "", VLOOKUP(B23,'API Data Dictionary'!C:G,5,FALSE))=0, "", IF(B23="", "", VLOOKUP(B23,'API Data Dictionary'!C:G,5,FALSE)))</f>
        <v>Returns healthy when connection has worked properly</v>
      </c>
    </row>
    <row r="24" spans="1:7" x14ac:dyDescent="0.35">
      <c r="A24" s="64" t="s">
        <v>1743</v>
      </c>
      <c r="B24" s="89" t="str">
        <f t="shared" si="3"/>
        <v>message</v>
      </c>
      <c r="C24" s="89" t="s">
        <v>68</v>
      </c>
      <c r="D24" s="89" t="str">
        <f>IF(B24="", "", VLOOKUP(B24,'API Data Dictionary'!C:D,2,FALSE))</f>
        <v>string</v>
      </c>
      <c r="E24" s="89">
        <f>IF(IF(B24="", "", VLOOKUP(B24,'API Data Dictionary'!C:E,3,FALSE))=0, "", IF(B24="", "", VLOOKUP(B24,'API Data Dictionary'!C:E,3,FALSE)))</f>
        <v>100</v>
      </c>
      <c r="F24" s="89" t="str">
        <f>IF(IF(B24="", "", VLOOKUP(B24,'API Data Dictionary'!C:F,4,FALSE))=0, "", IF(B24="", "", VLOOKUP(B24,'API Data Dictionary'!C:F,4,FALSE)))</f>
        <v/>
      </c>
      <c r="G24" s="89" t="str">
        <f>IF(IF(B24="", "", VLOOKUP(B24,'API Data Dictionary'!C:G,5,FALSE))=0, "", IF(B24="", "", VLOOKUP(B24,'API Data Dictionary'!C:G,5,FALSE)))</f>
        <v>return value, null or success, unless there has been error</v>
      </c>
    </row>
    <row r="25" spans="1:7" x14ac:dyDescent="0.35">
      <c r="A25" s="64" t="s">
        <v>1120</v>
      </c>
      <c r="B25" s="89" t="str">
        <f t="shared" si="3"/>
        <v/>
      </c>
      <c r="C25" s="89" t="str">
        <f>IF(B25="", "", VLOOKUP(B25,'API Data Dictionary'!C:J,8,FALSE))</f>
        <v/>
      </c>
      <c r="D25" s="89" t="str">
        <f>IF(B25="", "", VLOOKUP(B25,'API Data Dictionary'!C:D,2,FALSE))</f>
        <v/>
      </c>
      <c r="E25" s="89" t="str">
        <f>IF(IF(B25="", "", VLOOKUP(B25,'API Data Dictionary'!C:E,3,FALSE))=0, "", IF(B25="", "", VLOOKUP(B25,'API Data Dictionary'!C:E,3,FALSE)))</f>
        <v/>
      </c>
      <c r="F25" s="89" t="str">
        <f>IF(IF(B25="", "", VLOOKUP(B25,'API Data Dictionary'!C:F,4,FALSE))=0, "", IF(B25="", "", VLOOKUP(B25,'API Data Dictionary'!C:F,4,FALSE)))</f>
        <v/>
      </c>
      <c r="G25" s="89" t="str">
        <f>IF(IF(B25="", "", VLOOKUP(B25,'API Data Dictionary'!C:G,5,FALSE))=0, "", IF(B25="", "", VLOOKUP(B25,'API Data Dictionary'!C:G,5,FALSE)))</f>
        <v/>
      </c>
    </row>
  </sheetData>
  <mergeCells count="5">
    <mergeCell ref="A17:G17"/>
    <mergeCell ref="A2:G2"/>
    <mergeCell ref="A7:G7"/>
    <mergeCell ref="A14:G14"/>
    <mergeCell ref="A20:G20"/>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0E0CD-1504-48AB-BB1E-C73B570DC58A}">
  <sheetPr>
    <tabColor rgb="FF4472C4"/>
  </sheetPr>
  <dimension ref="A1:G28"/>
  <sheetViews>
    <sheetView zoomScale="55" zoomScaleNormal="55" workbookViewId="0"/>
  </sheetViews>
  <sheetFormatPr defaultRowHeight="14.5" x14ac:dyDescent="0.35"/>
  <cols>
    <col min="1" max="1" width="71.1796875" bestFit="1" customWidth="1"/>
    <col min="2" max="2" width="22.1796875" bestFit="1" customWidth="1"/>
    <col min="3" max="3" width="16" bestFit="1" customWidth="1"/>
    <col min="4" max="4" width="16.6328125" bestFit="1" customWidth="1"/>
    <col min="5" max="5" width="10.54296875" customWidth="1"/>
    <col min="6" max="6" width="14.453125" customWidth="1"/>
    <col min="7" max="7" width="109.6328125" customWidth="1"/>
  </cols>
  <sheetData>
    <row r="1" spans="1:7" ht="43.5" x14ac:dyDescent="0.35">
      <c r="A1" s="63" t="s">
        <v>1122</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B5" si="0">IF(OR(ISNUMBER(SEARCH("{", A3)),ISNUMBER(SEARCH("[", A3))), "", IFERROR(MID(A3, SEARCH("""", A3) +1, SEARCH("""", A3, SEARCH("""",A3) +1) - SEARCH("""", A3) -1), ""))</f>
        <v/>
      </c>
      <c r="C3" s="62" t="str">
        <f>IF(B3="", "", VLOOKUP(B3,'API Data Dictionary'!C:N,12,FALSE))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1124</v>
      </c>
      <c r="B4" s="62" t="str">
        <f t="shared" si="0"/>
        <v>scope</v>
      </c>
      <c r="C4" s="62" t="s">
        <v>68</v>
      </c>
      <c r="D4" s="62" t="str">
        <f>IF(B4="", "", VLOOKUP(B4,'API Data Dictionary'!C:D,2,FALSE))</f>
        <v>string - constant</v>
      </c>
      <c r="E4" s="62">
        <f>IF(IF(B4="", "", VLOOKUP(B4,'API Data Dictionary'!C:E,3,FALSE))=0, "", IF(B4="", "", VLOOKUP(B4,'API Data Dictionary'!C:E,3,FALSE)))</f>
        <v>100</v>
      </c>
      <c r="F4" s="62" t="str">
        <f>IF(IF(B4="", "", VLOOKUP(B4,'API Data Dictionary'!C:F,4,FALSE))=0, "", IF(B4="", "", VLOOKUP(B4,'API Data Dictionary'!C:F,4,FALSE)))</f>
        <v/>
      </c>
      <c r="G4" s="62" t="str">
        <f>IF(IF(B4="", "", VLOOKUP(B4,'API Data Dictionary'!C:G,5,FALSE))=0, "", IF(B4="", "", VLOOKUP(B4,'API Data Dictionary'!C:G,5,FALSE)))</f>
        <v>Scope of the API Authentication, must always be: "standardapiaccess"</v>
      </c>
    </row>
    <row r="5" spans="1:7" x14ac:dyDescent="0.35">
      <c r="A5" s="64" t="s">
        <v>1125</v>
      </c>
      <c r="B5" s="62" t="str">
        <f t="shared" si="0"/>
        <v>client_id</v>
      </c>
      <c r="C5" s="62" t="s">
        <v>68</v>
      </c>
      <c r="D5" s="62" t="str">
        <f>IF(B5="", "", VLOOKUP(B5,'API Data Dictionary'!C:D,2,FALSE))</f>
        <v>string</v>
      </c>
      <c r="E5" s="62">
        <f>IF(IF(B5="", "", VLOOKUP(B5,'API Data Dictionary'!C:E,3,FALSE))=0, "", IF(B5="", "", VLOOKUP(B5,'API Data Dictionary'!C:E,3,FALSE)))</f>
        <v>100</v>
      </c>
      <c r="F5" s="62" t="str">
        <f>IF(IF(B5="", "", VLOOKUP(B5,'API Data Dictionary'!C:F,4,FALSE))=0, "", IF(B5="", "", VLOOKUP(B5,'API Data Dictionary'!C:F,4,FALSE)))</f>
        <v/>
      </c>
      <c r="G5" s="62" t="str">
        <f>IF(IF(B5="", "", VLOOKUP(B5,'API Data Dictionary'!C:G,5,FALSE))=0, "", IF(B5="", "", VLOOKUP(B5,'API Data Dictionary'!C:G,5,FALSE)))</f>
        <v>Client ID Authentication credentials provided to you on customer setup</v>
      </c>
    </row>
    <row r="6" spans="1:7" x14ac:dyDescent="0.35">
      <c r="A6" s="64" t="s">
        <v>1126</v>
      </c>
      <c r="B6" s="62" t="str">
        <f t="shared" ref="B6:B7" si="1">IF(OR(ISNUMBER(SEARCH("{", A6)),ISNUMBER(SEARCH("[", A6))), "", IFERROR(MID(A6, SEARCH("""", A6) +1, SEARCH("""", A6, SEARCH("""",A6) +1) - SEARCH("""", A6) -1), ""))</f>
        <v>client_secret</v>
      </c>
      <c r="C6" s="62" t="s">
        <v>68</v>
      </c>
      <c r="D6" s="62" t="str">
        <f>IF(B6="", "", VLOOKUP(B6,'API Data Dictionary'!C:D,2,FALSE))</f>
        <v>string</v>
      </c>
      <c r="E6" s="62">
        <f>IF(IF(B6="", "", VLOOKUP(B6,'API Data Dictionary'!C:E,3,FALSE))=0, "", IF(B6="", "", VLOOKUP(B6,'API Data Dictionary'!C:E,3,FALSE)))</f>
        <v>100</v>
      </c>
      <c r="F6" s="62" t="str">
        <f>IF(IF(B6="", "", VLOOKUP(B6,'API Data Dictionary'!C:F,4,FALSE))=0, "", IF(B6="", "", VLOOKUP(B6,'API Data Dictionary'!C:F,4,FALSE)))</f>
        <v/>
      </c>
      <c r="G6" s="62" t="str">
        <f>IF(IF(B6="", "", VLOOKUP(B6,'API Data Dictionary'!C:G,5,FALSE))=0, "", IF(B6="", "", VLOOKUP(B6,'API Data Dictionary'!C:G,5,FALSE)))</f>
        <v>Client Secret Authentication credentials provided to you on customer setup</v>
      </c>
    </row>
    <row r="7" spans="1:7" x14ac:dyDescent="0.35">
      <c r="A7" s="64" t="s">
        <v>1120</v>
      </c>
      <c r="B7" s="62" t="str">
        <f t="shared" si="1"/>
        <v/>
      </c>
      <c r="C7" s="62" t="str">
        <f>IF(B7="", "", VLOOKUP(B7,'API Data Dictionary'!C:N,12,FALSE))</f>
        <v/>
      </c>
      <c r="D7" s="62" t="str">
        <f>IF(B7="", "", VLOOKUP(B7,'API Data Dictionary'!C:D,2,FALSE))</f>
        <v/>
      </c>
      <c r="E7" s="62" t="str">
        <f>IF(IF(B7="", "", VLOOKUP(B7,'API Data Dictionary'!C:E,3,FALSE))=0, "", IF(B7="", "", VLOOKUP(B7,'API Data Dictionary'!C:E,3,FALSE)))</f>
        <v/>
      </c>
      <c r="F7" s="62" t="str">
        <f>IF(IF(B7="", "", VLOOKUP(B7,'API Data Dictionary'!C:F,4,FALSE))=0, "", IF(B7="", "", VLOOKUP(B7,'API Data Dictionary'!C:F,4,FALSE)))</f>
        <v/>
      </c>
      <c r="G7" s="62" t="str">
        <f>IF(IF(B7="", "", VLOOKUP(B7,'API Data Dictionary'!C:G,5,FALSE))=0, "", IF(B7="", "", VLOOKUP(B7,'API Data Dictionary'!C:G,5,FALSE)))</f>
        <v/>
      </c>
    </row>
    <row r="9" spans="1:7" x14ac:dyDescent="0.35">
      <c r="A9" s="222" t="s">
        <v>1751</v>
      </c>
      <c r="B9" s="222"/>
      <c r="C9" s="222"/>
      <c r="D9" s="222"/>
      <c r="E9" s="222"/>
      <c r="F9" s="222"/>
      <c r="G9" s="222"/>
    </row>
    <row r="10" spans="1:7" x14ac:dyDescent="0.35">
      <c r="A10" s="64" t="s">
        <v>1094</v>
      </c>
      <c r="B10" s="62" t="str">
        <f t="shared" ref="B10:B12" si="2">IF(OR(ISNUMBER(SEARCH("{", A10)),ISNUMBER(SEARCH("[", A10))), "", IFERROR(MID(A10, SEARCH("""", A10) +1, SEARCH("""", A10, SEARCH("""",A10) +1) - SEARCH("""", A10) -1), ""))</f>
        <v/>
      </c>
      <c r="C10" s="62" t="str">
        <f>IF(B10="", "", VLOOKUP(B10,'API Data Dictionary'!C:N,12,FALSE))</f>
        <v/>
      </c>
      <c r="D10" s="62" t="str">
        <f>IF(B10="", "", VLOOKUP(B10,'API Data Dictionary'!C:D,2,FALSE))</f>
        <v/>
      </c>
      <c r="E10" s="62" t="str">
        <f>IF(IF(B10="", "", VLOOKUP(B10,'API Data Dictionary'!C:E,3,FALSE))=0, "", IF(B10="", "", VLOOKUP(B10,'API Data Dictionary'!C:E,3,FALSE)))</f>
        <v/>
      </c>
      <c r="F10" s="62" t="str">
        <f>IF(IF(B10="", "", VLOOKUP(B10,'API Data Dictionary'!C:F,4,FALSE))=0, "", IF(B10="", "", VLOOKUP(B10,'API Data Dictionary'!C:F,4,FALSE)))</f>
        <v/>
      </c>
      <c r="G10" s="62" t="str">
        <f>IF(IF(B10="", "", VLOOKUP(B10,'API Data Dictionary'!C:G,5,FALSE))=0, "", IF(B10="", "", VLOOKUP(B10,'API Data Dictionary'!C:G,5,FALSE)))</f>
        <v/>
      </c>
    </row>
    <row r="11" spans="1:7" ht="248.5" customHeight="1" x14ac:dyDescent="0.35">
      <c r="A11" s="99" t="s">
        <v>1581</v>
      </c>
      <c r="B11" s="100" t="s">
        <v>1127</v>
      </c>
      <c r="C11" s="100" t="s">
        <v>68</v>
      </c>
      <c r="D11" s="100" t="s">
        <v>64</v>
      </c>
      <c r="E11" s="100">
        <v>1000</v>
      </c>
      <c r="F11" s="100"/>
      <c r="G11" s="101" t="s">
        <v>1766</v>
      </c>
    </row>
    <row r="12" spans="1:7" x14ac:dyDescent="0.35">
      <c r="A12" s="64" t="s">
        <v>1120</v>
      </c>
      <c r="B12" s="62" t="str">
        <f t="shared" si="2"/>
        <v/>
      </c>
      <c r="C12" s="62" t="str">
        <f>IF(B12="", "", VLOOKUP(B12,'API Data Dictionary'!C:N,12,FALSE))</f>
        <v/>
      </c>
      <c r="D12" s="62" t="str">
        <f>IF(B12="", "", VLOOKUP(B12,'API Data Dictionary'!C:D,2,FALSE))</f>
        <v/>
      </c>
      <c r="E12" s="62" t="str">
        <f>IF(IF(B12="", "", VLOOKUP(B12,'API Data Dictionary'!C:E,3,FALSE))=0, "", IF(B12="", "", VLOOKUP(B12,'API Data Dictionary'!C:E,3,FALSE)))</f>
        <v/>
      </c>
      <c r="F12" s="62" t="str">
        <f>IF(IF(B12="", "", VLOOKUP(B12,'API Data Dictionary'!C:F,4,FALSE))=0, "", IF(B12="", "", VLOOKUP(B12,'API Data Dictionary'!C:F,4,FALSE)))</f>
        <v/>
      </c>
      <c r="G12" s="62" t="str">
        <f>IF(IF(B12="", "", VLOOKUP(B12,'API Data Dictionary'!C:G,5,FALSE))=0, "", IF(B12="", "", VLOOKUP(B12,'API Data Dictionary'!C:G,5,FALSE)))</f>
        <v/>
      </c>
    </row>
    <row r="14" spans="1:7" x14ac:dyDescent="0.35">
      <c r="A14" s="219" t="s">
        <v>1749</v>
      </c>
      <c r="B14" s="220"/>
      <c r="C14" s="220"/>
      <c r="D14" s="220"/>
      <c r="E14" s="220"/>
      <c r="F14" s="220"/>
      <c r="G14" s="220"/>
    </row>
    <row r="15" spans="1:7" x14ac:dyDescent="0.35">
      <c r="A15" s="88" t="s">
        <v>1560</v>
      </c>
      <c r="B15" s="89" t="s">
        <v>1359</v>
      </c>
      <c r="C15" s="89" t="s">
        <v>1359</v>
      </c>
      <c r="D15" s="62" t="s">
        <v>64</v>
      </c>
      <c r="E15" s="89">
        <v>100</v>
      </c>
      <c r="F15" s="89"/>
      <c r="G15" s="89" t="s">
        <v>1628</v>
      </c>
    </row>
    <row r="17" spans="1:7" x14ac:dyDescent="0.35">
      <c r="A17" s="219" t="s">
        <v>1750</v>
      </c>
      <c r="B17" s="220"/>
      <c r="C17" s="220"/>
      <c r="D17" s="220"/>
      <c r="E17" s="220"/>
      <c r="F17" s="220"/>
      <c r="G17" s="220"/>
    </row>
    <row r="18" spans="1:7" x14ac:dyDescent="0.35">
      <c r="A18" s="88" t="s">
        <v>1627</v>
      </c>
      <c r="B18" s="89" t="s">
        <v>1359</v>
      </c>
      <c r="C18" s="89" t="s">
        <v>1359</v>
      </c>
      <c r="D18" s="62" t="s">
        <v>64</v>
      </c>
      <c r="E18" s="89">
        <v>100</v>
      </c>
      <c r="F18" s="89"/>
      <c r="G18" s="89" t="s">
        <v>1629</v>
      </c>
    </row>
    <row r="20" spans="1:7" x14ac:dyDescent="0.35">
      <c r="A20" s="219" t="s">
        <v>1764</v>
      </c>
      <c r="B20" s="220"/>
      <c r="C20" s="220"/>
      <c r="D20" s="220"/>
      <c r="E20" s="220"/>
      <c r="F20" s="220"/>
      <c r="G20" s="220"/>
    </row>
    <row r="21" spans="1:7" x14ac:dyDescent="0.35">
      <c r="A21" s="88" t="s">
        <v>1763</v>
      </c>
      <c r="B21" s="62" t="s">
        <v>1359</v>
      </c>
      <c r="C21" s="89" t="s">
        <v>1359</v>
      </c>
      <c r="D21" s="62" t="s">
        <v>64</v>
      </c>
      <c r="E21" s="89">
        <v>100</v>
      </c>
      <c r="F21" s="89"/>
      <c r="G21" s="89" t="s">
        <v>1765</v>
      </c>
    </row>
    <row r="23" spans="1:7" x14ac:dyDescent="0.35">
      <c r="A23" s="220" t="s">
        <v>1598</v>
      </c>
      <c r="B23" s="220"/>
      <c r="C23" s="220"/>
      <c r="D23" s="220"/>
      <c r="E23" s="220"/>
      <c r="F23" s="220"/>
      <c r="G23" s="220"/>
    </row>
    <row r="24" spans="1:7" x14ac:dyDescent="0.35">
      <c r="A24" s="110" t="s">
        <v>1094</v>
      </c>
      <c r="B24" s="89" t="str">
        <f t="shared" ref="B24:B28" si="3">IF(OR(ISNUMBER(SEARCH("{", A24)),ISNUMBER(SEARCH("[", A24))), "", IFERROR(MID(A24, SEARCH("""", A24) +1, SEARCH("""", A24, SEARCH("""",A24) +1) - SEARCH("""", A24) -1), ""))</f>
        <v/>
      </c>
      <c r="C24" s="89" t="str">
        <f>IF(B24="", "", VLOOKUP(B24,'API Data Dictionary'!C:J,8,FALSE))</f>
        <v/>
      </c>
      <c r="D24" s="89" t="str">
        <f>IF(B24="", "", VLOOKUP(B24,'API Data Dictionary'!C:D,2,FALSE))</f>
        <v/>
      </c>
      <c r="E24" s="89" t="str">
        <f>IF(IF(B24="", "", VLOOKUP(B24,'API Data Dictionary'!C:E,3,FALSE))=0, "", IF(B24="", "", VLOOKUP(B24,'API Data Dictionary'!C:E,3,FALSE)))</f>
        <v/>
      </c>
      <c r="F24" s="89" t="str">
        <f>IF(IF(B24="", "", VLOOKUP(B24,'API Data Dictionary'!C:F,4,FALSE))=0, "", IF(B24="", "", VLOOKUP(B24,'API Data Dictionary'!C:F,4,FALSE)))</f>
        <v/>
      </c>
      <c r="G24" s="89" t="str">
        <f>IF(IF(B24="", "", VLOOKUP(B24,'API Data Dictionary'!C:G,5,FALSE))=0, "", IF(B24="", "", VLOOKUP(B24,'API Data Dictionary'!C:G,5,FALSE)))</f>
        <v/>
      </c>
    </row>
    <row r="25" spans="1:7" x14ac:dyDescent="0.35">
      <c r="A25" s="110" t="s">
        <v>1567</v>
      </c>
      <c r="B25" s="89" t="str">
        <f t="shared" si="3"/>
        <v>success</v>
      </c>
      <c r="C25" s="89" t="s">
        <v>68</v>
      </c>
      <c r="D25" s="89" t="str">
        <f>IF(B25="", "", VLOOKUP(B25,'API Data Dictionary'!C:D,2,FALSE))</f>
        <v>string - Boolean</v>
      </c>
      <c r="E25" s="89">
        <f>IF(IF(B25="", "", VLOOKUP(B25,'API Data Dictionary'!C:E,3,FALSE))=0, "", IF(B25="", "", VLOOKUP(B25,'API Data Dictionary'!C:E,3,FALSE)))</f>
        <v>100</v>
      </c>
      <c r="F25" s="89" t="str">
        <f>IF(IF(B25="", "", VLOOKUP(B25,'API Data Dictionary'!C:F,4,FALSE))=0, "", IF(B25="", "", VLOOKUP(B25,'API Data Dictionary'!C:F,4,FALSE)))</f>
        <v/>
      </c>
      <c r="G25" s="89" t="str">
        <f>IF(IF(B25="", "", VLOOKUP(B25,'API Data Dictionary'!C:G,5,FALSE))=0, "", IF(B25="", "", VLOOKUP(B25,'API Data Dictionary'!C:G,5,FALSE)))</f>
        <v>Returns true when successful call/connection</v>
      </c>
    </row>
    <row r="26" spans="1:7" x14ac:dyDescent="0.35">
      <c r="A26" s="110" t="s">
        <v>1596</v>
      </c>
      <c r="B26" s="89" t="str">
        <f t="shared" si="3"/>
        <v>payload</v>
      </c>
      <c r="C26" s="89" t="s">
        <v>68</v>
      </c>
      <c r="D26" s="89" t="str">
        <f>IF(B26="", "", VLOOKUP(B26,'API Data Dictionary'!C:D,2,FALSE))</f>
        <v>string</v>
      </c>
      <c r="E26" s="89">
        <f>IF(IF(B26="", "", VLOOKUP(B26,'API Data Dictionary'!C:E,3,FALSE))=0, "", IF(B26="", "", VLOOKUP(B26,'API Data Dictionary'!C:E,3,FALSE)))</f>
        <v>100</v>
      </c>
      <c r="F26" s="89" t="str">
        <f>IF(IF(B26="", "", VLOOKUP(B26,'API Data Dictionary'!C:F,4,FALSE))=0, "", IF(B26="", "", VLOOKUP(B26,'API Data Dictionary'!C:F,4,FALSE)))</f>
        <v/>
      </c>
      <c r="G26" s="89" t="str">
        <f>IF(IF(B26="", "", VLOOKUP(B26,'API Data Dictionary'!C:G,5,FALSE))=0, "", IF(B26="", "", VLOOKUP(B26,'API Data Dictionary'!C:G,5,FALSE)))</f>
        <v>Returns healthy when connection has worked properly</v>
      </c>
    </row>
    <row r="27" spans="1:7" x14ac:dyDescent="0.35">
      <c r="A27" s="110" t="s">
        <v>1597</v>
      </c>
      <c r="B27" s="89" t="str">
        <f t="shared" si="3"/>
        <v>message</v>
      </c>
      <c r="C27" s="89" t="s">
        <v>68</v>
      </c>
      <c r="D27" s="89" t="str">
        <f>IF(B27="", "", VLOOKUP(B27,'API Data Dictionary'!C:D,2,FALSE))</f>
        <v>string</v>
      </c>
      <c r="E27" s="89">
        <f>IF(IF(B27="", "", VLOOKUP(B27,'API Data Dictionary'!C:E,3,FALSE))=0, "", IF(B27="", "", VLOOKUP(B27,'API Data Dictionary'!C:E,3,FALSE)))</f>
        <v>100</v>
      </c>
      <c r="F27" s="89" t="str">
        <f>IF(IF(B27="", "", VLOOKUP(B27,'API Data Dictionary'!C:F,4,FALSE))=0, "", IF(B27="", "", VLOOKUP(B27,'API Data Dictionary'!C:F,4,FALSE)))</f>
        <v/>
      </c>
      <c r="G27" s="89" t="str">
        <f>IF(IF(B27="", "", VLOOKUP(B27,'API Data Dictionary'!C:G,5,FALSE))=0, "", IF(B27="", "", VLOOKUP(B27,'API Data Dictionary'!C:G,5,FALSE)))</f>
        <v>return value, null or success, unless there has been error</v>
      </c>
    </row>
    <row r="28" spans="1:7" x14ac:dyDescent="0.35">
      <c r="A28" s="110" t="s">
        <v>1120</v>
      </c>
      <c r="B28" s="89" t="str">
        <f t="shared" si="3"/>
        <v/>
      </c>
      <c r="C28" s="89" t="str">
        <f>IF(B28="", "", VLOOKUP(B28,'API Data Dictionary'!C:J,8,FALSE))</f>
        <v/>
      </c>
      <c r="D28" s="89" t="str">
        <f>IF(B28="", "", VLOOKUP(B28,'API Data Dictionary'!C:D,2,FALSE))</f>
        <v/>
      </c>
      <c r="E28" s="89" t="str">
        <f>IF(IF(B28="", "", VLOOKUP(B28,'API Data Dictionary'!C:E,3,FALSE))=0, "", IF(B28="", "", VLOOKUP(B28,'API Data Dictionary'!C:E,3,FALSE)))</f>
        <v/>
      </c>
      <c r="F28" s="89" t="str">
        <f>IF(IF(B28="", "", VLOOKUP(B28,'API Data Dictionary'!C:F,4,FALSE))=0, "", IF(B28="", "", VLOOKUP(B28,'API Data Dictionary'!C:F,4,FALSE)))</f>
        <v/>
      </c>
      <c r="G28" s="89" t="str">
        <f>IF(IF(B28="", "", VLOOKUP(B28,'API Data Dictionary'!C:G,5,FALSE))=0, "", IF(B28="", "", VLOOKUP(B28,'API Data Dictionary'!C:G,5,FALSE)))</f>
        <v/>
      </c>
    </row>
  </sheetData>
  <mergeCells count="6">
    <mergeCell ref="A2:G2"/>
    <mergeCell ref="A9:G9"/>
    <mergeCell ref="A14:G14"/>
    <mergeCell ref="A17:G17"/>
    <mergeCell ref="A23:G23"/>
    <mergeCell ref="A20:G2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2E261-EF3C-4A89-993A-F9D87619EB74}">
  <sheetPr>
    <tabColor rgb="FF4472C4"/>
  </sheetPr>
  <dimension ref="A1:G251"/>
  <sheetViews>
    <sheetView topLeftCell="A182" zoomScale="96" zoomScaleNormal="96" workbookViewId="0">
      <selection activeCell="B207" sqref="B207"/>
    </sheetView>
  </sheetViews>
  <sheetFormatPr defaultRowHeight="15" customHeight="1" x14ac:dyDescent="0.35"/>
  <cols>
    <col min="1" max="1" width="119.1796875" bestFit="1" customWidth="1"/>
    <col min="2" max="2" width="35.54296875" bestFit="1" customWidth="1"/>
    <col min="3" max="3" width="16" bestFit="1" customWidth="1"/>
    <col min="4" max="4" width="34.1796875" bestFit="1" customWidth="1"/>
    <col min="5" max="5" width="13.81640625" customWidth="1"/>
    <col min="6" max="6" width="97.7265625" bestFit="1" customWidth="1"/>
    <col min="7" max="7" width="205.26953125" bestFit="1" customWidth="1"/>
  </cols>
  <sheetData>
    <row r="1" spans="1:7" ht="33.75" customHeight="1" x14ac:dyDescent="0.35">
      <c r="A1" s="63" t="s">
        <v>1089</v>
      </c>
      <c r="B1" s="63" t="s">
        <v>1090</v>
      </c>
      <c r="C1" s="63" t="s">
        <v>1091</v>
      </c>
      <c r="D1" s="63" t="s">
        <v>1092</v>
      </c>
      <c r="E1" s="63" t="s">
        <v>57</v>
      </c>
      <c r="F1" s="63" t="s">
        <v>58</v>
      </c>
      <c r="G1" s="63" t="s">
        <v>1093</v>
      </c>
    </row>
    <row r="2" spans="1:7" ht="14.5" x14ac:dyDescent="0.35">
      <c r="A2" s="221" t="s">
        <v>1123</v>
      </c>
      <c r="B2" s="221"/>
      <c r="C2" s="221"/>
      <c r="D2" s="221"/>
      <c r="E2" s="221"/>
      <c r="F2" s="221"/>
      <c r="G2" s="221"/>
    </row>
    <row r="3" spans="1:7" ht="14.5" x14ac:dyDescent="0.35">
      <c r="A3" s="64" t="s">
        <v>1094</v>
      </c>
      <c r="B3" s="62" t="str">
        <f>IF(OR(ISNUMBER(SEARCH("{", A3)),ISNUMBER(SEARCH("[", A3))), "", IFERROR(MID(A3, SEARCH("""", A3) +1, SEARCH("""", A3, SEARCH("""",A3) +1) - SEARCH("""", A3) -1), ""))</f>
        <v/>
      </c>
      <c r="C3" s="62" t="str">
        <f>IF(B3="", "", VLOOKUP(B3,'API Data Dictionary'!C:J,8,FALSE))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ht="14.5" x14ac:dyDescent="0.35">
      <c r="A4" s="64" t="s">
        <v>1292</v>
      </c>
      <c r="B4" s="62" t="str">
        <f t="shared" ref="B4:B50" si="0">IF(OR(ISNUMBER(SEARCH("{", A4)),ISNUMBER(SEARCH("[", A4))), "", IFERROR(MID(A4, SEARCH("""", A4) +1, SEARCH("""", A4, SEARCH("""",A4) +1) - SEARCH("""", A4) -1), ""))</f>
        <v>agentCode</v>
      </c>
      <c r="C4" s="62" t="str">
        <f>IF(B4="", "", VLOOKUP(B4,'API Data Dictionary'!C:J,8,FALSE))</f>
        <v>M</v>
      </c>
      <c r="D4" s="62" t="str">
        <f>IF(B4="", "", VLOOKUP(B4,'API Data Dictionary'!C:D,2,FALSE))</f>
        <v>string</v>
      </c>
      <c r="E4" s="62">
        <f>IF(IF(B4="", "", VLOOKUP(B4,'API Data Dictionary'!C:E,3,FALSE))=0, "", IF(B4="", "", VLOOKUP(B4,'API Data Dictionary'!C:E,3,FALSE)))</f>
        <v>50</v>
      </c>
      <c r="F4" s="62" t="str">
        <f>IF(IF(B4="", "", VLOOKUP(B4,'API Data Dictionary'!C:F,4,FALSE))=0, "", IF(B4="", "", VLOOKUP(B4,'API Data Dictionary'!C:F,4,FALSE)))</f>
        <v/>
      </c>
      <c r="G4" s="62"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ht="14.5" x14ac:dyDescent="0.35">
      <c r="A5" s="64" t="s">
        <v>1096</v>
      </c>
      <c r="B5" s="62" t="str">
        <f t="shared" si="0"/>
        <v>rentGuarantee</v>
      </c>
      <c r="C5" s="62" t="str">
        <f>IF(B5="", "", VLOOKUP(B5,'API Data Dictionary'!C:J,8,FALSE))</f>
        <v>M</v>
      </c>
      <c r="D5" s="62" t="str">
        <f>IF(B5="", "", VLOOKUP(B5,'API Data Dictionary'!C:D,2,FALSE))</f>
        <v>enum - Rent Guarantee</v>
      </c>
      <c r="E5" s="62" t="str">
        <f>IF(IF(B5="", "", VLOOKUP(B5,'API Data Dictionary'!C:E,3,FALSE))=0, "", IF(B5="", "", VLOOKUP(B5,'API Data Dictionary'!C:E,3,FALSE)))</f>
        <v/>
      </c>
      <c r="F5" s="62" t="str">
        <f>IF(IF(B5="", "", VLOOKUP(B5,'API Data Dictionary'!C:F,4,FALSE))=0, "", IF(B5="", "", VLOOKUP(B5,'API Data Dictionary'!C:F,4,FALSE)))</f>
        <v>Valid Values 1-4 (See enum definition)</v>
      </c>
      <c r="G5" s="62" t="str">
        <f>IF(IF(B5="", "", VLOOKUP(B5,'API Data Dictionary'!C:G,5,FALSE))=0, "", IF(B5="", "", VLOOKUP(B5,'API Data Dictionary'!C:G,5,FALSE)))</f>
        <v xml:space="preserve">Rent guarantee is an indicator that determines which RG option if any  the agent requires </v>
      </c>
    </row>
    <row r="6" spans="1:7" ht="14.5" x14ac:dyDescent="0.35">
      <c r="A6" s="64" t="s">
        <v>1368</v>
      </c>
      <c r="B6" s="62" t="str">
        <f t="shared" si="0"/>
        <v>tenancyTermMonths</v>
      </c>
      <c r="C6" s="62" t="str">
        <f>IF(B6="", "", VLOOKUP(B6,'API Data Dictionary'!C:J,8,FALSE))</f>
        <v>M</v>
      </c>
      <c r="D6" s="62" t="str">
        <f>IF(B6="", "", VLOOKUP(B6,'API Data Dictionary'!C:D,2,FALSE))</f>
        <v>integer</v>
      </c>
      <c r="E6" s="62" t="str">
        <f>IF(IF(B6="", "", VLOOKUP(B6,'API Data Dictionary'!C:E,3,FALSE))=0, "", IF(B6="", "", VLOOKUP(B6,'API Data Dictionary'!C:E,3,FALSE)))</f>
        <v/>
      </c>
      <c r="F6" s="62" t="str">
        <f>IF(IF(B6="", "", VLOOKUP(B6,'API Data Dictionary'!C:F,4,FALSE))=0, "", IF(B6="", "", VLOOKUP(B6,'API Data Dictionary'!C:F,4,FALSE)))</f>
        <v/>
      </c>
      <c r="G6" s="62" t="str">
        <f>IF(IF(B6="", "", VLOOKUP(B6,'API Data Dictionary'!C:G,5,FALSE))=0, "", IF(B6="", "", VLOOKUP(B6,'API Data Dictionary'!C:G,5,FALSE)))</f>
        <v>The term of the Tenancy in months (whole months only)</v>
      </c>
    </row>
    <row r="7" spans="1:7" ht="14.5" x14ac:dyDescent="0.35">
      <c r="A7" s="64" t="s">
        <v>1498</v>
      </c>
      <c r="B7" s="62" t="str">
        <f t="shared" si="0"/>
        <v>monthlyRental</v>
      </c>
      <c r="C7" s="62" t="str">
        <f>IF(B7="", "", VLOOKUP(B7,'API Data Dictionary'!C:J,8,FALSE))</f>
        <v>M</v>
      </c>
      <c r="D7" s="62" t="str">
        <f>IF(B7="", "", VLOOKUP(B7,'API Data Dictionary'!C:D,2,FALSE))</f>
        <v>number (double)</v>
      </c>
      <c r="E7" s="62" t="str">
        <f>IF(IF(B7="", "", VLOOKUP(B7,'API Data Dictionary'!C:E,3,FALSE))=0, "", IF(B7="", "", VLOOKUP(B7,'API Data Dictionary'!C:E,3,FALSE)))</f>
        <v/>
      </c>
      <c r="F7" s="62" t="str">
        <f>IF(IF(B7="", "", VLOOKUP(B7,'API Data Dictionary'!C:F,4,FALSE))=0, "", IF(B7="", "", VLOOKUP(B7,'API Data Dictionary'!C:F,4,FALSE)))</f>
        <v xml:space="preserve">	number($double)
pattern: ^\d*.\d{0,2}$</v>
      </c>
      <c r="G7" s="62" t="str">
        <f>IF(IF(B7="", "", VLOOKUP(B7,'API Data Dictionary'!C:G,5,FALSE))=0, "", IF(B7="", "", VLOOKUP(B7,'API Data Dictionary'!C:G,5,FALSE)))</f>
        <v>The monthly rental cost</v>
      </c>
    </row>
    <row r="8" spans="1:7" ht="14.5" x14ac:dyDescent="0.35">
      <c r="A8" s="64" t="s">
        <v>1098</v>
      </c>
      <c r="B8" s="62" t="str">
        <f t="shared" si="0"/>
        <v>lettingType</v>
      </c>
      <c r="C8" s="62" t="str">
        <f>IF(B8="", "", VLOOKUP(B8,'API Data Dictionary'!C:J,8,FALSE))</f>
        <v>M</v>
      </c>
      <c r="D8" s="62" t="str">
        <f>IF(B8="", "", VLOOKUP(B8,'API Data Dictionary'!C:D,2,FALSE))</f>
        <v>enum - Letting Type</v>
      </c>
      <c r="E8" s="62" t="str">
        <f>IF(IF(B8="", "", VLOOKUP(B8,'API Data Dictionary'!C:E,3,FALSE))=0, "", IF(B8="", "", VLOOKUP(B8,'API Data Dictionary'!C:E,3,FALSE)))</f>
        <v/>
      </c>
      <c r="F8" s="62" t="str">
        <f>IF(IF(B8="", "", VLOOKUP(B8,'API Data Dictionary'!C:F,4,FALSE))=0, "", IF(B8="", "", VLOOKUP(B8,'API Data Dictionary'!C:F,4,FALSE)))</f>
        <v>Valid Values 1-3 (See enum definition)</v>
      </c>
      <c r="G8" s="62" t="str">
        <f>IF(IF(B8="", "", VLOOKUP(B8,'API Data Dictionary'!C:G,5,FALSE))=0, "", IF(B8="", "", VLOOKUP(B8,'API Data Dictionary'!C:G,5,FALSE)))</f>
        <v>The type of the letting, i.e. rent only or fully managed</v>
      </c>
    </row>
    <row r="9" spans="1:7" ht="14.5" x14ac:dyDescent="0.35">
      <c r="A9" s="64" t="s">
        <v>1843</v>
      </c>
      <c r="B9" s="62" t="str">
        <f t="shared" si="0"/>
        <v>estimatedMoveInDate</v>
      </c>
      <c r="C9" s="62" t="str">
        <f>IF(B9="", "", VLOOKUP(B9,'API Data Dictionary'!C:J,8,FALSE))</f>
        <v>M</v>
      </c>
      <c r="D9" s="62" t="str">
        <f>IF(B9="", "", VLOOKUP(B9,'API Data Dictionary'!C:D,2,FALSE))</f>
        <v>string ($date-time)</v>
      </c>
      <c r="E9" s="62" t="str">
        <f>IF(IF(B9="", "", VLOOKUP(B9,'API Data Dictionary'!C:E,3,FALSE))=0, "", IF(B9="", "", VLOOKUP(B9,'API Data Dictionary'!C:E,3,FALSE)))</f>
        <v/>
      </c>
      <c r="F9" s="62" t="str">
        <f>IF(IF(B9="", "", VLOOKUP(B9,'API Data Dictionary'!C:F,4,FALSE))=0, "", IF(B9="", "", VLOOKUP(B9,'API Data Dictionary'!C:F,4,FALSE)))</f>
        <v>DD/MM/YYYY</v>
      </c>
      <c r="G9" s="62" t="str">
        <f>IF(IF(B9="", "", VLOOKUP(B9,'API Data Dictionary'!C:G,5,FALSE))=0, "", IF(B9="", "", VLOOKUP(B9,'API Data Dictionary'!C:G,5,FALSE)))</f>
        <v>Estimated date of tenancy start (move in)</v>
      </c>
    </row>
    <row r="10" spans="1:7" ht="14.5" x14ac:dyDescent="0.35">
      <c r="A10" s="64" t="s">
        <v>1099</v>
      </c>
      <c r="B10" s="62" t="str">
        <f t="shared" si="0"/>
        <v>propertyType</v>
      </c>
      <c r="C10" s="62" t="str">
        <f>IF(B10="", "", VLOOKUP(B10,'API Data Dictionary'!C:J,8,FALSE))</f>
        <v>M</v>
      </c>
      <c r="D10" s="62" t="str">
        <f>IF(B10="", "", VLOOKUP(B10,'API Data Dictionary'!C:D,2,FALSE))</f>
        <v>enum - Property Type</v>
      </c>
      <c r="E10" s="62" t="str">
        <f>IF(IF(B10="", "", VLOOKUP(B10,'API Data Dictionary'!C:E,3,FALSE))=0, "", IF(B10="", "", VLOOKUP(B10,'API Data Dictionary'!C:E,3,FALSE)))</f>
        <v/>
      </c>
      <c r="F10" s="62" t="str">
        <f>IF(IF(B10="", "", VLOOKUP(B10,'API Data Dictionary'!C:F,4,FALSE))=0, "", IF(B10="", "", VLOOKUP(B10,'API Data Dictionary'!C:F,4,FALSE)))</f>
        <v>Valid Values 1-6 (See enum definition)</v>
      </c>
      <c r="G10" s="62" t="str">
        <f>IF(IF(B10="", "", VLOOKUP(B10,'API Data Dictionary'!C:G,5,FALSE))=0, "", IF(B10="", "", VLOOKUP(B10,'API Data Dictionary'!C:G,5,FALSE)))</f>
        <v xml:space="preserve">The Type of property </v>
      </c>
    </row>
    <row r="11" spans="1:7" ht="14.5" x14ac:dyDescent="0.35">
      <c r="A11" s="64" t="s">
        <v>1388</v>
      </c>
      <c r="B11" s="62" t="str">
        <f t="shared" si="0"/>
        <v>propertyConstructionPeriod</v>
      </c>
      <c r="C11" s="62" t="str">
        <f>IF(B11="", "", VLOOKUP(B11,'API Data Dictionary'!C:J,8,FALSE))</f>
        <v>X</v>
      </c>
      <c r="D11" s="62" t="str">
        <f>IF(B11="", "", VLOOKUP(B11,'API Data Dictionary'!C:D,2,FALSE))</f>
        <v>enum - Property Construction Period</v>
      </c>
      <c r="E11" s="62" t="str">
        <f>IF(IF(B11="", "", VLOOKUP(B11,'API Data Dictionary'!C:E,3,FALSE))=0, "", IF(B11="", "", VLOOKUP(B11,'API Data Dictionary'!C:E,3,FALSE)))</f>
        <v/>
      </c>
      <c r="F11" s="62" t="str">
        <f>IF(IF(B11="", "", VLOOKUP(B11,'API Data Dictionary'!C:F,4,FALSE))=0, "", IF(B11="", "", VLOOKUP(B11,'API Data Dictionary'!C:F,4,FALSE)))</f>
        <v>Valid Values 1-9 (See enum definition)</v>
      </c>
      <c r="G11" s="62" t="str">
        <f>IF(IF(B11="", "", VLOOKUP(B11,'API Data Dictionary'!C:G,5,FALSE))=0, "", IF(B11="", "", VLOOKUP(B11,'API Data Dictionary'!C:G,5,FALSE)))</f>
        <v>The time period in which the property was built</v>
      </c>
    </row>
    <row r="12" spans="1:7" ht="14.5" x14ac:dyDescent="0.35">
      <c r="A12" s="64" t="s">
        <v>1741</v>
      </c>
      <c r="B12" s="62" t="str">
        <f t="shared" si="0"/>
        <v>numberOfBedrooms</v>
      </c>
      <c r="C12" s="62" t="str">
        <f>IF(B12="", "", VLOOKUP(B12,'API Data Dictionary'!C:J,8,FALSE))</f>
        <v>X</v>
      </c>
      <c r="D12" s="62" t="str">
        <f>IF(B12="", "", VLOOKUP(B12,'API Data Dictionary'!C:D,2,FALSE))</f>
        <v>integer</v>
      </c>
      <c r="E12" s="62" t="str">
        <f>IF(IF(B12="", "", VLOOKUP(B12,'API Data Dictionary'!C:E,3,FALSE))=0, "", IF(B12="", "", VLOOKUP(B12,'API Data Dictionary'!C:E,3,FALSE)))</f>
        <v/>
      </c>
      <c r="F12" s="62" t="str">
        <f>IF(IF(B12="", "", VLOOKUP(B12,'API Data Dictionary'!C:F,4,FALSE))=0, "", IF(B12="", "", VLOOKUP(B12,'API Data Dictionary'!C:F,4,FALSE)))</f>
        <v/>
      </c>
      <c r="G12" s="62" t="str">
        <f>IF(IF(B12="", "", VLOOKUP(B12,'API Data Dictionary'!C:G,5,FALSE))=0, "", IF(B12="", "", VLOOKUP(B12,'API Data Dictionary'!C:G,5,FALSE)))</f>
        <v>The count of bedrooms in the property</v>
      </c>
    </row>
    <row r="13" spans="1:7" ht="14.5" x14ac:dyDescent="0.35">
      <c r="A13" s="64" t="s">
        <v>1371</v>
      </c>
      <c r="B13" s="62" t="str">
        <f t="shared" si="0"/>
        <v>noOfAdultOccupants</v>
      </c>
      <c r="C13" s="62" t="str">
        <f>IF(B13="", "", VLOOKUP(B13,'API Data Dictionary'!C:J,8,FALSE))</f>
        <v>X</v>
      </c>
      <c r="D13" s="62" t="str">
        <f>IF(B13="", "", VLOOKUP(B13,'API Data Dictionary'!C:D,2,FALSE))</f>
        <v>integer</v>
      </c>
      <c r="E13" s="62" t="str">
        <f>IF(IF(B13="", "", VLOOKUP(B13,'API Data Dictionary'!C:E,3,FALSE))=0, "", IF(B13="", "", VLOOKUP(B13,'API Data Dictionary'!C:E,3,FALSE)))</f>
        <v/>
      </c>
      <c r="F13" s="62" t="str">
        <f>IF(IF(B13="", "", VLOOKUP(B13,'API Data Dictionary'!C:F,4,FALSE))=0, "", IF(B13="", "", VLOOKUP(B13,'API Data Dictionary'!C:F,4,FALSE)))</f>
        <v/>
      </c>
      <c r="G13" s="62" t="str">
        <f>IF(IF(B13="", "", VLOOKUP(B13,'API Data Dictionary'!C:G,5,FALSE))=0, "", IF(B13="", "", VLOOKUP(B13,'API Data Dictionary'!C:G,5,FALSE)))</f>
        <v>Number of Adult occupants (18 or over)</v>
      </c>
    </row>
    <row r="14" spans="1:7" ht="14.5" x14ac:dyDescent="0.35">
      <c r="A14" s="64" t="s">
        <v>1742</v>
      </c>
      <c r="B14" s="62" t="str">
        <f t="shared" si="0"/>
        <v>noOfChildOccupants</v>
      </c>
      <c r="C14" s="62" t="str">
        <f>IF(B14="", "", VLOOKUP(B14,'API Data Dictionary'!C:J,8,FALSE))</f>
        <v>X</v>
      </c>
      <c r="D14" s="62" t="str">
        <f>IF(B14="", "", VLOOKUP(B14,'API Data Dictionary'!C:D,2,FALSE))</f>
        <v>integer</v>
      </c>
      <c r="E14" s="62" t="str">
        <f>IF(IF(B14="", "", VLOOKUP(B14,'API Data Dictionary'!C:E,3,FALSE))=0, "", IF(B14="", "", VLOOKUP(B14,'API Data Dictionary'!C:E,3,FALSE)))</f>
        <v/>
      </c>
      <c r="F14" s="62" t="str">
        <f>IF(IF(B14="", "", VLOOKUP(B14,'API Data Dictionary'!C:F,4,FALSE))=0, "", IF(B14="", "", VLOOKUP(B14,'API Data Dictionary'!C:F,4,FALSE)))</f>
        <v/>
      </c>
      <c r="G14" s="62" t="str">
        <f>IF(IF(B14="", "", VLOOKUP(B14,'API Data Dictionary'!C:G,5,FALSE))=0, "", IF(B14="", "", VLOOKUP(B14,'API Data Dictionary'!C:G,5,FALSE)))</f>
        <v>Number of Child Occupants (under 18)</v>
      </c>
    </row>
    <row r="15" spans="1:7" ht="14.5" x14ac:dyDescent="0.35">
      <c r="A15" s="64" t="s">
        <v>1373</v>
      </c>
      <c r="B15" s="62" t="str">
        <f t="shared" si="0"/>
        <v>isAdvanceRent</v>
      </c>
      <c r="C15" s="62" t="str">
        <f>IF(B15="", "", VLOOKUP(B15,'API Data Dictionary'!C:J,8,FALSE))</f>
        <v>M</v>
      </c>
      <c r="D15" s="62" t="str">
        <f>IF(B15="", "", VLOOKUP(B15,'API Data Dictionary'!C:D,2,FALSE))</f>
        <v>boolean</v>
      </c>
      <c r="E15" s="62" t="str">
        <f>IF(IF(B15="", "", VLOOKUP(B15,'API Data Dictionary'!C:E,3,FALSE))=0, "", IF(B15="", "", VLOOKUP(B15,'API Data Dictionary'!C:E,3,FALSE)))</f>
        <v/>
      </c>
      <c r="F15" s="62" t="str">
        <f>IF(IF(B15="", "", VLOOKUP(B15,'API Data Dictionary'!C:F,4,FALSE))=0, "", IF(B15="", "", VLOOKUP(B15,'API Data Dictionary'!C:F,4,FALSE)))</f>
        <v/>
      </c>
      <c r="G15" s="62" t="str">
        <f>IF(IF(B15="", "", VLOOKUP(B15,'API Data Dictionary'!C:G,5,FALSE))=0, "", IF(B15="", "", VLOOKUP(B15,'API Data Dictionary'!C:G,5,FALSE)))</f>
        <v>Denotes whether rent is paid in advance</v>
      </c>
    </row>
    <row r="16" spans="1:7" ht="14.5" x14ac:dyDescent="0.35">
      <c r="A16" s="64" t="s">
        <v>1103</v>
      </c>
      <c r="B16" s="62" t="str">
        <f t="shared" si="0"/>
        <v/>
      </c>
      <c r="C16" s="62" t="str">
        <f>IF(B16="", "", VLOOKUP(B16,'API Data Dictionary'!C:J,8,FALSE))</f>
        <v/>
      </c>
      <c r="D16" s="62" t="str">
        <f>IF(B16="", "", VLOOKUP(B16,'API Data Dictionary'!C:D,2,FALSE))</f>
        <v/>
      </c>
      <c r="E16" s="62" t="str">
        <f>IF(IF(B16="", "", VLOOKUP(B16,'API Data Dictionary'!C:E,3,FALSE))=0, "", IF(B16="", "", VLOOKUP(B16,'API Data Dictionary'!C:E,3,FALSE)))</f>
        <v/>
      </c>
      <c r="F16" s="62" t="str">
        <f>IF(IF(B16="", "", VLOOKUP(B16,'API Data Dictionary'!C:F,4,FALSE))=0, "", IF(B16="", "", VLOOKUP(B16,'API Data Dictionary'!C:F,4,FALSE)))</f>
        <v/>
      </c>
      <c r="G16" s="62" t="str">
        <f>IF(IF(B16="", "", VLOOKUP(B16,'API Data Dictionary'!C:G,5,FALSE))=0, "", IF(B16="", "", VLOOKUP(B16,'API Data Dictionary'!C:G,5,FALSE)))</f>
        <v/>
      </c>
    </row>
    <row r="17" spans="1:7" ht="14.5" x14ac:dyDescent="0.35">
      <c r="A17" s="64" t="s">
        <v>1499</v>
      </c>
      <c r="B17" s="62" t="str">
        <f t="shared" si="0"/>
        <v>houseNumber</v>
      </c>
      <c r="C17" s="62" t="str">
        <f>IF(B17="", "", VLOOKUP(B17,'API Data Dictionary'!C:J,8,FALSE))</f>
        <v>X</v>
      </c>
      <c r="D17" s="62" t="str">
        <f>IF(B17="", "", VLOOKUP(B17,'API Data Dictionary'!C:D,2,FALSE))</f>
        <v>string</v>
      </c>
      <c r="E17" s="62">
        <f>IF(IF(B17="", "", VLOOKUP(B17,'API Data Dictionary'!C:E,3,FALSE))=0, "", IF(B17="", "", VLOOKUP(B17,'API Data Dictionary'!C:E,3,FALSE)))</f>
        <v>100</v>
      </c>
      <c r="F17" s="62" t="str">
        <f>IF(IF(B17="", "", VLOOKUP(B17,'API Data Dictionary'!C:F,4,FALSE))=0, "", IF(B17="", "", VLOOKUP(B17,'API Data Dictionary'!C:F,4,FALSE)))</f>
        <v/>
      </c>
      <c r="G17" s="62" t="str">
        <f>IF(IF(B17="", "", VLOOKUP(B17,'API Data Dictionary'!C:G,5,FALSE))=0, "", IF(B17="", "", VLOOKUP(B17,'API Data Dictionary'!C:G,5,FALSE)))</f>
        <v xml:space="preserve">The number of the property, mandatory OR pair with House name field </v>
      </c>
    </row>
    <row r="18" spans="1:7" ht="14.5" x14ac:dyDescent="0.35">
      <c r="A18" s="64" t="s">
        <v>1500</v>
      </c>
      <c r="B18" s="62" t="str">
        <f t="shared" si="0"/>
        <v>houseName</v>
      </c>
      <c r="C18" s="62" t="str">
        <f>IF(B18="", "", VLOOKUP(B18,'API Data Dictionary'!C:J,8,FALSE))</f>
        <v>X</v>
      </c>
      <c r="D18" s="62" t="str">
        <f>IF(B18="", "", VLOOKUP(B18,'API Data Dictionary'!C:D,2,FALSE))</f>
        <v>string</v>
      </c>
      <c r="E18" s="62">
        <f>IF(IF(B18="", "", VLOOKUP(B18,'API Data Dictionary'!C:E,3,FALSE))=0, "", IF(B18="", "", VLOOKUP(B18,'API Data Dictionary'!C:E,3,FALSE)))</f>
        <v>100</v>
      </c>
      <c r="F18" s="62" t="str">
        <f>IF(IF(B18="", "", VLOOKUP(B18,'API Data Dictionary'!C:F,4,FALSE))=0, "", IF(B18="", "", VLOOKUP(B18,'API Data Dictionary'!C:F,4,FALSE)))</f>
        <v/>
      </c>
      <c r="G18" s="62" t="str">
        <f>IF(IF(B18="", "", VLOOKUP(B18,'API Data Dictionary'!C:G,5,FALSE))=0, "", IF(B18="", "", VLOOKUP(B18,'API Data Dictionary'!C:G,5,FALSE)))</f>
        <v xml:space="preserve">The name of the property, mandatory OR pair with House number field </v>
      </c>
    </row>
    <row r="19" spans="1:7" ht="14.5" x14ac:dyDescent="0.35">
      <c r="A19" s="64" t="s">
        <v>1501</v>
      </c>
      <c r="B19" s="62" t="str">
        <f t="shared" si="0"/>
        <v>addressLine1</v>
      </c>
      <c r="C19" s="62" t="str">
        <f>IF(B19="", "", VLOOKUP(B19,'API Data Dictionary'!C:J,8,FALSE))</f>
        <v>M</v>
      </c>
      <c r="D19" s="62" t="str">
        <f>IF(B19="", "", VLOOKUP(B19,'API Data Dictionary'!C:D,2,FALSE))</f>
        <v>string</v>
      </c>
      <c r="E19" s="62">
        <f>IF(IF(B19="", "", VLOOKUP(B19,'API Data Dictionary'!C:E,3,FALSE))=0, "", IF(B19="", "", VLOOKUP(B19,'API Data Dictionary'!C:E,3,FALSE)))</f>
        <v>100</v>
      </c>
      <c r="F19" s="62" t="str">
        <f>IF(IF(B19="", "", VLOOKUP(B19,'API Data Dictionary'!C:F,4,FALSE))=0, "", IF(B19="", "", VLOOKUP(B19,'API Data Dictionary'!C:F,4,FALSE)))</f>
        <v/>
      </c>
      <c r="G19" s="62" t="str">
        <f>IF(IF(B19="", "", VLOOKUP(B19,'API Data Dictionary'!C:G,5,FALSE))=0, "", IF(B19="", "", VLOOKUP(B19,'API Data Dictionary'!C:G,5,FALSE)))</f>
        <v>The first line of the property address</v>
      </c>
    </row>
    <row r="20" spans="1:7" ht="14.5" x14ac:dyDescent="0.35">
      <c r="A20" s="64" t="s">
        <v>1502</v>
      </c>
      <c r="B20" s="62" t="str">
        <f t="shared" si="0"/>
        <v>addressLine2</v>
      </c>
      <c r="C20" s="62" t="str">
        <f>IF(B20="", "", VLOOKUP(B20,'API Data Dictionary'!C:J,8,FALSE))</f>
        <v>X</v>
      </c>
      <c r="D20" s="62" t="str">
        <f>IF(B20="", "", VLOOKUP(B20,'API Data Dictionary'!C:D,2,FALSE))</f>
        <v>string</v>
      </c>
      <c r="E20" s="62">
        <f>IF(IF(B20="", "", VLOOKUP(B20,'API Data Dictionary'!C:E,3,FALSE))=0, "", IF(B20="", "", VLOOKUP(B20,'API Data Dictionary'!C:E,3,FALSE)))</f>
        <v>100</v>
      </c>
      <c r="F20" s="62" t="str">
        <f>IF(IF(B20="", "", VLOOKUP(B20,'API Data Dictionary'!C:F,4,FALSE))=0, "", IF(B20="", "", VLOOKUP(B20,'API Data Dictionary'!C:F,4,FALSE)))</f>
        <v/>
      </c>
      <c r="G20" s="62" t="str">
        <f>IF(IF(B20="", "", VLOOKUP(B20,'API Data Dictionary'!C:G,5,FALSE))=0, "", IF(B20="", "", VLOOKUP(B20,'API Data Dictionary'!C:G,5,FALSE)))</f>
        <v>The second line of the property address</v>
      </c>
    </row>
    <row r="21" spans="1:7" ht="14.5" x14ac:dyDescent="0.35">
      <c r="A21" s="64" t="s">
        <v>1503</v>
      </c>
      <c r="B21" s="62" t="str">
        <f t="shared" si="0"/>
        <v>town</v>
      </c>
      <c r="C21" s="62" t="str">
        <f>IF(B21="", "", VLOOKUP(B21,'API Data Dictionary'!C:J,8,FALSE))</f>
        <v>M</v>
      </c>
      <c r="D21" s="62" t="str">
        <f>IF(B21="", "", VLOOKUP(B21,'API Data Dictionary'!C:D,2,FALSE))</f>
        <v>string</v>
      </c>
      <c r="E21" s="62">
        <f>IF(IF(B21="", "", VLOOKUP(B21,'API Data Dictionary'!C:E,3,FALSE))=0, "", IF(B21="", "", VLOOKUP(B21,'API Data Dictionary'!C:E,3,FALSE)))</f>
        <v>50</v>
      </c>
      <c r="F21" s="62" t="str">
        <f>IF(IF(B21="", "", VLOOKUP(B21,'API Data Dictionary'!C:F,4,FALSE))=0, "", IF(B21="", "", VLOOKUP(B21,'API Data Dictionary'!C:F,4,FALSE)))</f>
        <v/>
      </c>
      <c r="G21" s="62" t="str">
        <f>IF(IF(B21="", "", VLOOKUP(B21,'API Data Dictionary'!C:G,5,FALSE))=0, "", IF(B21="", "", VLOOKUP(B21,'API Data Dictionary'!C:G,5,FALSE)))</f>
        <v>The town in which the property exists</v>
      </c>
    </row>
    <row r="22" spans="1:7" ht="14.5" x14ac:dyDescent="0.35">
      <c r="A22" s="64" t="s">
        <v>1374</v>
      </c>
      <c r="B22" s="62" t="str">
        <f t="shared" si="0"/>
        <v>postcode</v>
      </c>
      <c r="C22" s="62" t="str">
        <f>IF(B22="", "", VLOOKUP(B22,'API Data Dictionary'!C:J,8,FALSE))</f>
        <v>M</v>
      </c>
      <c r="D22" s="62" t="str">
        <f>IF(B22="", "", VLOOKUP(B22,'API Data Dictionary'!C:D,2,FALSE))</f>
        <v>string</v>
      </c>
      <c r="E22" s="62">
        <f>IF(IF(B22="", "", VLOOKUP(B22,'API Data Dictionary'!C:E,3,FALSE))=0, "", IF(B22="", "", VLOOKUP(B22,'API Data Dictionary'!C:E,3,FALSE)))</f>
        <v>50</v>
      </c>
      <c r="F22" s="62" t="str">
        <f>IF(IF(B22="", "", VLOOKUP(B22,'API Data Dictionary'!C:F,4,FALSE))=0, "", IF(B22="", "", VLOOKUP(B22,'API Data Dictionary'!C:F,4,FALSE)))</f>
        <v/>
      </c>
      <c r="G22" s="62" t="str">
        <f>IF(IF(B22="", "", VLOOKUP(B22,'API Data Dictionary'!C:G,5,FALSE))=0, "", IF(B22="", "", VLOOKUP(B22,'API Data Dictionary'!C:G,5,FALSE)))</f>
        <v>the postcode of the property</v>
      </c>
    </row>
    <row r="23" spans="1:7" ht="14.5" x14ac:dyDescent="0.35">
      <c r="A23" s="64" t="s">
        <v>1104</v>
      </c>
      <c r="B23" s="62" t="str">
        <f t="shared" si="0"/>
        <v>ukCountryCode</v>
      </c>
      <c r="C23" s="62" t="str">
        <f>IF(B23="", "", VLOOKUP(B23,'API Data Dictionary'!C:J,8,FALSE))</f>
        <v>M</v>
      </c>
      <c r="D23" s="62" t="str">
        <f>IF(B23="", "", VLOOKUP(B23,'API Data Dictionary'!C:D,2,FALSE))</f>
        <v>enum - UK Country List</v>
      </c>
      <c r="E23" s="62" t="str">
        <f>IF(IF(B23="", "", VLOOKUP(B23,'API Data Dictionary'!C:E,3,FALSE))=0, "", IF(B23="", "", VLOOKUP(B23,'API Data Dictionary'!C:E,3,FALSE)))</f>
        <v/>
      </c>
      <c r="F23" s="62" t="str">
        <f>IF(IF(B23="", "", VLOOKUP(B23,'API Data Dictionary'!C:F,4,FALSE))=0, "", IF(B23="", "", VLOOKUP(B23,'API Data Dictionary'!C:F,4,FALSE)))</f>
        <v>Valid Values 1-4 (See enum definition)</v>
      </c>
      <c r="G23" s="62" t="str">
        <f>IF(IF(B23="", "", VLOOKUP(B23,'API Data Dictionary'!C:G,5,FALSE))=0, "", IF(B23="", "", VLOOKUP(B23,'API Data Dictionary'!C:G,5,FALSE)))</f>
        <v xml:space="preserve">The UK country Code </v>
      </c>
    </row>
    <row r="24" spans="1:7" ht="14.5" x14ac:dyDescent="0.35">
      <c r="A24" s="64" t="s">
        <v>1105</v>
      </c>
      <c r="B24" s="62" t="str">
        <f t="shared" si="0"/>
        <v/>
      </c>
      <c r="C24" s="62" t="str">
        <f>IF(B24="", "", VLOOKUP(B24,'API Data Dictionary'!C:J,8,FALSE))</f>
        <v/>
      </c>
      <c r="D24" s="62" t="str">
        <f>IF(B24="", "", VLOOKUP(B24,'API Data Dictionary'!C:D,2,FALSE))</f>
        <v/>
      </c>
      <c r="E24" s="62" t="str">
        <f>IF(IF(B24="", "", VLOOKUP(B24,'API Data Dictionary'!C:E,3,FALSE))=0, "", IF(B24="", "", VLOOKUP(B24,'API Data Dictionary'!C:E,3,FALSE)))</f>
        <v/>
      </c>
      <c r="F24" s="62" t="str">
        <f>IF(IF(B24="", "", VLOOKUP(B24,'API Data Dictionary'!C:F,4,FALSE))=0, "", IF(B24="", "", VLOOKUP(B24,'API Data Dictionary'!C:F,4,FALSE)))</f>
        <v/>
      </c>
      <c r="G24" s="62" t="str">
        <f>IF(IF(B24="", "", VLOOKUP(B24,'API Data Dictionary'!C:G,5,FALSE))=0, "", IF(B24="", "", VLOOKUP(B24,'API Data Dictionary'!C:G,5,FALSE)))</f>
        <v/>
      </c>
    </row>
    <row r="25" spans="1:7" ht="14.5" x14ac:dyDescent="0.35">
      <c r="A25" s="64" t="s">
        <v>1106</v>
      </c>
      <c r="B25" s="62" t="str">
        <f t="shared" si="0"/>
        <v/>
      </c>
      <c r="C25" s="62" t="str">
        <f>IF(B25="", "", VLOOKUP(B25,'API Data Dictionary'!C:J,8,FALSE))</f>
        <v/>
      </c>
      <c r="D25" s="62" t="str">
        <f>IF(B25="", "", VLOOKUP(B25,'API Data Dictionary'!C:D,2,FALSE))</f>
        <v/>
      </c>
      <c r="E25" s="62" t="str">
        <f>IF(IF(B25="", "", VLOOKUP(B25,'API Data Dictionary'!C:E,3,FALSE))=0, "", IF(B25="", "", VLOOKUP(B25,'API Data Dictionary'!C:E,3,FALSE)))</f>
        <v/>
      </c>
      <c r="F25" s="62" t="str">
        <f>IF(IF(B25="", "", VLOOKUP(B25,'API Data Dictionary'!C:F,4,FALSE))=0, "", IF(B25="", "", VLOOKUP(B25,'API Data Dictionary'!C:F,4,FALSE)))</f>
        <v/>
      </c>
      <c r="G25" s="62" t="str">
        <f>IF(IF(B25="", "", VLOOKUP(B25,'API Data Dictionary'!C:G,5,FALSE))=0, "", IF(B25="", "", VLOOKUP(B25,'API Data Dictionary'!C:G,5,FALSE)))</f>
        <v/>
      </c>
    </row>
    <row r="26" spans="1:7" ht="14.5" x14ac:dyDescent="0.35">
      <c r="A26" s="64" t="s">
        <v>1107</v>
      </c>
      <c r="B26" s="62" t="str">
        <f t="shared" si="0"/>
        <v/>
      </c>
      <c r="C26" s="62" t="str">
        <f>IF(B26="", "", VLOOKUP(B26,'API Data Dictionary'!C:J,8,FALSE))</f>
        <v/>
      </c>
      <c r="D26" s="62" t="str">
        <f>IF(B26="", "", VLOOKUP(B26,'API Data Dictionary'!C:D,2,FALSE))</f>
        <v/>
      </c>
      <c r="E26" s="62" t="str">
        <f>IF(IF(B26="", "", VLOOKUP(B26,'API Data Dictionary'!C:E,3,FALSE))=0, "", IF(B26="", "", VLOOKUP(B26,'API Data Dictionary'!C:E,3,FALSE)))</f>
        <v/>
      </c>
      <c r="F26" s="62" t="str">
        <f>IF(IF(B26="", "", VLOOKUP(B26,'API Data Dictionary'!C:F,4,FALSE))=0, "", IF(B26="", "", VLOOKUP(B26,'API Data Dictionary'!C:F,4,FALSE)))</f>
        <v/>
      </c>
      <c r="G26" s="62" t="str">
        <f>IF(IF(B26="", "", VLOOKUP(B26,'API Data Dictionary'!C:G,5,FALSE))=0, "", IF(B26="", "", VLOOKUP(B26,'API Data Dictionary'!C:G,5,FALSE)))</f>
        <v/>
      </c>
    </row>
    <row r="27" spans="1:7" ht="14.5" x14ac:dyDescent="0.35">
      <c r="A27" s="64" t="s">
        <v>1108</v>
      </c>
      <c r="B27" s="62" t="str">
        <f t="shared" si="0"/>
        <v>tenantTypeId</v>
      </c>
      <c r="C27" s="62" t="str">
        <f>IF(B27="", "", VLOOKUP(B27,'API Data Dictionary'!C:J,8,FALSE))</f>
        <v>M</v>
      </c>
      <c r="D27" s="62" t="str">
        <f>IF(B27="", "", VLOOKUP(B27,'API Data Dictionary'!C:D,2,FALSE))</f>
        <v>enum - Tenant Type</v>
      </c>
      <c r="E27" s="62" t="str">
        <f>IF(IF(B27="", "", VLOOKUP(B27,'API Data Dictionary'!C:E,3,FALSE))=0, "", IF(B27="", "", VLOOKUP(B27,'API Data Dictionary'!C:E,3,FALSE)))</f>
        <v/>
      </c>
      <c r="F27" s="62" t="str">
        <f>IF(IF(B27="", "", VLOOKUP(B27,'API Data Dictionary'!C:F,4,FALSE))=0, "", IF(B27="", "", VLOOKUP(B27,'API Data Dictionary'!C:F,4,FALSE)))</f>
        <v>Valid Values 1-4 (See enum definition)</v>
      </c>
      <c r="G27" s="62" t="str">
        <f>IF(IF(B27="", "", VLOOKUP(B27,'API Data Dictionary'!C:G,5,FALSE))=0, "", IF(B27="", "", VLOOKUP(B27,'API Data Dictionary'!C:G,5,FALSE)))</f>
        <v>The Type of the Tenant, e.g. lead or Guarantor</v>
      </c>
    </row>
    <row r="28" spans="1:7" ht="14.5" x14ac:dyDescent="0.35">
      <c r="A28" s="64" t="s">
        <v>1109</v>
      </c>
      <c r="B28" s="62" t="str">
        <f t="shared" si="0"/>
        <v>referenceType</v>
      </c>
      <c r="C28" s="62" t="str">
        <f>IF(B28="", "", VLOOKUP(B28,'API Data Dictionary'!C:J,8,FALSE))</f>
        <v>M</v>
      </c>
      <c r="D28" s="62" t="str">
        <f>IF(B28="", "", VLOOKUP(B28,'API Data Dictionary'!C:D,2,FALSE))</f>
        <v>enum - Reference Type</v>
      </c>
      <c r="E28" s="62" t="str">
        <f>IF(IF(B28="", "", VLOOKUP(B28,'API Data Dictionary'!C:E,3,FALSE))=0, "", IF(B28="", "", VLOOKUP(B28,'API Data Dictionary'!C:E,3,FALSE)))</f>
        <v/>
      </c>
      <c r="F28" s="62" t="str">
        <f>IF(IF(B28="", "", VLOOKUP(B28,'API Data Dictionary'!C:F,4,FALSE))=0, "", IF(B28="", "", VLOOKUP(B28,'API Data Dictionary'!C:F,4,FALSE)))</f>
        <v>Valid Values 1-2 (See enum definition)</v>
      </c>
      <c r="G28" s="62" t="str">
        <f>IF(IF(B28="", "", VLOOKUP(B28,'API Data Dictionary'!C:G,5,FALSE))=0, "", IF(B28="", "", VLOOKUP(B28,'API Data Dictionary'!C:G,5,FALSE)))</f>
        <v>The Type of reference, e.g Full or Express</v>
      </c>
    </row>
    <row r="29" spans="1:7" ht="14.5" x14ac:dyDescent="0.35">
      <c r="A29" s="64" t="s">
        <v>1110</v>
      </c>
      <c r="B29" s="62" t="str">
        <f t="shared" si="0"/>
        <v>rightToRent</v>
      </c>
      <c r="C29" s="62" t="str">
        <f>IF(B29="", "", VLOOKUP(B29,'API Data Dictionary'!C:J,8,FALSE))</f>
        <v>M</v>
      </c>
      <c r="D29" s="62" t="str">
        <f>IF(B29="", "", VLOOKUP(B29,'API Data Dictionary'!C:D,2,FALSE))</f>
        <v>boolean</v>
      </c>
      <c r="E29" s="62" t="str">
        <f>IF(IF(B29="", "", VLOOKUP(B29,'API Data Dictionary'!C:E,3,FALSE))=0, "", IF(B29="", "", VLOOKUP(B29,'API Data Dictionary'!C:E,3,FALSE)))</f>
        <v/>
      </c>
      <c r="F29" s="62" t="str">
        <f>IF(IF(B29="", "", VLOOKUP(B29,'API Data Dictionary'!C:F,4,FALSE))=0, "", IF(B29="", "", VLOOKUP(B29,'API Data Dictionary'!C:F,4,FALSE)))</f>
        <v/>
      </c>
      <c r="G29" s="62" t="str">
        <f>IF(IF(B29="", "", VLOOKUP(B29,'API Data Dictionary'!C:G,5,FALSE))=0, "", IF(B29="", "", VLOOKUP(B29,'API Data Dictionary'!C:G,5,FALSE)))</f>
        <v>Use Right to rent product for this reference</v>
      </c>
    </row>
    <row r="30" spans="1:7" ht="14.5" x14ac:dyDescent="0.35">
      <c r="A30" s="64" t="s">
        <v>1111</v>
      </c>
      <c r="B30" s="62" t="str">
        <f t="shared" si="0"/>
        <v>title</v>
      </c>
      <c r="C30" s="62" t="str">
        <f>IF(B30="", "", VLOOKUP(B30,'API Data Dictionary'!C:J,8,FALSE))</f>
        <v>M</v>
      </c>
      <c r="D30" s="62" t="str">
        <f>IF(B30="", "", VLOOKUP(B30,'API Data Dictionary'!C:D,2,FALSE))</f>
        <v>enum - Title</v>
      </c>
      <c r="E30" s="62" t="str">
        <f>IF(IF(B30="", "", VLOOKUP(B30,'API Data Dictionary'!C:E,3,FALSE))=0, "", IF(B30="", "", VLOOKUP(B30,'API Data Dictionary'!C:E,3,FALSE)))</f>
        <v/>
      </c>
      <c r="F30" s="62" t="str">
        <f>IF(IF(B30="", "", VLOOKUP(B30,'API Data Dictionary'!C:F,4,FALSE))=0, "", IF(B30="", "", VLOOKUP(B30,'API Data Dictionary'!C:F,4,FALSE)))</f>
        <v>Valid Values 1-7 (See enum definition)</v>
      </c>
      <c r="G30" s="62" t="str">
        <f>IF(IF(B30="", "", VLOOKUP(B30,'API Data Dictionary'!C:G,5,FALSE))=0, "", IF(B30="", "", VLOOKUP(B30,'API Data Dictionary'!C:G,5,FALSE)))</f>
        <v>The persons title, e.g. Mr, Mrs, etc.</v>
      </c>
    </row>
    <row r="31" spans="1:7" ht="14.5" x14ac:dyDescent="0.35">
      <c r="A31" s="64" t="s">
        <v>1396</v>
      </c>
      <c r="B31" s="62" t="str">
        <f t="shared" si="0"/>
        <v>otherTitle</v>
      </c>
      <c r="C31" s="62" t="str">
        <f>IF(B31="", "", VLOOKUP(B31,'API Data Dictionary'!C:J,8,FALSE))</f>
        <v>X</v>
      </c>
      <c r="D31" s="62" t="str">
        <f>IF(B31="", "", VLOOKUP(B31,'API Data Dictionary'!C:D,2,FALSE))</f>
        <v>string</v>
      </c>
      <c r="E31" s="62">
        <f>IF(IF(B31="", "", VLOOKUP(B31,'API Data Dictionary'!C:E,3,FALSE))=0, "", IF(B31="", "", VLOOKUP(B31,'API Data Dictionary'!C:E,3,FALSE)))</f>
        <v>100</v>
      </c>
      <c r="F31" s="62" t="str">
        <f>IF(IF(B31="", "", VLOOKUP(B31,'API Data Dictionary'!C:F,4,FALSE))=0, "", IF(B31="", "", VLOOKUP(B31,'API Data Dictionary'!C:F,4,FALSE)))</f>
        <v/>
      </c>
      <c r="G31" s="62" t="str">
        <f>IF(IF(B31="", "", VLOOKUP(B31,'API Data Dictionary'!C:G,5,FALSE))=0, "", IF(B31="", "", VLOOKUP(B31,'API Data Dictionary'!C:G,5,FALSE)))</f>
        <v>If other is chosen for title, this is a text field to enter the specific title</v>
      </c>
    </row>
    <row r="32" spans="1:7" ht="14.5" x14ac:dyDescent="0.35">
      <c r="A32" s="64" t="s">
        <v>1844</v>
      </c>
      <c r="B32" s="62" t="str">
        <f t="shared" si="0"/>
        <v>firstName</v>
      </c>
      <c r="C32" s="62" t="str">
        <f>IF(B32="", "", VLOOKUP(B32,'API Data Dictionary'!C:J,8,FALSE))</f>
        <v>M</v>
      </c>
      <c r="D32" s="62" t="str">
        <f>IF(B32="", "", VLOOKUP(B32,'API Data Dictionary'!C:D,2,FALSE))</f>
        <v>string</v>
      </c>
      <c r="E32" s="62">
        <f>IF(IF(B32="", "", VLOOKUP(B32,'API Data Dictionary'!C:E,3,FALSE))=0, "", IF(B32="", "", VLOOKUP(B32,'API Data Dictionary'!C:E,3,FALSE)))</f>
        <v>100</v>
      </c>
      <c r="F32" s="62" t="str">
        <f>IF(IF(B32="", "", VLOOKUP(B32,'API Data Dictionary'!C:F,4,FALSE))=0, "", IF(B32="", "", VLOOKUP(B32,'API Data Dictionary'!C:F,4,FALSE)))</f>
        <v>pattern: ^[a-zA-Z0-9\-' ]*$</v>
      </c>
      <c r="G32" s="62" t="str">
        <f>IF(IF(B32="", "", VLOOKUP(B32,'API Data Dictionary'!C:G,5,FALSE))=0, "", IF(B32="", "", VLOOKUP(B32,'API Data Dictionary'!C:G,5,FALSE)))</f>
        <v>First name, validated against the RegEx pattern</v>
      </c>
    </row>
    <row r="33" spans="1:7" ht="14.5" x14ac:dyDescent="0.35">
      <c r="A33" s="64" t="s">
        <v>1845</v>
      </c>
      <c r="B33" s="62" t="str">
        <f t="shared" si="0"/>
        <v>middleName</v>
      </c>
      <c r="C33" s="62" t="s">
        <v>68</v>
      </c>
      <c r="D33" s="62" t="str">
        <f>IF(B33="", "", VLOOKUP(B33,'API Data Dictionary'!C:D,2,FALSE))</f>
        <v>string</v>
      </c>
      <c r="E33" s="62">
        <f>IF(IF(B33="", "", VLOOKUP(B33,'API Data Dictionary'!C:E,3,FALSE))=0, "", IF(B33="", "", VLOOKUP(B33,'API Data Dictionary'!C:E,3,FALSE)))</f>
        <v>50</v>
      </c>
      <c r="F33" s="62" t="str">
        <f>IF(IF(B33="", "", VLOOKUP(B33,'API Data Dictionary'!C:F,4,FALSE))=0, "", IF(B33="", "", VLOOKUP(B33,'API Data Dictionary'!C:F,4,FALSE)))</f>
        <v>pattern: ^[a-zA-Z0-9\-' ]*$</v>
      </c>
      <c r="G33" s="62" t="str">
        <f>IF(IF(B33="", "", VLOOKUP(B33,'API Data Dictionary'!C:G,5,FALSE))=0, "", IF(B33="", "", VLOOKUP(B33,'API Data Dictionary'!C:G,5,FALSE)))</f>
        <v>Middle name, validated against the RegEx pattern</v>
      </c>
    </row>
    <row r="34" spans="1:7" ht="14.5" x14ac:dyDescent="0.35">
      <c r="A34" s="64" t="s">
        <v>1846</v>
      </c>
      <c r="B34" s="62" t="str">
        <f t="shared" si="0"/>
        <v>surname</v>
      </c>
      <c r="C34" s="62" t="str">
        <f>IF(B34="", "", VLOOKUP(B34,'API Data Dictionary'!C:J,8,FALSE))</f>
        <v>M</v>
      </c>
      <c r="D34" s="62" t="str">
        <f>IF(B34="", "", VLOOKUP(B34,'API Data Dictionary'!C:D,2,FALSE))</f>
        <v>string</v>
      </c>
      <c r="E34" s="62">
        <f>IF(IF(B34="", "", VLOOKUP(B34,'API Data Dictionary'!C:E,3,FALSE))=0, "", IF(B34="", "", VLOOKUP(B34,'API Data Dictionary'!C:E,3,FALSE)))</f>
        <v>100</v>
      </c>
      <c r="F34" s="62" t="str">
        <f>IF(IF(B34="", "", VLOOKUP(B34,'API Data Dictionary'!C:F,4,FALSE))=0, "", IF(B34="", "", VLOOKUP(B34,'API Data Dictionary'!C:F,4,FALSE)))</f>
        <v>pattern: ^[a-zA-Z0-9\-' ]*$</v>
      </c>
      <c r="G34" s="62" t="str">
        <f>IF(IF(B34="", "", VLOOKUP(B34,'API Data Dictionary'!C:G,5,FALSE))=0, "", IF(B34="", "", VLOOKUP(B34,'API Data Dictionary'!C:G,5,FALSE)))</f>
        <v>Surname name, validated against the RegEx pattern</v>
      </c>
    </row>
    <row r="35" spans="1:7" ht="14.5" x14ac:dyDescent="0.35">
      <c r="A35" s="64" t="s">
        <v>1847</v>
      </c>
      <c r="B35" s="62" t="str">
        <f t="shared" si="0"/>
        <v>shareOfRent</v>
      </c>
      <c r="C35" s="62" t="str">
        <f>IF(B35="", "", VLOOKUP(B35,'API Data Dictionary'!C:J,8,FALSE))</f>
        <v>M</v>
      </c>
      <c r="D35" s="62" t="str">
        <f>IF(B35="", "", VLOOKUP(B35,'API Data Dictionary'!C:D,2,FALSE))</f>
        <v>number (double)</v>
      </c>
      <c r="E35" s="62" t="str">
        <f>IF(IF(B35="", "", VLOOKUP(B35,'API Data Dictionary'!C:E,3,FALSE))=0, "", IF(B35="", "", VLOOKUP(B35,'API Data Dictionary'!C:E,3,FALSE)))</f>
        <v/>
      </c>
      <c r="F35" s="62" t="str">
        <f>IF(IF(B35="", "", VLOOKUP(B35,'API Data Dictionary'!C:F,4,FALSE))=0, "", IF(B35="", "", VLOOKUP(B35,'API Data Dictionary'!C:F,4,FALSE)))</f>
        <v>pattern: ^\d*.\d{0,2}$</v>
      </c>
      <c r="G35" s="62" t="str">
        <f>IF(IF(B35="", "", VLOOKUP(B35,'API Data Dictionary'!C:G,5,FALSE))=0, "", IF(B35="", "", VLOOKUP(B35,'API Data Dictionary'!C:G,5,FALSE)))</f>
        <v>GBP value of the applicants share of the rent</v>
      </c>
    </row>
    <row r="36" spans="1:7" ht="14.5" x14ac:dyDescent="0.35">
      <c r="A36" s="64" t="s">
        <v>1848</v>
      </c>
      <c r="B36" s="62" t="str">
        <f t="shared" si="0"/>
        <v>telephoneCountryID</v>
      </c>
      <c r="C36" s="62" t="str">
        <f>IF(B36="", "", VLOOKUP(B36,'API Data Dictionary'!C:J,8,FALSE))</f>
        <v>M</v>
      </c>
      <c r="D36" s="62" t="str">
        <f>IF(B36="", "", VLOOKUP(B36,'API Data Dictionary'!C:D,2,FALSE))</f>
        <v>enum -Country/Location Code</v>
      </c>
      <c r="E36" s="62" t="str">
        <f>IF(IF(B36="", "", VLOOKUP(B36,'API Data Dictionary'!C:E,3,FALSE))=0, "", IF(B36="", "", VLOOKUP(B36,'API Data Dictionary'!C:E,3,FALSE)))</f>
        <v/>
      </c>
      <c r="F36" s="62" t="str">
        <f>IF(IF(B36="", "", VLOOKUP(B36,'API Data Dictionary'!C:F,4,FALSE))=0, "", IF(B36="", "", VLOOKUP(B36,'API Data Dictionary'!C:F,4,FALSE)))</f>
        <v>Valid Values 1-239 (See enum definition)</v>
      </c>
      <c r="G36" s="62" t="str">
        <f>IF(IF(B36="", "", VLOOKUP(B36,'API Data Dictionary'!C:G,5,FALSE))=0, "", IF(B36="", "", VLOOKUP(B36,'API Data Dictionary'!C:G,5,FALSE)))</f>
        <v>The country/location code of the phone number</v>
      </c>
    </row>
    <row r="37" spans="1:7" ht="14.5" x14ac:dyDescent="0.35">
      <c r="A37" s="64" t="s">
        <v>1376</v>
      </c>
      <c r="B37" s="62" t="str">
        <f t="shared" si="0"/>
        <v>contactTelephoneNo</v>
      </c>
      <c r="C37" s="62" t="str">
        <f>IF(B37="", "", VLOOKUP(B37,'API Data Dictionary'!C:J,8,FALSE))</f>
        <v>M</v>
      </c>
      <c r="D37" s="62" t="str">
        <f>IF(B37="", "", VLOOKUP(B37,'API Data Dictionary'!C:D,2,FALSE))</f>
        <v>string</v>
      </c>
      <c r="E37" s="62">
        <f>IF(IF(B37="", "", VLOOKUP(B37,'API Data Dictionary'!C:E,3,FALSE))=0, "", IF(B37="", "", VLOOKUP(B37,'API Data Dictionary'!C:E,3,FALSE)))</f>
        <v>15</v>
      </c>
      <c r="F37" s="62" t="str">
        <f>IF(IF(B37="", "", VLOOKUP(B37,'API Data Dictionary'!C:F,4,FALSE))=0, "", IF(B37="", "", VLOOKUP(B37,'API Data Dictionary'!C:F,4,FALSE)))</f>
        <v>pattern: ^(\d{11})$</v>
      </c>
      <c r="G37" s="62" t="str">
        <f>IF(IF(B37="", "", VLOOKUP(B37,'API Data Dictionary'!C:G,5,FALSE))=0, "", IF(B37="", "", VLOOKUP(B37,'API Data Dictionary'!C:G,5,FALSE)))</f>
        <v xml:space="preserve">The telephone number </v>
      </c>
    </row>
    <row r="38" spans="1:7" ht="14.5" x14ac:dyDescent="0.35">
      <c r="A38" s="64" t="s">
        <v>1849</v>
      </c>
      <c r="B38" s="62" t="str">
        <f t="shared" si="0"/>
        <v>emailAddress</v>
      </c>
      <c r="C38" s="62" t="str">
        <f>IF(B38="", "", VLOOKUP(B38,'API Data Dictionary'!C:J,8,FALSE))</f>
        <v>M</v>
      </c>
      <c r="D38" s="62" t="str">
        <f>IF(B38="", "", VLOOKUP(B38,'API Data Dictionary'!C:D,2,FALSE))</f>
        <v>string ($email)</v>
      </c>
      <c r="E38" s="62">
        <f>IF(IF(B38="", "", VLOOKUP(B38,'API Data Dictionary'!C:E,3,FALSE))=0, "", IF(B38="", "", VLOOKUP(B38,'API Data Dictionary'!C:E,3,FALSE)))</f>
        <v>200</v>
      </c>
      <c r="F38" s="62" t="str">
        <f>IF(IF(B38="", "", VLOOKUP(B38,'API Data Dictionary'!C:F,4,FALSE))=0, "", IF(B38="", "", VLOOKUP(B38,'API Data Dictionary'!C:F,4,FALSE)))</f>
        <v>pattern: ^(?!.*\.\.)(?!.*\\_\\_)(?!.*\-\-)[a-zA-Z0-9][-a-zA-Z0-9._]+[a-zA-Z0-9]@([-a-zA-Z0-9]+.)+[a-zA-Z]{2,5}$</v>
      </c>
      <c r="G38" s="62" t="str">
        <f>IF(IF(B38="", "", VLOOKUP(B38,'API Data Dictionary'!C:G,5,FALSE))=0, "", IF(B38="", "", VLOOKUP(B38,'API Data Dictionary'!C:G,5,FALSE)))</f>
        <v>The email address</v>
      </c>
    </row>
    <row r="39" spans="1:7" ht="14.5" x14ac:dyDescent="0.35">
      <c r="A39" s="64" t="s">
        <v>1850</v>
      </c>
      <c r="B39" s="62" t="str">
        <f t="shared" si="0"/>
        <v>dateOfBirth</v>
      </c>
      <c r="C39" s="62" t="s">
        <v>68</v>
      </c>
      <c r="D39" s="62" t="str">
        <f>IF(B39="", "", VLOOKUP(B39,'API Data Dictionary'!C:D,2,FALSE))</f>
        <v>string ($date-time)</v>
      </c>
      <c r="E39" s="62" t="str">
        <f>IF(IF(B39="", "", VLOOKUP(B39,'API Data Dictionary'!C:E,3,FALSE))=0, "", IF(B39="", "", VLOOKUP(B39,'API Data Dictionary'!C:E,3,FALSE)))</f>
        <v/>
      </c>
      <c r="F39" s="62" t="str">
        <f>IF(IF(B39="", "", VLOOKUP(B39,'API Data Dictionary'!C:F,4,FALSE))=0, "", IF(B39="", "", VLOOKUP(B39,'API Data Dictionary'!C:F,4,FALSE)))</f>
        <v>DD/MM/YYYY</v>
      </c>
      <c r="G39" s="62" t="str">
        <f>IF(IF(B39="", "", VLOOKUP(B39,'API Data Dictionary'!C:G,5,FALSE))=0, "", IF(B39="", "", VLOOKUP(B39,'API Data Dictionary'!C:G,5,FALSE)))</f>
        <v>The date of birth, formatted DD-MM-YYYY</v>
      </c>
    </row>
    <row r="40" spans="1:7" ht="14.5" x14ac:dyDescent="0.35">
      <c r="A40" s="64" t="s">
        <v>1851</v>
      </c>
      <c r="B40" s="62" t="str">
        <f t="shared" si="0"/>
        <v>nationality</v>
      </c>
      <c r="C40" s="62" t="str">
        <f>IF(B40="", "", VLOOKUP(B40,'API Data Dictionary'!C:J,8,FALSE))</f>
        <v>M</v>
      </c>
      <c r="D40" s="62" t="str">
        <f>IF(B40="", "", VLOOKUP(B40,'API Data Dictionary'!C:D,2,FALSE))</f>
        <v>enum - Nationality</v>
      </c>
      <c r="E40" s="62" t="str">
        <f>IF(IF(B40="", "", VLOOKUP(B40,'API Data Dictionary'!C:E,3,FALSE))=0, "", IF(B40="", "", VLOOKUP(B40,'API Data Dictionary'!C:E,3,FALSE)))</f>
        <v/>
      </c>
      <c r="F40" s="62" t="str">
        <f>IF(IF(B40="", "", VLOOKUP(B40,'API Data Dictionary'!C:F,4,FALSE))=0, "", IF(B40="", "", VLOOKUP(B40,'API Data Dictionary'!C:F,4,FALSE)))</f>
        <v>Valid Values 1-231 (See enum definition)</v>
      </c>
      <c r="G40" s="62" t="str">
        <f>IF(IF(B40="", "", VLOOKUP(B40,'API Data Dictionary'!C:G,5,FALSE))=0, "", IF(B40="", "", VLOOKUP(B40,'API Data Dictionary'!C:G,5,FALSE)))</f>
        <v>The nationality, from the nationality enum list</v>
      </c>
    </row>
    <row r="41" spans="1:7" ht="14.5" x14ac:dyDescent="0.35">
      <c r="A41" s="64" t="s">
        <v>1852</v>
      </c>
      <c r="B41" s="62" t="str">
        <f t="shared" si="0"/>
        <v>niNumber</v>
      </c>
      <c r="C41" s="62" t="str">
        <f>IF(B41="", "", VLOOKUP(B41,'API Data Dictionary'!C:J,8,FALSE))</f>
        <v>X</v>
      </c>
      <c r="D41" s="62" t="str">
        <f>IF(B41="", "", VLOOKUP(B41,'API Data Dictionary'!C:D,2,FALSE))</f>
        <v>string</v>
      </c>
      <c r="E41" s="62">
        <f>IF(IF(B41="", "", VLOOKUP(B41,'API Data Dictionary'!C:E,3,FALSE))=0, "", IF(B41="", "", VLOOKUP(B41,'API Data Dictionary'!C:E,3,FALSE)))</f>
        <v>100</v>
      </c>
      <c r="F41" s="62" t="str">
        <f>IF(IF(B41="", "", VLOOKUP(B41,'API Data Dictionary'!C:F,4,FALSE))=0, "", IF(B41="", "", VLOOKUP(B41,'API Data Dictionary'!C:F,4,FALSE)))</f>
        <v>pattern: ^[a-zA-Z]{2}(?:\d){6}[a-zA-Z]{1}$</v>
      </c>
      <c r="G41" s="62" t="str">
        <f>IF(IF(B41="", "", VLOOKUP(B41,'API Data Dictionary'!C:G,5,FALSE))=0, "", IF(B41="", "", VLOOKUP(B41,'API Data Dictionary'!C:G,5,FALSE)))</f>
        <v>NI Number, matched to RegEx pattern</v>
      </c>
    </row>
    <row r="42" spans="1:7" ht="14.5" x14ac:dyDescent="0.35">
      <c r="A42" s="64" t="s">
        <v>1853</v>
      </c>
      <c r="B42" s="62" t="str">
        <f t="shared" si="0"/>
        <v>residentStatus</v>
      </c>
      <c r="C42" s="62" t="str">
        <f>IF(B42="", "", VLOOKUP(B42,'API Data Dictionary'!C:J,8,FALSE))</f>
        <v>M</v>
      </c>
      <c r="D42" s="62" t="str">
        <f>IF(B42="", "", VLOOKUP(B42,'API Data Dictionary'!C:D,2,FALSE))</f>
        <v xml:space="preserve">enum - resident Status	</v>
      </c>
      <c r="E42" s="62" t="str">
        <f>IF(IF(B42="", "", VLOOKUP(B42,'API Data Dictionary'!C:E,3,FALSE))=0, "", IF(B42="", "", VLOOKUP(B42,'API Data Dictionary'!C:E,3,FALSE)))</f>
        <v/>
      </c>
      <c r="F42" s="62" t="str">
        <f>IF(IF(B42="", "", VLOOKUP(B42,'API Data Dictionary'!C:F,4,FALSE))=0, "", IF(B42="", "", VLOOKUP(B42,'API Data Dictionary'!C:F,4,FALSE)))</f>
        <v>Valid Values 1-2 (See enum definition)</v>
      </c>
      <c r="G42" s="62" t="str">
        <f>IF(IF(B42="", "", VLOOKUP(B42,'API Data Dictionary'!C:G,5,FALSE))=0, "", IF(B42="", "", VLOOKUP(B42,'API Data Dictionary'!C:G,5,FALSE)))</f>
        <v>Denotes the resident status e.g. UK resident</v>
      </c>
    </row>
    <row r="43" spans="1:7" ht="14.5" x14ac:dyDescent="0.35">
      <c r="A43" s="64" t="s">
        <v>1965</v>
      </c>
      <c r="B43" s="62" t="str">
        <f t="shared" si="0"/>
        <v>additionalInformation</v>
      </c>
      <c r="C43" s="62" t="str">
        <f>IF(B43="", "", VLOOKUP(B43,'API Data Dictionary'!C:J,8,FALSE))</f>
        <v>X</v>
      </c>
      <c r="D43" s="62" t="str">
        <f>IF(B43="", "", VLOOKUP(B43,'API Data Dictionary'!C:D,2,FALSE))</f>
        <v>string</v>
      </c>
      <c r="E43" s="62">
        <f>IF(IF(B43="", "", VLOOKUP(B43,'API Data Dictionary'!C:E,3,FALSE))=0, "", IF(B43="", "", VLOOKUP(B43,'API Data Dictionary'!C:E,3,FALSE)))</f>
        <v>65535</v>
      </c>
      <c r="F43" s="62" t="str">
        <f>IF(IF(B43="", "", VLOOKUP(B43,'API Data Dictionary'!C:F,4,FALSE))=0, "", IF(B43="", "", VLOOKUP(B43,'API Data Dictionary'!C:F,4,FALSE)))</f>
        <v/>
      </c>
      <c r="G43" s="62" t="str">
        <f>IF(IF(B43="", "", VLOOKUP(B43,'API Data Dictionary'!C:G,5,FALSE))=0, "", IF(B43="", "", VLOOKUP(B43,'API Data Dictionary'!C:G,5,FALSE)))</f>
        <v>Free text field for additional information</v>
      </c>
    </row>
    <row r="44" spans="1:7" ht="14.5" x14ac:dyDescent="0.35">
      <c r="A44" s="64" t="s">
        <v>1821</v>
      </c>
      <c r="B44" s="62" t="str">
        <f t="shared" si="0"/>
        <v/>
      </c>
      <c r="C44" s="62" t="str">
        <f>IF(B44="", "", VLOOKUP(B44,'API Data Dictionary'!C:J,8,FALSE))</f>
        <v/>
      </c>
      <c r="D44" s="62" t="str">
        <f>IF(B44="", "", VLOOKUP(B44,'API Data Dictionary'!C:D,2,FALSE))</f>
        <v/>
      </c>
      <c r="E44" s="62" t="str">
        <f>IF(IF(B44="", "", VLOOKUP(B44,'API Data Dictionary'!C:E,3,FALSE))=0, "", IF(B44="", "", VLOOKUP(B44,'API Data Dictionary'!C:E,3,FALSE)))</f>
        <v/>
      </c>
      <c r="F44" s="62" t="str">
        <f>IF(IF(B44="", "", VLOOKUP(B44,'API Data Dictionary'!C:F,4,FALSE))=0, "", IF(B44="", "", VLOOKUP(B44,'API Data Dictionary'!C:F,4,FALSE)))</f>
        <v/>
      </c>
      <c r="G44" s="62" t="str">
        <f>IF(IF(B44="", "", VLOOKUP(B44,'API Data Dictionary'!C:G,5,FALSE))=0, "", IF(B44="", "", VLOOKUP(B44,'API Data Dictionary'!C:G,5,FALSE)))</f>
        <v/>
      </c>
    </row>
    <row r="45" spans="1:7" ht="14.5" x14ac:dyDescent="0.35">
      <c r="A45" s="64" t="s">
        <v>1114</v>
      </c>
      <c r="B45" s="62" t="str">
        <f t="shared" si="0"/>
        <v/>
      </c>
      <c r="C45" s="62" t="str">
        <f>IF(B45="", "", VLOOKUP(B45,'API Data Dictionary'!C:J,8,FALSE))</f>
        <v/>
      </c>
      <c r="D45" s="62" t="str">
        <f>IF(B45="", "", VLOOKUP(B45,'API Data Dictionary'!C:D,2,FALSE))</f>
        <v/>
      </c>
      <c r="E45" s="62" t="str">
        <f>IF(IF(B45="", "", VLOOKUP(B45,'API Data Dictionary'!C:E,3,FALSE))=0, "", IF(B45="", "", VLOOKUP(B45,'API Data Dictionary'!C:E,3,FALSE)))</f>
        <v/>
      </c>
      <c r="F45" s="62" t="str">
        <f>IF(IF(B45="", "", VLOOKUP(B45,'API Data Dictionary'!C:F,4,FALSE))=0, "", IF(B45="", "", VLOOKUP(B45,'API Data Dictionary'!C:F,4,FALSE)))</f>
        <v/>
      </c>
      <c r="G45" s="62" t="str">
        <f>IF(IF(B45="", "", VLOOKUP(B45,'API Data Dictionary'!C:G,5,FALSE))=0, "", IF(B45="", "", VLOOKUP(B45,'API Data Dictionary'!C:G,5,FALSE)))</f>
        <v/>
      </c>
    </row>
    <row r="46" spans="1:7" ht="14.5" x14ac:dyDescent="0.35">
      <c r="A46" s="64" t="s">
        <v>1854</v>
      </c>
      <c r="B46" s="62" t="str">
        <f t="shared" si="0"/>
        <v>firstName</v>
      </c>
      <c r="C46" s="62" t="str">
        <f>IF(B46="", "", VLOOKUP(B46,'API Data Dictionary'!C:J,8,FALSE))</f>
        <v>M</v>
      </c>
      <c r="D46" s="62" t="str">
        <f>IF(B46="", "", VLOOKUP(B46,'API Data Dictionary'!C:D,2,FALSE))</f>
        <v>string</v>
      </c>
      <c r="E46" s="62">
        <f>IF(IF(B46="", "", VLOOKUP(B46,'API Data Dictionary'!C:E,3,FALSE))=0, "", IF(B46="", "", VLOOKUP(B46,'API Data Dictionary'!C:E,3,FALSE)))</f>
        <v>100</v>
      </c>
      <c r="F46" s="62" t="str">
        <f>IF(IF(B46="", "", VLOOKUP(B46,'API Data Dictionary'!C:F,4,FALSE))=0, "", IF(B46="", "", VLOOKUP(B46,'API Data Dictionary'!C:F,4,FALSE)))</f>
        <v>pattern: ^[a-zA-Z0-9\-' ]*$</v>
      </c>
      <c r="G46" s="62" t="str">
        <f>IF(IF(B46="", "", VLOOKUP(B46,'API Data Dictionary'!C:G,5,FALSE))=0, "", IF(B46="", "", VLOOKUP(B46,'API Data Dictionary'!C:G,5,FALSE)))</f>
        <v>First name, validated against the RegEx pattern</v>
      </c>
    </row>
    <row r="47" spans="1:7" ht="14.5" x14ac:dyDescent="0.35">
      <c r="A47" s="64" t="s">
        <v>1855</v>
      </c>
      <c r="B47" s="62" t="str">
        <f t="shared" si="0"/>
        <v>middleName</v>
      </c>
      <c r="C47" s="62" t="str">
        <f>IF(B47="", "", VLOOKUP(B47,'API Data Dictionary'!C:J,8,FALSE))</f>
        <v>X</v>
      </c>
      <c r="D47" s="62" t="str">
        <f>IF(B47="", "", VLOOKUP(B47,'API Data Dictionary'!C:D,2,FALSE))</f>
        <v>string</v>
      </c>
      <c r="E47" s="62">
        <f>IF(IF(B47="", "", VLOOKUP(B47,'API Data Dictionary'!C:E,3,FALSE))=0, "", IF(B47="", "", VLOOKUP(B47,'API Data Dictionary'!C:E,3,FALSE)))</f>
        <v>50</v>
      </c>
      <c r="F47" s="62" t="str">
        <f>IF(IF(B47="", "", VLOOKUP(B47,'API Data Dictionary'!C:F,4,FALSE))=0, "", IF(B47="", "", VLOOKUP(B47,'API Data Dictionary'!C:F,4,FALSE)))</f>
        <v>pattern: ^[a-zA-Z0-9\-' ]*$</v>
      </c>
      <c r="G47" s="62" t="str">
        <f>IF(IF(B47="", "", VLOOKUP(B47,'API Data Dictionary'!C:G,5,FALSE))=0, "", IF(B47="", "", VLOOKUP(B47,'API Data Dictionary'!C:G,5,FALSE)))</f>
        <v>Middle name, validated against the RegEx pattern</v>
      </c>
    </row>
    <row r="48" spans="1:7" ht="14.5" x14ac:dyDescent="0.35">
      <c r="A48" s="64" t="s">
        <v>1856</v>
      </c>
      <c r="B48" s="62" t="str">
        <f t="shared" si="0"/>
        <v>lastName</v>
      </c>
      <c r="C48" s="62" t="str">
        <f>IF(B48="", "", VLOOKUP(B48,'API Data Dictionary'!C:J,8,FALSE))</f>
        <v>X</v>
      </c>
      <c r="D48" s="62" t="str">
        <f>IF(B48="", "", VLOOKUP(B48,'API Data Dictionary'!C:D,2,FALSE))</f>
        <v>string</v>
      </c>
      <c r="E48" s="62">
        <f>IF(IF(B48="", "", VLOOKUP(B48,'API Data Dictionary'!C:E,3,FALSE))=0, "", IF(B48="", "", VLOOKUP(B48,'API Data Dictionary'!C:E,3,FALSE)))</f>
        <v>100</v>
      </c>
      <c r="F48" s="62" t="str">
        <f>IF(IF(B48="", "", VLOOKUP(B48,'API Data Dictionary'!C:F,4,FALSE))=0, "", IF(B48="", "", VLOOKUP(B48,'API Data Dictionary'!C:F,4,FALSE)))</f>
        <v>pattern: ^[a-zA-Z0-9\-' ]*$</v>
      </c>
      <c r="G48" s="62" t="str">
        <f>IF(IF(B48="", "", VLOOKUP(B48,'API Data Dictionary'!C:G,5,FALSE))=0, "", IF(B48="", "", VLOOKUP(B48,'API Data Dictionary'!C:G,5,FALSE)))</f>
        <v>Surname name, validated against the RegEx pattern</v>
      </c>
    </row>
    <row r="49" spans="1:7" ht="14.5" x14ac:dyDescent="0.35">
      <c r="A49" s="64" t="s">
        <v>1857</v>
      </c>
      <c r="B49" s="62" t="str">
        <f t="shared" si="0"/>
        <v>nameChangeDate</v>
      </c>
      <c r="C49" s="62" t="str">
        <f>IF(B49="", "", VLOOKUP(B49,'API Data Dictionary'!C:J,8,FALSE))</f>
        <v>X</v>
      </c>
      <c r="D49" s="62" t="str">
        <f>IF(B49="", "", VLOOKUP(B49,'API Data Dictionary'!C:D,2,FALSE))</f>
        <v>string ($date-time)</v>
      </c>
      <c r="E49" s="62" t="str">
        <f>IF(IF(B49="", "", VLOOKUP(B49,'API Data Dictionary'!C:E,3,FALSE))=0, "", IF(B49="", "", VLOOKUP(B49,'API Data Dictionary'!C:E,3,FALSE)))</f>
        <v/>
      </c>
      <c r="F49" s="62" t="str">
        <f>IF(IF(B49="", "", VLOOKUP(B49,'API Data Dictionary'!C:F,4,FALSE))=0, "", IF(B49="", "", VLOOKUP(B49,'API Data Dictionary'!C:F,4,FALSE)))</f>
        <v>DD/MM/YYYY</v>
      </c>
      <c r="G49" s="62" t="str">
        <f>IF(IF(B49="", "", VLOOKUP(B49,'API Data Dictionary'!C:G,5,FALSE))=0, "", IF(B49="", "", VLOOKUP(B49,'API Data Dictionary'!C:G,5,FALSE)))</f>
        <v>Date the name was changed, formatted DD/MM/YYYY</v>
      </c>
    </row>
    <row r="50" spans="1:7" ht="14.5" x14ac:dyDescent="0.35">
      <c r="A50" s="64" t="s">
        <v>1115</v>
      </c>
      <c r="B50" s="62" t="str">
        <f t="shared" si="0"/>
        <v/>
      </c>
      <c r="C50" s="62" t="str">
        <f>IF(B50="", "", VLOOKUP(B50,'API Data Dictionary'!C:J,8,FALSE))</f>
        <v/>
      </c>
      <c r="D50" s="62" t="str">
        <f>IF(B50="", "", VLOOKUP(B50,'API Data Dictionary'!C:D,2,FALSE))</f>
        <v/>
      </c>
      <c r="E50" s="62" t="str">
        <f>IF(IF(B50="", "", VLOOKUP(B50,'API Data Dictionary'!C:E,3,FALSE))=0, "", IF(B50="", "", VLOOKUP(B50,'API Data Dictionary'!C:E,3,FALSE)))</f>
        <v/>
      </c>
      <c r="F50" s="62" t="str">
        <f>IF(IF(B50="", "", VLOOKUP(B50,'API Data Dictionary'!C:F,4,FALSE))=0, "", IF(B50="", "", VLOOKUP(B50,'API Data Dictionary'!C:F,4,FALSE)))</f>
        <v/>
      </c>
      <c r="G50" s="62" t="str">
        <f>IF(IF(B50="", "", VLOOKUP(B50,'API Data Dictionary'!C:G,5,FALSE))=0, "", IF(B50="", "", VLOOKUP(B50,'API Data Dictionary'!C:G,5,FALSE)))</f>
        <v/>
      </c>
    </row>
    <row r="51" spans="1:7" ht="14.5" x14ac:dyDescent="0.35">
      <c r="A51" s="64" t="s">
        <v>1116</v>
      </c>
      <c r="B51" s="62" t="str">
        <f t="shared" ref="B51:B114" si="1">IF(OR(ISNUMBER(SEARCH("{", A51)),ISNUMBER(SEARCH("[", A51))), "", IFERROR(MID(A51, SEARCH("""", A51) +1, SEARCH("""", A51, SEARCH("""",A51) +1) - SEARCH("""", A51) -1), ""))</f>
        <v/>
      </c>
      <c r="C51" s="62" t="str">
        <f>IF(B51="", "", VLOOKUP(B51,'API Data Dictionary'!C:J,8,FALSE))</f>
        <v/>
      </c>
      <c r="D51" s="62" t="str">
        <f>IF(B51="", "", VLOOKUP(B51,'API Data Dictionary'!C:D,2,FALSE))</f>
        <v/>
      </c>
      <c r="E51" s="62" t="str">
        <f>IF(IF(B51="", "", VLOOKUP(B51,'API Data Dictionary'!C:E,3,FALSE))=0, "", IF(B51="", "", VLOOKUP(B51,'API Data Dictionary'!C:E,3,FALSE)))</f>
        <v/>
      </c>
      <c r="F51" s="62" t="str">
        <f>IF(IF(B51="", "", VLOOKUP(B51,'API Data Dictionary'!C:F,4,FALSE))=0, "", IF(B51="", "", VLOOKUP(B51,'API Data Dictionary'!C:F,4,FALSE)))</f>
        <v/>
      </c>
      <c r="G51" s="62" t="str">
        <f>IF(IF(B51="", "", VLOOKUP(B51,'API Data Dictionary'!C:G,5,FALSE))=0, "", IF(B51="", "", VLOOKUP(B51,'API Data Dictionary'!C:G,5,FALSE)))</f>
        <v/>
      </c>
    </row>
    <row r="52" spans="1:7" ht="14.5" x14ac:dyDescent="0.35">
      <c r="A52" s="64" t="s">
        <v>1822</v>
      </c>
      <c r="B52" s="62" t="str">
        <f t="shared" si="1"/>
        <v/>
      </c>
      <c r="C52" s="62" t="str">
        <f>IF(B52="", "", VLOOKUP(B52,'API Data Dictionary'!C:J,8,FALSE))</f>
        <v/>
      </c>
      <c r="D52" s="62" t="str">
        <f>IF(B52="", "", VLOOKUP(B52,'API Data Dictionary'!C:D,2,FALSE))</f>
        <v/>
      </c>
      <c r="E52" s="62" t="str">
        <f>IF(IF(B52="", "", VLOOKUP(B52,'API Data Dictionary'!C:E,3,FALSE))=0, "", IF(B52="", "", VLOOKUP(B52,'API Data Dictionary'!C:E,3,FALSE)))</f>
        <v/>
      </c>
      <c r="F52" s="62" t="str">
        <f>IF(IF(B52="", "", VLOOKUP(B52,'API Data Dictionary'!C:F,4,FALSE))=0, "", IF(B52="", "", VLOOKUP(B52,'API Data Dictionary'!C:F,4,FALSE)))</f>
        <v/>
      </c>
      <c r="G52" s="62" t="str">
        <f>IF(IF(B52="", "", VLOOKUP(B52,'API Data Dictionary'!C:G,5,FALSE))=0, "", IF(B52="", "", VLOOKUP(B52,'API Data Dictionary'!C:G,5,FALSE)))</f>
        <v/>
      </c>
    </row>
    <row r="53" spans="1:7" ht="14.5" x14ac:dyDescent="0.35">
      <c r="A53" s="64" t="s">
        <v>1114</v>
      </c>
      <c r="B53" s="62" t="str">
        <f t="shared" si="1"/>
        <v/>
      </c>
      <c r="C53" s="62" t="str">
        <f>IF(B53="", "", VLOOKUP(B53,'API Data Dictionary'!C:J,8,FALSE))</f>
        <v/>
      </c>
      <c r="D53" s="62" t="str">
        <f>IF(B53="", "", VLOOKUP(B53,'API Data Dictionary'!C:D,2,FALSE))</f>
        <v/>
      </c>
      <c r="E53" s="62" t="str">
        <f>IF(IF(B53="", "", VLOOKUP(B53,'API Data Dictionary'!C:E,3,FALSE))=0, "", IF(B53="", "", VLOOKUP(B53,'API Data Dictionary'!C:E,3,FALSE)))</f>
        <v/>
      </c>
      <c r="F53" s="62" t="str">
        <f>IF(IF(B53="", "", VLOOKUP(B53,'API Data Dictionary'!C:F,4,FALSE))=0, "", IF(B53="", "", VLOOKUP(B53,'API Data Dictionary'!C:F,4,FALSE)))</f>
        <v/>
      </c>
      <c r="G53" s="62" t="str">
        <f>IF(IF(B53="", "", VLOOKUP(B53,'API Data Dictionary'!C:G,5,FALSE))=0, "", IF(B53="", "", VLOOKUP(B53,'API Data Dictionary'!C:G,5,FALSE)))</f>
        <v/>
      </c>
    </row>
    <row r="54" spans="1:7" ht="14.5" x14ac:dyDescent="0.35">
      <c r="A54" s="64" t="s">
        <v>1823</v>
      </c>
      <c r="B54" s="62" t="str">
        <f t="shared" si="1"/>
        <v/>
      </c>
      <c r="C54" s="62" t="str">
        <f>IF(B54="", "", VLOOKUP(B54,'API Data Dictionary'!C:J,8,FALSE))</f>
        <v/>
      </c>
      <c r="D54" s="62" t="str">
        <f>IF(B54="", "", VLOOKUP(B54,'API Data Dictionary'!C:D,2,FALSE))</f>
        <v/>
      </c>
      <c r="E54" s="62" t="str">
        <f>IF(IF(B54="", "", VLOOKUP(B54,'API Data Dictionary'!C:E,3,FALSE))=0, "", IF(B54="", "", VLOOKUP(B54,'API Data Dictionary'!C:E,3,FALSE)))</f>
        <v/>
      </c>
      <c r="F54" s="62" t="str">
        <f>IF(IF(B54="", "", VLOOKUP(B54,'API Data Dictionary'!C:F,4,FALSE))=0, "", IF(B54="", "", VLOOKUP(B54,'API Data Dictionary'!C:F,4,FALSE)))</f>
        <v/>
      </c>
      <c r="G54" s="62" t="str">
        <f>IF(IF(B54="", "", VLOOKUP(B54,'API Data Dictionary'!C:G,5,FALSE))=0, "", IF(B54="", "", VLOOKUP(B54,'API Data Dictionary'!C:G,5,FALSE)))</f>
        <v/>
      </c>
    </row>
    <row r="55" spans="1:7" ht="14.5" x14ac:dyDescent="0.35">
      <c r="A55" s="64" t="s">
        <v>1824</v>
      </c>
      <c r="B55" s="62" t="str">
        <f t="shared" si="1"/>
        <v/>
      </c>
      <c r="C55" s="62" t="str">
        <f>IF(B55="", "", VLOOKUP(B55,'API Data Dictionary'!C:J,8,FALSE))</f>
        <v/>
      </c>
      <c r="D55" s="62" t="str">
        <f>IF(B55="", "", VLOOKUP(B55,'API Data Dictionary'!C:D,2,FALSE))</f>
        <v/>
      </c>
      <c r="E55" s="62" t="str">
        <f>IF(IF(B55="", "", VLOOKUP(B55,'API Data Dictionary'!C:E,3,FALSE))=0, "", IF(B55="", "", VLOOKUP(B55,'API Data Dictionary'!C:E,3,FALSE)))</f>
        <v/>
      </c>
      <c r="F55" s="62" t="str">
        <f>IF(IF(B55="", "", VLOOKUP(B55,'API Data Dictionary'!C:F,4,FALSE))=0, "", IF(B55="", "", VLOOKUP(B55,'API Data Dictionary'!C:F,4,FALSE)))</f>
        <v/>
      </c>
      <c r="G55" s="62" t="str">
        <f>IF(IF(B55="", "", VLOOKUP(B55,'API Data Dictionary'!C:G,5,FALSE))=0, "", IF(B55="", "", VLOOKUP(B55,'API Data Dictionary'!C:G,5,FALSE)))</f>
        <v/>
      </c>
    </row>
    <row r="56" spans="1:7" ht="14.5" x14ac:dyDescent="0.35">
      <c r="A56" s="64" t="s">
        <v>1858</v>
      </c>
      <c r="B56" s="62" t="str">
        <f t="shared" si="1"/>
        <v>houseNumber</v>
      </c>
      <c r="C56" s="62" t="str">
        <f>IF(B56="", "", VLOOKUP(B56,'API Data Dictionary'!C:J,8,FALSE))</f>
        <v>X</v>
      </c>
      <c r="D56" s="62" t="str">
        <f>IF(B56="", "", VLOOKUP(B56,'API Data Dictionary'!C:D,2,FALSE))</f>
        <v>string</v>
      </c>
      <c r="E56" s="62">
        <f>IF(IF(B56="", "", VLOOKUP(B56,'API Data Dictionary'!C:E,3,FALSE))=0, "", IF(B56="", "", VLOOKUP(B56,'API Data Dictionary'!C:E,3,FALSE)))</f>
        <v>100</v>
      </c>
      <c r="F56" s="62" t="str">
        <f>IF(IF(B56="", "", VLOOKUP(B56,'API Data Dictionary'!C:F,4,FALSE))=0, "", IF(B56="", "", VLOOKUP(B56,'API Data Dictionary'!C:F,4,FALSE)))</f>
        <v/>
      </c>
      <c r="G56" s="62" t="str">
        <f>IF(IF(B56="", "", VLOOKUP(B56,'API Data Dictionary'!C:G,5,FALSE))=0, "", IF(B56="", "", VLOOKUP(B56,'API Data Dictionary'!C:G,5,FALSE)))</f>
        <v xml:space="preserve">The number of the property, mandatory OR pair with House name field </v>
      </c>
    </row>
    <row r="57" spans="1:7" ht="14.5" x14ac:dyDescent="0.35">
      <c r="A57" s="64" t="s">
        <v>1859</v>
      </c>
      <c r="B57" s="62" t="str">
        <f t="shared" si="1"/>
        <v>houseName</v>
      </c>
      <c r="C57" s="62" t="str">
        <f>IF(B57="", "", VLOOKUP(B57,'API Data Dictionary'!C:J,8,FALSE))</f>
        <v>X</v>
      </c>
      <c r="D57" s="62" t="str">
        <f>IF(B57="", "", VLOOKUP(B57,'API Data Dictionary'!C:D,2,FALSE))</f>
        <v>string</v>
      </c>
      <c r="E57" s="62">
        <f>IF(IF(B57="", "", VLOOKUP(B57,'API Data Dictionary'!C:E,3,FALSE))=0, "", IF(B57="", "", VLOOKUP(B57,'API Data Dictionary'!C:E,3,FALSE)))</f>
        <v>100</v>
      </c>
      <c r="F57" s="62" t="str">
        <f>IF(IF(B57="", "", VLOOKUP(B57,'API Data Dictionary'!C:F,4,FALSE))=0, "", IF(B57="", "", VLOOKUP(B57,'API Data Dictionary'!C:F,4,FALSE)))</f>
        <v/>
      </c>
      <c r="G57" s="62" t="str">
        <f>IF(IF(B57="", "", VLOOKUP(B57,'API Data Dictionary'!C:G,5,FALSE))=0, "", IF(B57="", "", VLOOKUP(B57,'API Data Dictionary'!C:G,5,FALSE)))</f>
        <v xml:space="preserve">The name of the property, mandatory OR pair with House number field </v>
      </c>
    </row>
    <row r="58" spans="1:7" ht="14.5" x14ac:dyDescent="0.35">
      <c r="A58" s="64" t="s">
        <v>1860</v>
      </c>
      <c r="B58" s="62" t="str">
        <f t="shared" si="1"/>
        <v>addressLine1</v>
      </c>
      <c r="C58" s="62" t="str">
        <f>IF(B58="", "", VLOOKUP(B58,'API Data Dictionary'!C:J,8,FALSE))</f>
        <v>M</v>
      </c>
      <c r="D58" s="62" t="str">
        <f>IF(B58="", "", VLOOKUP(B58,'API Data Dictionary'!C:D,2,FALSE))</f>
        <v>string</v>
      </c>
      <c r="E58" s="62">
        <f>IF(IF(B58="", "", VLOOKUP(B58,'API Data Dictionary'!C:E,3,FALSE))=0, "", IF(B58="", "", VLOOKUP(B58,'API Data Dictionary'!C:E,3,FALSE)))</f>
        <v>100</v>
      </c>
      <c r="F58" s="62" t="str">
        <f>IF(IF(B58="", "", VLOOKUP(B58,'API Data Dictionary'!C:F,4,FALSE))=0, "", IF(B58="", "", VLOOKUP(B58,'API Data Dictionary'!C:F,4,FALSE)))</f>
        <v/>
      </c>
      <c r="G58" s="62" t="str">
        <f>IF(IF(B58="", "", VLOOKUP(B58,'API Data Dictionary'!C:G,5,FALSE))=0, "", IF(B58="", "", VLOOKUP(B58,'API Data Dictionary'!C:G,5,FALSE)))</f>
        <v>The first line of the property address</v>
      </c>
    </row>
    <row r="59" spans="1:7" ht="14.5" x14ac:dyDescent="0.35">
      <c r="A59" s="64" t="s">
        <v>1861</v>
      </c>
      <c r="B59" s="62" t="str">
        <f t="shared" si="1"/>
        <v>addressLine2</v>
      </c>
      <c r="C59" s="62" t="str">
        <f>IF(B59="", "", VLOOKUP(B59,'API Data Dictionary'!C:J,8,FALSE))</f>
        <v>X</v>
      </c>
      <c r="D59" s="62" t="str">
        <f>IF(B59="", "", VLOOKUP(B59,'API Data Dictionary'!C:D,2,FALSE))</f>
        <v>string</v>
      </c>
      <c r="E59" s="62">
        <f>IF(IF(B59="", "", VLOOKUP(B59,'API Data Dictionary'!C:E,3,FALSE))=0, "", IF(B59="", "", VLOOKUP(B59,'API Data Dictionary'!C:E,3,FALSE)))</f>
        <v>100</v>
      </c>
      <c r="F59" s="62" t="str">
        <f>IF(IF(B59="", "", VLOOKUP(B59,'API Data Dictionary'!C:F,4,FALSE))=0, "", IF(B59="", "", VLOOKUP(B59,'API Data Dictionary'!C:F,4,FALSE)))</f>
        <v/>
      </c>
      <c r="G59" s="62" t="str">
        <f>IF(IF(B59="", "", VLOOKUP(B59,'API Data Dictionary'!C:G,5,FALSE))=0, "", IF(B59="", "", VLOOKUP(B59,'API Data Dictionary'!C:G,5,FALSE)))</f>
        <v>The second line of the property address</v>
      </c>
    </row>
    <row r="60" spans="1:7" ht="14.5" x14ac:dyDescent="0.35">
      <c r="A60" s="64" t="s">
        <v>1862</v>
      </c>
      <c r="B60" s="62" t="str">
        <f t="shared" si="1"/>
        <v>town</v>
      </c>
      <c r="C60" s="62" t="str">
        <f>IF(B60="", "", VLOOKUP(B60,'API Data Dictionary'!C:J,8,FALSE))</f>
        <v>M</v>
      </c>
      <c r="D60" s="62" t="str">
        <f>IF(B60="", "", VLOOKUP(B60,'API Data Dictionary'!C:D,2,FALSE))</f>
        <v>string</v>
      </c>
      <c r="E60" s="62">
        <f>IF(IF(B60="", "", VLOOKUP(B60,'API Data Dictionary'!C:E,3,FALSE))=0, "", IF(B60="", "", VLOOKUP(B60,'API Data Dictionary'!C:E,3,FALSE)))</f>
        <v>50</v>
      </c>
      <c r="F60" s="62" t="str">
        <f>IF(IF(B60="", "", VLOOKUP(B60,'API Data Dictionary'!C:F,4,FALSE))=0, "", IF(B60="", "", VLOOKUP(B60,'API Data Dictionary'!C:F,4,FALSE)))</f>
        <v/>
      </c>
      <c r="G60" s="62" t="str">
        <f>IF(IF(B60="", "", VLOOKUP(B60,'API Data Dictionary'!C:G,5,FALSE))=0, "", IF(B60="", "", VLOOKUP(B60,'API Data Dictionary'!C:G,5,FALSE)))</f>
        <v>The town in which the property exists</v>
      </c>
    </row>
    <row r="61" spans="1:7" ht="14.5" x14ac:dyDescent="0.35">
      <c r="A61" s="64" t="s">
        <v>1863</v>
      </c>
      <c r="B61" s="62" t="str">
        <f t="shared" si="1"/>
        <v>postcode</v>
      </c>
      <c r="C61" s="62" t="str">
        <f>IF(B61="", "", VLOOKUP(B61,'API Data Dictionary'!C:J,8,FALSE))</f>
        <v>M</v>
      </c>
      <c r="D61" s="62" t="str">
        <f>IF(B61="", "", VLOOKUP(B61,'API Data Dictionary'!C:D,2,FALSE))</f>
        <v>string</v>
      </c>
      <c r="E61" s="62">
        <f>IF(IF(B61="", "", VLOOKUP(B61,'API Data Dictionary'!C:E,3,FALSE))=0, "", IF(B61="", "", VLOOKUP(B61,'API Data Dictionary'!C:E,3,FALSE)))</f>
        <v>50</v>
      </c>
      <c r="F61" s="62" t="str">
        <f>IF(IF(B61="", "", VLOOKUP(B61,'API Data Dictionary'!C:F,4,FALSE))=0, "", IF(B61="", "", VLOOKUP(B61,'API Data Dictionary'!C:F,4,FALSE)))</f>
        <v/>
      </c>
      <c r="G61" s="62" t="str">
        <f>IF(IF(B61="", "", VLOOKUP(B61,'API Data Dictionary'!C:G,5,FALSE))=0, "", IF(B61="", "", VLOOKUP(B61,'API Data Dictionary'!C:G,5,FALSE)))</f>
        <v>the postcode of the property</v>
      </c>
    </row>
    <row r="62" spans="1:7" ht="14.5" x14ac:dyDescent="0.35">
      <c r="A62" s="64" t="s">
        <v>1864</v>
      </c>
      <c r="B62" s="62" t="str">
        <f t="shared" si="1"/>
        <v>country</v>
      </c>
      <c r="C62" s="62" t="str">
        <f>IF(B62="", "", VLOOKUP(B62,'API Data Dictionary'!C:J,8,FALSE))</f>
        <v>M</v>
      </c>
      <c r="D62" s="62" t="str">
        <f>IF(B62="", "", VLOOKUP(B62,'API Data Dictionary'!C:D,2,FALSE))</f>
        <v>enum -Country/Location Code</v>
      </c>
      <c r="E62" s="62" t="str">
        <f>IF(IF(B62="", "", VLOOKUP(B62,'API Data Dictionary'!C:E,3,FALSE))=0, "", IF(B62="", "", VLOOKUP(B62,'API Data Dictionary'!C:E,3,FALSE)))</f>
        <v/>
      </c>
      <c r="F62" s="62" t="str">
        <f>IF(IF(B62="", "", VLOOKUP(B62,'API Data Dictionary'!C:F,4,FALSE))=0, "", IF(B62="", "", VLOOKUP(B62,'API Data Dictionary'!C:F,4,FALSE)))</f>
        <v>Valid Values 1-239 (See enum definition)</v>
      </c>
      <c r="G62" s="62" t="str">
        <f>IF(IF(B62="", "", VLOOKUP(B62,'API Data Dictionary'!C:G,5,FALSE))=0, "", IF(B62="", "", VLOOKUP(B62,'API Data Dictionary'!C:G,5,FALSE)))</f>
        <v>The Country code from the enum list, e.g. France</v>
      </c>
    </row>
    <row r="63" spans="1:7" ht="14.5" x14ac:dyDescent="0.35">
      <c r="A63" s="64" t="s">
        <v>1865</v>
      </c>
      <c r="B63" s="62" t="str">
        <f t="shared" si="1"/>
        <v>isUKAddress</v>
      </c>
      <c r="C63" s="62" t="str">
        <f>IF(B63="", "", VLOOKUP(B63,'API Data Dictionary'!C:J,8,FALSE))</f>
        <v>M</v>
      </c>
      <c r="D63" s="62" t="str">
        <f>IF(B63="", "", VLOOKUP(B63,'API Data Dictionary'!C:D,2,FALSE))</f>
        <v>boolean</v>
      </c>
      <c r="E63" s="62" t="str">
        <f>IF(IF(B63="", "", VLOOKUP(B63,'API Data Dictionary'!C:E,3,FALSE))=0, "", IF(B63="", "", VLOOKUP(B63,'API Data Dictionary'!C:E,3,FALSE)))</f>
        <v/>
      </c>
      <c r="F63" s="62" t="str">
        <f>IF(IF(B63="", "", VLOOKUP(B63,'API Data Dictionary'!C:F,4,FALSE))=0, "", IF(B63="", "", VLOOKUP(B63,'API Data Dictionary'!C:F,4,FALSE)))</f>
        <v/>
      </c>
      <c r="G63" s="62" t="str">
        <f>IF(IF(B63="", "", VLOOKUP(B63,'API Data Dictionary'!C:G,5,FALSE))=0, "", IF(B63="", "", VLOOKUP(B63,'API Data Dictionary'!C:G,5,FALSE)))</f>
        <v>Denotes if the address is in the UK</v>
      </c>
    </row>
    <row r="64" spans="1:7" ht="14.5" x14ac:dyDescent="0.35">
      <c r="A64" s="64" t="s">
        <v>1866</v>
      </c>
      <c r="B64" s="62" t="str">
        <f t="shared" si="1"/>
        <v>addressTypeId</v>
      </c>
      <c r="C64" s="62" t="str">
        <f>IF(B64="", "", VLOOKUP(B64,'API Data Dictionary'!C:J,8,FALSE))</f>
        <v>M</v>
      </c>
      <c r="D64" s="62" t="str">
        <f>IF(B64="", "", VLOOKUP(B64,'API Data Dictionary'!C:D,2,FALSE))</f>
        <v>enum - address Type</v>
      </c>
      <c r="E64" s="62" t="str">
        <f>IF(IF(B64="", "", VLOOKUP(B64,'API Data Dictionary'!C:E,3,FALSE))=0, "", IF(B64="", "", VLOOKUP(B64,'API Data Dictionary'!C:E,3,FALSE)))</f>
        <v/>
      </c>
      <c r="F64" s="62" t="str">
        <f>IF(IF(B64="", "", VLOOKUP(B64,'API Data Dictionary'!C:F,4,FALSE))=0, "", IF(B64="", "", VLOOKUP(B64,'API Data Dictionary'!C:F,4,FALSE)))</f>
        <v>Valid Values 1-2 (See enum definition)</v>
      </c>
      <c r="G64" s="62" t="str">
        <f>IF(IF(B64="", "", VLOOKUP(B64,'API Data Dictionary'!C:G,5,FALSE))=0, "", IF(B64="", "", VLOOKUP(B64,'API Data Dictionary'!C:G,5,FALSE)))</f>
        <v>Whether the address is current or previous, chosen from enum list</v>
      </c>
    </row>
    <row r="65" spans="1:7" ht="14.5" x14ac:dyDescent="0.35">
      <c r="A65" s="64" t="s">
        <v>1867</v>
      </c>
      <c r="B65" s="62" t="str">
        <f t="shared" si="1"/>
        <v>monthMovedIn</v>
      </c>
      <c r="C65" s="62" t="str">
        <f>IF(B65="", "", VLOOKUP(B65,'API Data Dictionary'!C:J,8,FALSE))</f>
        <v>M</v>
      </c>
      <c r="D65" s="62" t="str">
        <f>IF(B65="", "", VLOOKUP(B65,'API Data Dictionary'!C:D,2,FALSE))</f>
        <v>enum - month</v>
      </c>
      <c r="E65" s="62" t="str">
        <f>IF(IF(B65="", "", VLOOKUP(B65,'API Data Dictionary'!C:E,3,FALSE))=0, "", IF(B65="", "", VLOOKUP(B65,'API Data Dictionary'!C:E,3,FALSE)))</f>
        <v/>
      </c>
      <c r="F65" s="62" t="str">
        <f>IF(IF(B65="", "", VLOOKUP(B65,'API Data Dictionary'!C:F,4,FALSE))=0, "", IF(B65="", "", VLOOKUP(B65,'API Data Dictionary'!C:F,4,FALSE)))</f>
        <v>Valid Values 1-12 (Jan - Dec)</v>
      </c>
      <c r="G65" s="62" t="str">
        <f>IF(IF(B65="", "", VLOOKUP(B65,'API Data Dictionary'!C:G,5,FALSE))=0, "", IF(B65="", "", VLOOKUP(B65,'API Data Dictionary'!C:G,5,FALSE)))</f>
        <v>Month the property was moved into, chosen from enum list</v>
      </c>
    </row>
    <row r="66" spans="1:7" ht="14.5" x14ac:dyDescent="0.35">
      <c r="A66" s="64" t="s">
        <v>1868</v>
      </c>
      <c r="B66" s="62" t="str">
        <f t="shared" si="1"/>
        <v>yearMovedIn</v>
      </c>
      <c r="C66" s="62" t="str">
        <f>IF(B66="", "", VLOOKUP(B66,'API Data Dictionary'!C:J,8,FALSE))</f>
        <v>M</v>
      </c>
      <c r="D66" s="62" t="str">
        <f>IF(B66="", "", VLOOKUP(B66,'API Data Dictionary'!C:D,2,FALSE))</f>
        <v>integer</v>
      </c>
      <c r="E66" s="62">
        <f>IF(IF(B66="", "", VLOOKUP(B66,'API Data Dictionary'!C:E,3,FALSE))=0, "", IF(B66="", "", VLOOKUP(B66,'API Data Dictionary'!C:E,3,FALSE)))</f>
        <v>4</v>
      </c>
      <c r="F66" s="62" t="str">
        <f>IF(IF(B66="", "", VLOOKUP(B66,'API Data Dictionary'!C:F,4,FALSE))=0, "", IF(B66="", "", VLOOKUP(B66,'API Data Dictionary'!C:F,4,FALSE)))</f>
        <v>Valid Values 1900 - Current Year</v>
      </c>
      <c r="G66" s="62" t="str">
        <f>IF(IF(B66="", "", VLOOKUP(B66,'API Data Dictionary'!C:G,5,FALSE))=0, "", IF(B66="", "", VLOOKUP(B66,'API Data Dictionary'!C:G,5,FALSE)))</f>
        <v>Year the property was moved into, formatted YYYY</v>
      </c>
    </row>
    <row r="67" spans="1:7" ht="14.5" x14ac:dyDescent="0.35">
      <c r="A67" s="64" t="s">
        <v>1825</v>
      </c>
      <c r="B67" s="62" t="str">
        <f t="shared" si="1"/>
        <v/>
      </c>
      <c r="C67" s="62" t="str">
        <f>IF(B67="", "", VLOOKUP(B67,'API Data Dictionary'!C:J,8,FALSE))</f>
        <v/>
      </c>
      <c r="D67" s="62" t="str">
        <f>IF(B67="", "", VLOOKUP(B67,'API Data Dictionary'!C:D,2,FALSE))</f>
        <v/>
      </c>
      <c r="E67" s="62" t="str">
        <f>IF(IF(B67="", "", VLOOKUP(B67,'API Data Dictionary'!C:E,3,FALSE))=0, "", IF(B67="", "", VLOOKUP(B67,'API Data Dictionary'!C:E,3,FALSE)))</f>
        <v/>
      </c>
      <c r="F67" s="62" t="str">
        <f>IF(IF(B67="", "", VLOOKUP(B67,'API Data Dictionary'!C:F,4,FALSE))=0, "", IF(B67="", "", VLOOKUP(B67,'API Data Dictionary'!C:F,4,FALSE)))</f>
        <v/>
      </c>
      <c r="G67" s="62" t="str">
        <f>IF(IF(B67="", "", VLOOKUP(B67,'API Data Dictionary'!C:G,5,FALSE))=0, "", IF(B67="", "", VLOOKUP(B67,'API Data Dictionary'!C:G,5,FALSE)))</f>
        <v/>
      </c>
    </row>
    <row r="68" spans="1:7" ht="14.5" x14ac:dyDescent="0.35">
      <c r="A68" s="64" t="s">
        <v>1826</v>
      </c>
      <c r="B68" s="62" t="str">
        <f t="shared" si="1"/>
        <v/>
      </c>
      <c r="C68" s="62" t="str">
        <f>IF(B68="", "", VLOOKUP(B68,'API Data Dictionary'!C:J,8,FALSE))</f>
        <v/>
      </c>
      <c r="D68" s="62" t="str">
        <f>IF(B68="", "", VLOOKUP(B68,'API Data Dictionary'!C:D,2,FALSE))</f>
        <v/>
      </c>
      <c r="E68" s="62" t="str">
        <f>IF(IF(B68="", "", VLOOKUP(B68,'API Data Dictionary'!C:E,3,FALSE))=0, "", IF(B68="", "", VLOOKUP(B68,'API Data Dictionary'!C:E,3,FALSE)))</f>
        <v/>
      </c>
      <c r="F68" s="62" t="str">
        <f>IF(IF(B68="", "", VLOOKUP(B68,'API Data Dictionary'!C:F,4,FALSE))=0, "", IF(B68="", "", VLOOKUP(B68,'API Data Dictionary'!C:F,4,FALSE)))</f>
        <v/>
      </c>
      <c r="G68" s="62" t="str">
        <f>IF(IF(B68="", "", VLOOKUP(B68,'API Data Dictionary'!C:G,5,FALSE))=0, "", IF(B68="", "", VLOOKUP(B68,'API Data Dictionary'!C:G,5,FALSE)))</f>
        <v/>
      </c>
    </row>
    <row r="69" spans="1:7" ht="14.5" x14ac:dyDescent="0.35">
      <c r="A69" s="64" t="s">
        <v>1869</v>
      </c>
      <c r="B69" s="62" t="str">
        <f t="shared" si="1"/>
        <v>haveYouEverLivedInUk</v>
      </c>
      <c r="C69" s="62">
        <f>IF(B69="", "", VLOOKUP(B69,'API Data Dictionary'!C:J,8,FALSE))</f>
        <v>0</v>
      </c>
      <c r="D69" s="62" t="str">
        <f>IF(B69="", "", VLOOKUP(B69,'API Data Dictionary'!C:D,2,FALSE))</f>
        <v>boolean</v>
      </c>
      <c r="E69" s="62" t="str">
        <f>IF(IF(B69="", "", VLOOKUP(B69,'API Data Dictionary'!C:E,3,FALSE))=0, "", IF(B69="", "", VLOOKUP(B69,'API Data Dictionary'!C:E,3,FALSE)))</f>
        <v/>
      </c>
      <c r="F69" s="62" t="str">
        <f>IF(IF(B69="", "", VLOOKUP(B69,'API Data Dictionary'!C:F,4,FALSE))=0, "", IF(B69="", "", VLOOKUP(B69,'API Data Dictionary'!C:F,4,FALSE)))</f>
        <v/>
      </c>
      <c r="G69" s="62" t="str">
        <f>IF(IF(B69="", "", VLOOKUP(B69,'API Data Dictionary'!C:G,5,FALSE))=0, "", IF(B69="", "", VLOOKUP(B69,'API Data Dictionary'!C:G,5,FALSE)))</f>
        <v>Has the applicant ever lived in the UK</v>
      </c>
    </row>
    <row r="70" spans="1:7" ht="14.5" x14ac:dyDescent="0.35">
      <c r="A70" s="64" t="s">
        <v>1827</v>
      </c>
      <c r="B70" s="62" t="str">
        <f t="shared" si="1"/>
        <v/>
      </c>
      <c r="C70" s="62" t="str">
        <f>IF(B70="", "", VLOOKUP(B70,'API Data Dictionary'!C:J,8,FALSE))</f>
        <v/>
      </c>
      <c r="D70" s="62" t="str">
        <f>IF(B70="", "", VLOOKUP(B70,'API Data Dictionary'!C:D,2,FALSE))</f>
        <v/>
      </c>
      <c r="E70" s="62" t="str">
        <f>IF(IF(B70="", "", VLOOKUP(B70,'API Data Dictionary'!C:E,3,FALSE))=0, "", IF(B70="", "", VLOOKUP(B70,'API Data Dictionary'!C:E,3,FALSE)))</f>
        <v/>
      </c>
      <c r="F70" s="62" t="str">
        <f>IF(IF(B70="", "", VLOOKUP(B70,'API Data Dictionary'!C:F,4,FALSE))=0, "", IF(B70="", "", VLOOKUP(B70,'API Data Dictionary'!C:F,4,FALSE)))</f>
        <v/>
      </c>
      <c r="G70" s="62" t="str">
        <f>IF(IF(B70="", "", VLOOKUP(B70,'API Data Dictionary'!C:G,5,FALSE))=0, "", IF(B70="", "", VLOOKUP(B70,'API Data Dictionary'!C:G,5,FALSE)))</f>
        <v/>
      </c>
    </row>
    <row r="71" spans="1:7" ht="14.5" x14ac:dyDescent="0.35">
      <c r="A71" s="64" t="s">
        <v>1870</v>
      </c>
      <c r="B71" s="62" t="str">
        <f t="shared" si="1"/>
        <v>houseNumber</v>
      </c>
      <c r="C71" s="62" t="str">
        <f>IF(B71="", "", VLOOKUP(B71,'API Data Dictionary'!C:J,8,FALSE))</f>
        <v>X</v>
      </c>
      <c r="D71" s="62" t="str">
        <f>IF(B71="", "", VLOOKUP(B71,'API Data Dictionary'!C:D,2,FALSE))</f>
        <v>string</v>
      </c>
      <c r="E71" s="62">
        <f>IF(IF(B71="", "", VLOOKUP(B71,'API Data Dictionary'!C:E,3,FALSE))=0, "", IF(B71="", "", VLOOKUP(B71,'API Data Dictionary'!C:E,3,FALSE)))</f>
        <v>100</v>
      </c>
      <c r="F71" s="62" t="str">
        <f>IF(IF(B71="", "", VLOOKUP(B71,'API Data Dictionary'!C:F,4,FALSE))=0, "", IF(B71="", "", VLOOKUP(B71,'API Data Dictionary'!C:F,4,FALSE)))</f>
        <v/>
      </c>
      <c r="G71" s="62" t="str">
        <f>IF(IF(B71="", "", VLOOKUP(B71,'API Data Dictionary'!C:G,5,FALSE))=0, "", IF(B71="", "", VLOOKUP(B71,'API Data Dictionary'!C:G,5,FALSE)))</f>
        <v xml:space="preserve">The number of the property, mandatory OR pair with House name field </v>
      </c>
    </row>
    <row r="72" spans="1:7" ht="14.5" x14ac:dyDescent="0.35">
      <c r="A72" s="64" t="s">
        <v>1871</v>
      </c>
      <c r="B72" s="62" t="str">
        <f t="shared" si="1"/>
        <v>houseName</v>
      </c>
      <c r="C72" s="62" t="str">
        <f>IF(B72="", "", VLOOKUP(B72,'API Data Dictionary'!C:J,8,FALSE))</f>
        <v>X</v>
      </c>
      <c r="D72" s="62" t="str">
        <f>IF(B72="", "", VLOOKUP(B72,'API Data Dictionary'!C:D,2,FALSE))</f>
        <v>string</v>
      </c>
      <c r="E72" s="62">
        <f>IF(IF(B72="", "", VLOOKUP(B72,'API Data Dictionary'!C:E,3,FALSE))=0, "", IF(B72="", "", VLOOKUP(B72,'API Data Dictionary'!C:E,3,FALSE)))</f>
        <v>100</v>
      </c>
      <c r="F72" s="62" t="str">
        <f>IF(IF(B72="", "", VLOOKUP(B72,'API Data Dictionary'!C:F,4,FALSE))=0, "", IF(B72="", "", VLOOKUP(B72,'API Data Dictionary'!C:F,4,FALSE)))</f>
        <v/>
      </c>
      <c r="G72" s="62" t="str">
        <f>IF(IF(B72="", "", VLOOKUP(B72,'API Data Dictionary'!C:G,5,FALSE))=0, "", IF(B72="", "", VLOOKUP(B72,'API Data Dictionary'!C:G,5,FALSE)))</f>
        <v xml:space="preserve">The name of the property, mandatory OR pair with House number field </v>
      </c>
    </row>
    <row r="73" spans="1:7" ht="14.5" x14ac:dyDescent="0.35">
      <c r="A73" s="64" t="s">
        <v>1872</v>
      </c>
      <c r="B73" s="62" t="str">
        <f t="shared" si="1"/>
        <v>addressLine1</v>
      </c>
      <c r="C73" s="62" t="str">
        <f>IF(B73="", "", VLOOKUP(B73,'API Data Dictionary'!C:J,8,FALSE))</f>
        <v>M</v>
      </c>
      <c r="D73" s="62" t="str">
        <f>IF(B73="", "", VLOOKUP(B73,'API Data Dictionary'!C:D,2,FALSE))</f>
        <v>string</v>
      </c>
      <c r="E73" s="62">
        <f>IF(IF(B73="", "", VLOOKUP(B73,'API Data Dictionary'!C:E,3,FALSE))=0, "", IF(B73="", "", VLOOKUP(B73,'API Data Dictionary'!C:E,3,FALSE)))</f>
        <v>100</v>
      </c>
      <c r="F73" s="62" t="str">
        <f>IF(IF(B73="", "", VLOOKUP(B73,'API Data Dictionary'!C:F,4,FALSE))=0, "", IF(B73="", "", VLOOKUP(B73,'API Data Dictionary'!C:F,4,FALSE)))</f>
        <v/>
      </c>
      <c r="G73" s="62" t="str">
        <f>IF(IF(B73="", "", VLOOKUP(B73,'API Data Dictionary'!C:G,5,FALSE))=0, "", IF(B73="", "", VLOOKUP(B73,'API Data Dictionary'!C:G,5,FALSE)))</f>
        <v>The first line of the property address</v>
      </c>
    </row>
    <row r="74" spans="1:7" ht="14.5" x14ac:dyDescent="0.35">
      <c r="A74" s="64" t="s">
        <v>1873</v>
      </c>
      <c r="B74" s="62" t="str">
        <f t="shared" si="1"/>
        <v>addressLine2</v>
      </c>
      <c r="C74" s="62" t="str">
        <f>IF(B74="", "", VLOOKUP(B74,'API Data Dictionary'!C:J,8,FALSE))</f>
        <v>X</v>
      </c>
      <c r="D74" s="62" t="str">
        <f>IF(B74="", "", VLOOKUP(B74,'API Data Dictionary'!C:D,2,FALSE))</f>
        <v>string</v>
      </c>
      <c r="E74" s="62">
        <f>IF(IF(B74="", "", VLOOKUP(B74,'API Data Dictionary'!C:E,3,FALSE))=0, "", IF(B74="", "", VLOOKUP(B74,'API Data Dictionary'!C:E,3,FALSE)))</f>
        <v>100</v>
      </c>
      <c r="F74" s="62" t="str">
        <f>IF(IF(B74="", "", VLOOKUP(B74,'API Data Dictionary'!C:F,4,FALSE))=0, "", IF(B74="", "", VLOOKUP(B74,'API Data Dictionary'!C:F,4,FALSE)))</f>
        <v/>
      </c>
      <c r="G74" s="62" t="str">
        <f>IF(IF(B74="", "", VLOOKUP(B74,'API Data Dictionary'!C:G,5,FALSE))=0, "", IF(B74="", "", VLOOKUP(B74,'API Data Dictionary'!C:G,5,FALSE)))</f>
        <v>The second line of the property address</v>
      </c>
    </row>
    <row r="75" spans="1:7" ht="14.5" x14ac:dyDescent="0.35">
      <c r="A75" s="64" t="s">
        <v>1874</v>
      </c>
      <c r="B75" s="62" t="str">
        <f t="shared" si="1"/>
        <v>town</v>
      </c>
      <c r="C75" s="62" t="str">
        <f>IF(B75="", "", VLOOKUP(B75,'API Data Dictionary'!C:J,8,FALSE))</f>
        <v>M</v>
      </c>
      <c r="D75" s="62" t="str">
        <f>IF(B75="", "", VLOOKUP(B75,'API Data Dictionary'!C:D,2,FALSE))</f>
        <v>string</v>
      </c>
      <c r="E75" s="62">
        <f>IF(IF(B75="", "", VLOOKUP(B75,'API Data Dictionary'!C:E,3,FALSE))=0, "", IF(B75="", "", VLOOKUP(B75,'API Data Dictionary'!C:E,3,FALSE)))</f>
        <v>50</v>
      </c>
      <c r="F75" s="62" t="str">
        <f>IF(IF(B75="", "", VLOOKUP(B75,'API Data Dictionary'!C:F,4,FALSE))=0, "", IF(B75="", "", VLOOKUP(B75,'API Data Dictionary'!C:F,4,FALSE)))</f>
        <v/>
      </c>
      <c r="G75" s="62" t="str">
        <f>IF(IF(B75="", "", VLOOKUP(B75,'API Data Dictionary'!C:G,5,FALSE))=0, "", IF(B75="", "", VLOOKUP(B75,'API Data Dictionary'!C:G,5,FALSE)))</f>
        <v>The town in which the property exists</v>
      </c>
    </row>
    <row r="76" spans="1:7" ht="14.5" x14ac:dyDescent="0.35">
      <c r="A76" s="64" t="s">
        <v>1875</v>
      </c>
      <c r="B76" s="62" t="str">
        <f t="shared" si="1"/>
        <v>postcode</v>
      </c>
      <c r="C76" s="62" t="str">
        <f>IF(B76="", "", VLOOKUP(B76,'API Data Dictionary'!C:J,8,FALSE))</f>
        <v>M</v>
      </c>
      <c r="D76" s="62" t="str">
        <f>IF(B76="", "", VLOOKUP(B76,'API Data Dictionary'!C:D,2,FALSE))</f>
        <v>string</v>
      </c>
      <c r="E76" s="62">
        <f>IF(IF(B76="", "", VLOOKUP(B76,'API Data Dictionary'!C:E,3,FALSE))=0, "", IF(B76="", "", VLOOKUP(B76,'API Data Dictionary'!C:E,3,FALSE)))</f>
        <v>50</v>
      </c>
      <c r="F76" s="62" t="str">
        <f>IF(IF(B76="", "", VLOOKUP(B76,'API Data Dictionary'!C:F,4,FALSE))=0, "", IF(B76="", "", VLOOKUP(B76,'API Data Dictionary'!C:F,4,FALSE)))</f>
        <v/>
      </c>
      <c r="G76" s="62" t="str">
        <f>IF(IF(B76="", "", VLOOKUP(B76,'API Data Dictionary'!C:G,5,FALSE))=0, "", IF(B76="", "", VLOOKUP(B76,'API Data Dictionary'!C:G,5,FALSE)))</f>
        <v>the postcode of the property</v>
      </c>
    </row>
    <row r="77" spans="1:7" ht="14.5" x14ac:dyDescent="0.35">
      <c r="A77" s="64" t="s">
        <v>1876</v>
      </c>
      <c r="B77" s="62" t="str">
        <f t="shared" si="1"/>
        <v>monthMovedIn</v>
      </c>
      <c r="C77" s="62" t="str">
        <f>IF(B77="", "", VLOOKUP(B77,'API Data Dictionary'!C:J,8,FALSE))</f>
        <v>M</v>
      </c>
      <c r="D77" s="62" t="str">
        <f>IF(B77="", "", VLOOKUP(B77,'API Data Dictionary'!C:D,2,FALSE))</f>
        <v>enum - month</v>
      </c>
      <c r="E77" s="62" t="str">
        <f>IF(IF(B77="", "", VLOOKUP(B77,'API Data Dictionary'!C:E,3,FALSE))=0, "", IF(B77="", "", VLOOKUP(B77,'API Data Dictionary'!C:E,3,FALSE)))</f>
        <v/>
      </c>
      <c r="F77" s="62" t="str">
        <f>IF(IF(B77="", "", VLOOKUP(B77,'API Data Dictionary'!C:F,4,FALSE))=0, "", IF(B77="", "", VLOOKUP(B77,'API Data Dictionary'!C:F,4,FALSE)))</f>
        <v>Valid Values 1-12 (Jan - Dec)</v>
      </c>
      <c r="G77" s="62" t="str">
        <f>IF(IF(B77="", "", VLOOKUP(B77,'API Data Dictionary'!C:G,5,FALSE))=0, "", IF(B77="", "", VLOOKUP(B77,'API Data Dictionary'!C:G,5,FALSE)))</f>
        <v>Month the property was moved into, chosen from enum list</v>
      </c>
    </row>
    <row r="78" spans="1:7" ht="14.5" x14ac:dyDescent="0.35">
      <c r="A78" s="64" t="s">
        <v>1877</v>
      </c>
      <c r="B78" s="62" t="str">
        <f t="shared" si="1"/>
        <v>yearMovedIn</v>
      </c>
      <c r="C78" s="62" t="str">
        <f>IF(B78="", "", VLOOKUP(B78,'API Data Dictionary'!C:J,8,FALSE))</f>
        <v>M</v>
      </c>
      <c r="D78" s="62" t="str">
        <f>IF(B78="", "", VLOOKUP(B78,'API Data Dictionary'!C:D,2,FALSE))</f>
        <v>integer</v>
      </c>
      <c r="E78" s="62">
        <f>IF(IF(B78="", "", VLOOKUP(B78,'API Data Dictionary'!C:E,3,FALSE))=0, "", IF(B78="", "", VLOOKUP(B78,'API Data Dictionary'!C:E,3,FALSE)))</f>
        <v>4</v>
      </c>
      <c r="F78" s="62" t="str">
        <f>IF(IF(B78="", "", VLOOKUP(B78,'API Data Dictionary'!C:F,4,FALSE))=0, "", IF(B78="", "", VLOOKUP(B78,'API Data Dictionary'!C:F,4,FALSE)))</f>
        <v>Valid Values 1900 - Current Year</v>
      </c>
      <c r="G78" s="62" t="str">
        <f>IF(IF(B78="", "", VLOOKUP(B78,'API Data Dictionary'!C:G,5,FALSE))=0, "", IF(B78="", "", VLOOKUP(B78,'API Data Dictionary'!C:G,5,FALSE)))</f>
        <v>Year the property was moved into, formatted YYYY</v>
      </c>
    </row>
    <row r="79" spans="1:7" ht="14.5" x14ac:dyDescent="0.35">
      <c r="A79" s="64" t="s">
        <v>1878</v>
      </c>
      <c r="B79" s="62" t="str">
        <f t="shared" si="1"/>
        <v>monthMovedOut</v>
      </c>
      <c r="C79" s="62">
        <f>IF(B79="", "", VLOOKUP(B79,'API Data Dictionary'!C:J,8,FALSE))</f>
        <v>0</v>
      </c>
      <c r="D79" s="62" t="str">
        <f>IF(B79="", "", VLOOKUP(B79,'API Data Dictionary'!C:D,2,FALSE))</f>
        <v>string ($date-time)</v>
      </c>
      <c r="E79" s="62" t="str">
        <f>IF(IF(B79="", "", VLOOKUP(B79,'API Data Dictionary'!C:E,3,FALSE))=0, "", IF(B79="", "", VLOOKUP(B79,'API Data Dictionary'!C:E,3,FALSE)))</f>
        <v/>
      </c>
      <c r="F79" s="62" t="str">
        <f>IF(IF(B79="", "", VLOOKUP(B79,'API Data Dictionary'!C:F,4,FALSE))=0, "", IF(B79="", "", VLOOKUP(B79,'API Data Dictionary'!C:F,4,FALSE)))</f>
        <v xml:space="preserve"> DD/MM/YYYY</v>
      </c>
      <c r="G79" s="62" t="str">
        <f>IF(IF(B79="", "", VLOOKUP(B79,'API Data Dictionary'!C:G,5,FALSE))=0, "", IF(B79="", "", VLOOKUP(B79,'API Data Dictionary'!C:G,5,FALSE)))</f>
        <v>Start date of self employment, formatted DD/MM/YYYY</v>
      </c>
    </row>
    <row r="80" spans="1:7" ht="14.5" x14ac:dyDescent="0.35">
      <c r="A80" s="64" t="s">
        <v>1879</v>
      </c>
      <c r="B80" s="62" t="str">
        <f t="shared" si="1"/>
        <v>yearMovedOut</v>
      </c>
      <c r="C80" s="62" t="s">
        <v>68</v>
      </c>
      <c r="D80" s="62" t="e">
        <f>IF(B80="", "", VLOOKUP(B80,'API Data Dictionary'!C:D,2,FALSE))</f>
        <v>#N/A</v>
      </c>
      <c r="E80" s="62" t="e">
        <f>IF(IF(B80="", "", VLOOKUP(B80,'API Data Dictionary'!C:E,3,FALSE))=0, "", IF(B80="", "", VLOOKUP(B80,'API Data Dictionary'!C:E,3,FALSE)))</f>
        <v>#N/A</v>
      </c>
      <c r="F80" s="62" t="e">
        <f>IF(IF(B80="", "", VLOOKUP(B80,'API Data Dictionary'!C:F,4,FALSE))=0, "", IF(B80="", "", VLOOKUP(B80,'API Data Dictionary'!C:F,4,FALSE)))</f>
        <v>#N/A</v>
      </c>
      <c r="G80" s="62" t="e">
        <f>IF(IF(B80="", "", VLOOKUP(B80,'API Data Dictionary'!C:G,5,FALSE))=0, "", IF(B80="", "", VLOOKUP(B80,'API Data Dictionary'!C:G,5,FALSE)))</f>
        <v>#N/A</v>
      </c>
    </row>
    <row r="81" spans="1:7" ht="14.5" x14ac:dyDescent="0.35">
      <c r="A81" s="64" t="s">
        <v>1828</v>
      </c>
      <c r="B81" s="62" t="str">
        <f t="shared" si="1"/>
        <v/>
      </c>
      <c r="C81" s="62" t="str">
        <f>IF(B81="", "", VLOOKUP(B81,'API Data Dictionary'!C:J,8,FALSE))</f>
        <v/>
      </c>
      <c r="D81" s="62" t="str">
        <f>IF(B81="", "", VLOOKUP(B81,'API Data Dictionary'!C:D,2,FALSE))</f>
        <v/>
      </c>
      <c r="E81" s="62" t="str">
        <f>IF(IF(B81="", "", VLOOKUP(B81,'API Data Dictionary'!C:E,3,FALSE))=0, "", IF(B81="", "", VLOOKUP(B81,'API Data Dictionary'!C:E,3,FALSE)))</f>
        <v/>
      </c>
      <c r="F81" s="62" t="str">
        <f>IF(IF(B81="", "", VLOOKUP(B81,'API Data Dictionary'!C:F,4,FALSE))=0, "", IF(B81="", "", VLOOKUP(B81,'API Data Dictionary'!C:F,4,FALSE)))</f>
        <v/>
      </c>
      <c r="G81" s="62" t="str">
        <f>IF(IF(B81="", "", VLOOKUP(B81,'API Data Dictionary'!C:G,5,FALSE))=0, "", IF(B81="", "", VLOOKUP(B81,'API Data Dictionary'!C:G,5,FALSE)))</f>
        <v/>
      </c>
    </row>
    <row r="82" spans="1:7" ht="14.5" x14ac:dyDescent="0.35">
      <c r="A82" s="64" t="s">
        <v>1829</v>
      </c>
      <c r="B82" s="62" t="str">
        <f t="shared" si="1"/>
        <v/>
      </c>
      <c r="C82" s="62" t="str">
        <f>IF(B82="", "", VLOOKUP(B82,'API Data Dictionary'!C:J,8,FALSE))</f>
        <v/>
      </c>
      <c r="D82" s="62" t="str">
        <f>IF(B82="", "", VLOOKUP(B82,'API Data Dictionary'!C:D,2,FALSE))</f>
        <v/>
      </c>
      <c r="E82" s="62" t="str">
        <f>IF(IF(B82="", "", VLOOKUP(B82,'API Data Dictionary'!C:E,3,FALSE))=0, "", IF(B82="", "", VLOOKUP(B82,'API Data Dictionary'!C:E,3,FALSE)))</f>
        <v/>
      </c>
      <c r="F82" s="62" t="str">
        <f>IF(IF(B82="", "", VLOOKUP(B82,'API Data Dictionary'!C:F,4,FALSE))=0, "", IF(B82="", "", VLOOKUP(B82,'API Data Dictionary'!C:F,4,FALSE)))</f>
        <v/>
      </c>
      <c r="G82" s="62" t="str">
        <f>IF(IF(B82="", "", VLOOKUP(B82,'API Data Dictionary'!C:G,5,FALSE))=0, "", IF(B82="", "", VLOOKUP(B82,'API Data Dictionary'!C:G,5,FALSE)))</f>
        <v/>
      </c>
    </row>
    <row r="83" spans="1:7" ht="14.5" x14ac:dyDescent="0.35">
      <c r="A83" s="64" t="s">
        <v>1880</v>
      </c>
      <c r="B83" s="62" t="str">
        <f t="shared" si="1"/>
        <v>currentResidentialStatus</v>
      </c>
      <c r="C83" s="62" t="str">
        <f>IF(B83="", "", VLOOKUP(B83,'API Data Dictionary'!C:J,8,FALSE))</f>
        <v>M</v>
      </c>
      <c r="D83" s="62" t="str">
        <f>IF(B83="", "", VLOOKUP(B83,'API Data Dictionary'!C:D,2,FALSE))</f>
        <v>enum - residentStatus</v>
      </c>
      <c r="E83" s="62" t="str">
        <f>IF(IF(B83="", "", VLOOKUP(B83,'API Data Dictionary'!C:E,3,FALSE))=0, "", IF(B83="", "", VLOOKUP(B83,'API Data Dictionary'!C:E,3,FALSE)))</f>
        <v/>
      </c>
      <c r="F83" s="62" t="str">
        <f>IF(IF(B83="", "", VLOOKUP(B83,'API Data Dictionary'!C:F,4,FALSE))=0, "", IF(B83="", "", VLOOKUP(B83,'API Data Dictionary'!C:F,4,FALSE)))</f>
        <v>Valid Values 1-3 (See enum definition)</v>
      </c>
      <c r="G83" s="62" t="str">
        <f>IF(IF(B83="", "", VLOOKUP(B83,'API Data Dictionary'!C:G,5,FALSE))=0, "", IF(B83="", "", VLOOKUP(B83,'API Data Dictionary'!C:G,5,FALSE)))</f>
        <v>The current residential status, e.g. UK Resident</v>
      </c>
    </row>
    <row r="84" spans="1:7" ht="14.5" x14ac:dyDescent="0.35">
      <c r="A84" s="64" t="s">
        <v>1881</v>
      </c>
      <c r="B84" s="62" t="str">
        <f t="shared" si="1"/>
        <v>currentRentAmount</v>
      </c>
      <c r="C84" s="62" t="str">
        <f>IF(B84="", "", VLOOKUP(B84,'API Data Dictionary'!C:J,8,FALSE))</f>
        <v>X</v>
      </c>
      <c r="D84" s="62" t="str">
        <f>IF(B84="", "", VLOOKUP(B84,'API Data Dictionary'!C:D,2,FALSE))</f>
        <v>number (double)</v>
      </c>
      <c r="E84" s="62" t="str">
        <f>IF(IF(B84="", "", VLOOKUP(B84,'API Data Dictionary'!C:E,3,FALSE))=0, "", IF(B84="", "", VLOOKUP(B84,'API Data Dictionary'!C:E,3,FALSE)))</f>
        <v/>
      </c>
      <c r="F84" s="62" t="str">
        <f>IF(IF(B84="", "", VLOOKUP(B84,'API Data Dictionary'!C:F,4,FALSE))=0, "", IF(B84="", "", VLOOKUP(B84,'API Data Dictionary'!C:F,4,FALSE)))</f>
        <v>pattern: ^\d*.\d{0,2}$</v>
      </c>
      <c r="G84" s="62" t="str">
        <f>IF(IF(B84="", "", VLOOKUP(B84,'API Data Dictionary'!C:G,5,FALSE))=0, "", IF(B84="", "", VLOOKUP(B84,'API Data Dictionary'!C:G,5,FALSE)))</f>
        <v>The current rent amount in GBP</v>
      </c>
    </row>
    <row r="85" spans="1:7" ht="14.5" x14ac:dyDescent="0.35">
      <c r="A85" s="64" t="s">
        <v>1882</v>
      </c>
      <c r="B85" s="62" t="str">
        <f t="shared" si="1"/>
        <v>landlordName</v>
      </c>
      <c r="C85" s="62" t="str">
        <f>IF(B85="", "", VLOOKUP(B85,'API Data Dictionary'!C:J,8,FALSE))</f>
        <v>X</v>
      </c>
      <c r="D85" s="62" t="str">
        <f>IF(B85="", "", VLOOKUP(B85,'API Data Dictionary'!C:D,2,FALSE))</f>
        <v>string</v>
      </c>
      <c r="E85" s="62">
        <f>IF(IF(B85="", "", VLOOKUP(B85,'API Data Dictionary'!C:E,3,FALSE))=0, "", IF(B85="", "", VLOOKUP(B85,'API Data Dictionary'!C:E,3,FALSE)))</f>
        <v>500</v>
      </c>
      <c r="F85" s="62" t="str">
        <f>IF(IF(B85="", "", VLOOKUP(B85,'API Data Dictionary'!C:F,4,FALSE))=0, "", IF(B85="", "", VLOOKUP(B85,'API Data Dictionary'!C:F,4,FALSE)))</f>
        <v/>
      </c>
      <c r="G85" s="62" t="str">
        <f>IF(IF(B85="", "", VLOOKUP(B85,'API Data Dictionary'!C:G,5,FALSE))=0, "", IF(B85="", "", VLOOKUP(B85,'API Data Dictionary'!C:G,5,FALSE)))</f>
        <v>Full name of the Landlord</v>
      </c>
    </row>
    <row r="86" spans="1:7" ht="14.5" x14ac:dyDescent="0.35">
      <c r="A86" s="64" t="s">
        <v>1883</v>
      </c>
      <c r="B86" s="62" t="str">
        <f t="shared" si="1"/>
        <v>landlordContactCountryId</v>
      </c>
      <c r="C86" s="62" t="s">
        <v>68</v>
      </c>
      <c r="D86" s="62" t="str">
        <f>IF(B86="", "", VLOOKUP(B86,'API Data Dictionary'!C:D,2,FALSE))</f>
        <v>enum -Country/Location Code</v>
      </c>
      <c r="E86" s="62" t="str">
        <f>IF(IF(B86="", "", VLOOKUP(B86,'API Data Dictionary'!C:E,3,FALSE))=0, "", IF(B86="", "", VLOOKUP(B86,'API Data Dictionary'!C:E,3,FALSE)))</f>
        <v/>
      </c>
      <c r="F86" s="62" t="str">
        <f>IF(IF(B86="", "", VLOOKUP(B86,'API Data Dictionary'!C:F,4,FALSE))=0, "", IF(B86="", "", VLOOKUP(B86,'API Data Dictionary'!C:F,4,FALSE)))</f>
        <v>Valid Values 1-239 (See enum definition)</v>
      </c>
      <c r="G86" s="62" t="str">
        <f>IF(IF(B86="", "", VLOOKUP(B86,'API Data Dictionary'!C:G,5,FALSE))=0, "", IF(B86="", "", VLOOKUP(B86,'API Data Dictionary'!C:G,5,FALSE)))</f>
        <v>The country/location code of the landlord contact phone number</v>
      </c>
    </row>
    <row r="87" spans="1:7" ht="14.5" x14ac:dyDescent="0.35">
      <c r="A87" s="64" t="s">
        <v>1884</v>
      </c>
      <c r="B87" s="62" t="str">
        <f t="shared" si="1"/>
        <v>landlordContactNumber</v>
      </c>
      <c r="C87" s="62" t="str">
        <f>IF(B87="", "", VLOOKUP(B87,'API Data Dictionary'!C:J,8,FALSE))</f>
        <v>X</v>
      </c>
      <c r="D87" s="62" t="str">
        <f>IF(B87="", "", VLOOKUP(B87,'API Data Dictionary'!C:D,2,FALSE))</f>
        <v>string</v>
      </c>
      <c r="E87" s="62">
        <f>IF(IF(B87="", "", VLOOKUP(B87,'API Data Dictionary'!C:E,3,FALSE))=0, "", IF(B87="", "", VLOOKUP(B87,'API Data Dictionary'!C:E,3,FALSE)))</f>
        <v>15</v>
      </c>
      <c r="F87" s="62" t="str">
        <f>IF(IF(B87="", "", VLOOKUP(B87,'API Data Dictionary'!C:F,4,FALSE))=0, "", IF(B87="", "", VLOOKUP(B87,'API Data Dictionary'!C:F,4,FALSE)))</f>
        <v>pattern: ^(\d{11})$</v>
      </c>
      <c r="G87" s="62" t="str">
        <f>IF(IF(B87="", "", VLOOKUP(B87,'API Data Dictionary'!C:G,5,FALSE))=0, "", IF(B87="", "", VLOOKUP(B87,'API Data Dictionary'!C:G,5,FALSE)))</f>
        <v>The Landlords contact Telephone number</v>
      </c>
    </row>
    <row r="88" spans="1:7" ht="14.5" x14ac:dyDescent="0.35">
      <c r="A88" s="64" t="s">
        <v>1885</v>
      </c>
      <c r="B88" s="62" t="str">
        <f t="shared" si="1"/>
        <v>landlordEmail</v>
      </c>
      <c r="C88" s="62" t="str">
        <f>IF(B88="", "", VLOOKUP(B88,'API Data Dictionary'!C:J,8,FALSE))</f>
        <v>X</v>
      </c>
      <c r="D88" s="62" t="str">
        <f>IF(B88="", "", VLOOKUP(B88,'API Data Dictionary'!C:D,2,FALSE))</f>
        <v>string ($email)</v>
      </c>
      <c r="E88" s="62">
        <f>IF(IF(B88="", "", VLOOKUP(B88,'API Data Dictionary'!C:E,3,FALSE))=0, "", IF(B88="", "", VLOOKUP(B88,'API Data Dictionary'!C:E,3,FALSE)))</f>
        <v>200</v>
      </c>
      <c r="F88" s="62" t="str">
        <f>IF(IF(B88="", "", VLOOKUP(B88,'API Data Dictionary'!C:F,4,FALSE))=0, "", IF(B88="", "", VLOOKUP(B88,'API Data Dictionary'!C:F,4,FALSE)))</f>
        <v>pattern: ^(?!.*\.\.)(?!.*\\_\\_)(?!.*\-\-)[a-zA-Z0-9][-a-zA-Z0-9._]+[a-zA-Z0-9]@([-a-zA-Z0-9]+.)+[a-zA-Z]{2,5}$</v>
      </c>
      <c r="G88" s="62" t="str">
        <f>IF(IF(B88="", "", VLOOKUP(B88,'API Data Dictionary'!C:G,5,FALSE))=0, "", IF(B88="", "", VLOOKUP(B88,'API Data Dictionary'!C:G,5,FALSE)))</f>
        <v>The landlords email address</v>
      </c>
    </row>
    <row r="89" spans="1:7" ht="14.5" x14ac:dyDescent="0.35">
      <c r="A89" s="64" t="s">
        <v>1830</v>
      </c>
      <c r="B89" s="62" t="str">
        <f t="shared" si="1"/>
        <v/>
      </c>
      <c r="C89" s="62" t="str">
        <f>IF(B89="", "", VLOOKUP(B89,'API Data Dictionary'!C:J,8,FALSE))</f>
        <v/>
      </c>
      <c r="D89" s="62" t="str">
        <f>IF(B89="", "", VLOOKUP(B89,'API Data Dictionary'!C:D,2,FALSE))</f>
        <v/>
      </c>
      <c r="E89" s="62" t="str">
        <f>IF(IF(B89="", "", VLOOKUP(B89,'API Data Dictionary'!C:E,3,FALSE))=0, "", IF(B89="", "", VLOOKUP(B89,'API Data Dictionary'!C:E,3,FALSE)))</f>
        <v/>
      </c>
      <c r="F89" s="62" t="str">
        <f>IF(IF(B89="", "", VLOOKUP(B89,'API Data Dictionary'!C:F,4,FALSE))=0, "", IF(B89="", "", VLOOKUP(B89,'API Data Dictionary'!C:F,4,FALSE)))</f>
        <v/>
      </c>
      <c r="G89" s="62" t="str">
        <f>IF(IF(B89="", "", VLOOKUP(B89,'API Data Dictionary'!C:G,5,FALSE))=0, "", IF(B89="", "", VLOOKUP(B89,'API Data Dictionary'!C:G,5,FALSE)))</f>
        <v/>
      </c>
    </row>
    <row r="90" spans="1:7" ht="14.5" x14ac:dyDescent="0.35">
      <c r="A90" s="64" t="s">
        <v>1886</v>
      </c>
      <c r="B90" s="62" t="str">
        <f t="shared" si="1"/>
        <v>houseNumber</v>
      </c>
      <c r="C90" s="62" t="str">
        <f>IF(B90="", "", VLOOKUP(B90,'API Data Dictionary'!C:J,8,FALSE))</f>
        <v>X</v>
      </c>
      <c r="D90" s="62" t="str">
        <f>IF(B90="", "", VLOOKUP(B90,'API Data Dictionary'!C:D,2,FALSE))</f>
        <v>string</v>
      </c>
      <c r="E90" s="62">
        <f>IF(IF(B90="", "", VLOOKUP(B90,'API Data Dictionary'!C:E,3,FALSE))=0, "", IF(B90="", "", VLOOKUP(B90,'API Data Dictionary'!C:E,3,FALSE)))</f>
        <v>100</v>
      </c>
      <c r="F90" s="62" t="str">
        <f>IF(IF(B90="", "", VLOOKUP(B90,'API Data Dictionary'!C:F,4,FALSE))=0, "", IF(B90="", "", VLOOKUP(B90,'API Data Dictionary'!C:F,4,FALSE)))</f>
        <v/>
      </c>
      <c r="G90" s="62" t="str">
        <f>IF(IF(B90="", "", VLOOKUP(B90,'API Data Dictionary'!C:G,5,FALSE))=0, "", IF(B90="", "", VLOOKUP(B90,'API Data Dictionary'!C:G,5,FALSE)))</f>
        <v xml:space="preserve">The number of the property, mandatory OR pair with House name field </v>
      </c>
    </row>
    <row r="91" spans="1:7" ht="14.5" x14ac:dyDescent="0.35">
      <c r="A91" s="64" t="s">
        <v>1887</v>
      </c>
      <c r="B91" s="62" t="str">
        <f t="shared" si="1"/>
        <v>houseName</v>
      </c>
      <c r="C91" s="62" t="str">
        <f>IF(B91="", "", VLOOKUP(B91,'API Data Dictionary'!C:J,8,FALSE))</f>
        <v>X</v>
      </c>
      <c r="D91" s="62" t="str">
        <f>IF(B91="", "", VLOOKUP(B91,'API Data Dictionary'!C:D,2,FALSE))</f>
        <v>string</v>
      </c>
      <c r="E91" s="62">
        <f>IF(IF(B91="", "", VLOOKUP(B91,'API Data Dictionary'!C:E,3,FALSE))=0, "", IF(B91="", "", VLOOKUP(B91,'API Data Dictionary'!C:E,3,FALSE)))</f>
        <v>100</v>
      </c>
      <c r="F91" s="62" t="str">
        <f>IF(IF(B91="", "", VLOOKUP(B91,'API Data Dictionary'!C:F,4,FALSE))=0, "", IF(B91="", "", VLOOKUP(B91,'API Data Dictionary'!C:F,4,FALSE)))</f>
        <v/>
      </c>
      <c r="G91" s="62" t="str">
        <f>IF(IF(B91="", "", VLOOKUP(B91,'API Data Dictionary'!C:G,5,FALSE))=0, "", IF(B91="", "", VLOOKUP(B91,'API Data Dictionary'!C:G,5,FALSE)))</f>
        <v xml:space="preserve">The name of the property, mandatory OR pair with House number field </v>
      </c>
    </row>
    <row r="92" spans="1:7" ht="14.5" x14ac:dyDescent="0.35">
      <c r="A92" s="64" t="s">
        <v>1888</v>
      </c>
      <c r="B92" s="62" t="str">
        <f t="shared" si="1"/>
        <v>addressLine1</v>
      </c>
      <c r="C92" s="62" t="str">
        <f>IF(B92="", "", VLOOKUP(B92,'API Data Dictionary'!C:J,8,FALSE))</f>
        <v>M</v>
      </c>
      <c r="D92" s="62" t="str">
        <f>IF(B92="", "", VLOOKUP(B92,'API Data Dictionary'!C:D,2,FALSE))</f>
        <v>string</v>
      </c>
      <c r="E92" s="62">
        <f>IF(IF(B92="", "", VLOOKUP(B92,'API Data Dictionary'!C:E,3,FALSE))=0, "", IF(B92="", "", VLOOKUP(B92,'API Data Dictionary'!C:E,3,FALSE)))</f>
        <v>100</v>
      </c>
      <c r="F92" s="62" t="str">
        <f>IF(IF(B92="", "", VLOOKUP(B92,'API Data Dictionary'!C:F,4,FALSE))=0, "", IF(B92="", "", VLOOKUP(B92,'API Data Dictionary'!C:F,4,FALSE)))</f>
        <v/>
      </c>
      <c r="G92" s="62" t="str">
        <f>IF(IF(B92="", "", VLOOKUP(B92,'API Data Dictionary'!C:G,5,FALSE))=0, "", IF(B92="", "", VLOOKUP(B92,'API Data Dictionary'!C:G,5,FALSE)))</f>
        <v>The first line of the property address</v>
      </c>
    </row>
    <row r="93" spans="1:7" ht="14.5" x14ac:dyDescent="0.35">
      <c r="A93" s="64" t="s">
        <v>1889</v>
      </c>
      <c r="B93" s="62" t="str">
        <f t="shared" si="1"/>
        <v>addressLine2</v>
      </c>
      <c r="C93" s="62" t="str">
        <f>IF(B93="", "", VLOOKUP(B93,'API Data Dictionary'!C:J,8,FALSE))</f>
        <v>X</v>
      </c>
      <c r="D93" s="62" t="str">
        <f>IF(B93="", "", VLOOKUP(B93,'API Data Dictionary'!C:D,2,FALSE))</f>
        <v>string</v>
      </c>
      <c r="E93" s="62">
        <f>IF(IF(B93="", "", VLOOKUP(B93,'API Data Dictionary'!C:E,3,FALSE))=0, "", IF(B93="", "", VLOOKUP(B93,'API Data Dictionary'!C:E,3,FALSE)))</f>
        <v>100</v>
      </c>
      <c r="F93" s="62" t="str">
        <f>IF(IF(B93="", "", VLOOKUP(B93,'API Data Dictionary'!C:F,4,FALSE))=0, "", IF(B93="", "", VLOOKUP(B93,'API Data Dictionary'!C:F,4,FALSE)))</f>
        <v/>
      </c>
      <c r="G93" s="62" t="str">
        <f>IF(IF(B93="", "", VLOOKUP(B93,'API Data Dictionary'!C:G,5,FALSE))=0, "", IF(B93="", "", VLOOKUP(B93,'API Data Dictionary'!C:G,5,FALSE)))</f>
        <v>The second line of the property address</v>
      </c>
    </row>
    <row r="94" spans="1:7" ht="14.5" x14ac:dyDescent="0.35">
      <c r="A94" s="64" t="s">
        <v>1890</v>
      </c>
      <c r="B94" s="62" t="str">
        <f t="shared" si="1"/>
        <v>town</v>
      </c>
      <c r="C94" s="62" t="str">
        <f>IF(B94="", "", VLOOKUP(B94,'API Data Dictionary'!C:J,8,FALSE))</f>
        <v>M</v>
      </c>
      <c r="D94" s="62" t="str">
        <f>IF(B94="", "", VLOOKUP(B94,'API Data Dictionary'!C:D,2,FALSE))</f>
        <v>string</v>
      </c>
      <c r="E94" s="62">
        <f>IF(IF(B94="", "", VLOOKUP(B94,'API Data Dictionary'!C:E,3,FALSE))=0, "", IF(B94="", "", VLOOKUP(B94,'API Data Dictionary'!C:E,3,FALSE)))</f>
        <v>50</v>
      </c>
      <c r="F94" s="62" t="str">
        <f>IF(IF(B94="", "", VLOOKUP(B94,'API Data Dictionary'!C:F,4,FALSE))=0, "", IF(B94="", "", VLOOKUP(B94,'API Data Dictionary'!C:F,4,FALSE)))</f>
        <v/>
      </c>
      <c r="G94" s="62" t="str">
        <f>IF(IF(B94="", "", VLOOKUP(B94,'API Data Dictionary'!C:G,5,FALSE))=0, "", IF(B94="", "", VLOOKUP(B94,'API Data Dictionary'!C:G,5,FALSE)))</f>
        <v>The town in which the property exists</v>
      </c>
    </row>
    <row r="95" spans="1:7" ht="14.5" x14ac:dyDescent="0.35">
      <c r="A95" s="64" t="s">
        <v>1864</v>
      </c>
      <c r="B95" s="62" t="str">
        <f t="shared" si="1"/>
        <v>country</v>
      </c>
      <c r="C95" s="62" t="str">
        <f>IF(B95="", "", VLOOKUP(B95,'API Data Dictionary'!C:J,8,FALSE))</f>
        <v>M</v>
      </c>
      <c r="D95" s="62" t="str">
        <f>IF(B95="", "", VLOOKUP(B95,'API Data Dictionary'!C:D,2,FALSE))</f>
        <v>enum -Country/Location Code</v>
      </c>
      <c r="E95" s="62" t="str">
        <f>IF(IF(B95="", "", VLOOKUP(B95,'API Data Dictionary'!C:E,3,FALSE))=0, "", IF(B95="", "", VLOOKUP(B95,'API Data Dictionary'!C:E,3,FALSE)))</f>
        <v/>
      </c>
      <c r="F95" s="62" t="str">
        <f>IF(IF(B95="", "", VLOOKUP(B95,'API Data Dictionary'!C:F,4,FALSE))=0, "", IF(B95="", "", VLOOKUP(B95,'API Data Dictionary'!C:F,4,FALSE)))</f>
        <v>Valid Values 1-239 (See enum definition)</v>
      </c>
      <c r="G95" s="62" t="str">
        <f>IF(IF(B95="", "", VLOOKUP(B95,'API Data Dictionary'!C:G,5,FALSE))=0, "", IF(B95="", "", VLOOKUP(B95,'API Data Dictionary'!C:G,5,FALSE)))</f>
        <v>The Country code from the enum list, e.g. France</v>
      </c>
    </row>
    <row r="96" spans="1:7" ht="14.5" x14ac:dyDescent="0.35">
      <c r="A96" s="64" t="s">
        <v>1891</v>
      </c>
      <c r="B96" s="62" t="str">
        <f t="shared" si="1"/>
        <v>postcode</v>
      </c>
      <c r="C96" s="62" t="str">
        <f>IF(B96="", "", VLOOKUP(B96,'API Data Dictionary'!C:J,8,FALSE))</f>
        <v>M</v>
      </c>
      <c r="D96" s="62" t="str">
        <f>IF(B96="", "", VLOOKUP(B96,'API Data Dictionary'!C:D,2,FALSE))</f>
        <v>string</v>
      </c>
      <c r="E96" s="62">
        <f>IF(IF(B96="", "", VLOOKUP(B96,'API Data Dictionary'!C:E,3,FALSE))=0, "", IF(B96="", "", VLOOKUP(B96,'API Data Dictionary'!C:E,3,FALSE)))</f>
        <v>50</v>
      </c>
      <c r="F96" s="62" t="str">
        <f>IF(IF(B96="", "", VLOOKUP(B96,'API Data Dictionary'!C:F,4,FALSE))=0, "", IF(B96="", "", VLOOKUP(B96,'API Data Dictionary'!C:F,4,FALSE)))</f>
        <v/>
      </c>
      <c r="G96" s="62" t="str">
        <f>IF(IF(B96="", "", VLOOKUP(B96,'API Data Dictionary'!C:G,5,FALSE))=0, "", IF(B96="", "", VLOOKUP(B96,'API Data Dictionary'!C:G,5,FALSE)))</f>
        <v>the postcode of the property</v>
      </c>
    </row>
    <row r="97" spans="1:7" ht="14.5" x14ac:dyDescent="0.35">
      <c r="A97" s="64" t="s">
        <v>1825</v>
      </c>
      <c r="B97" s="62" t="str">
        <f t="shared" si="1"/>
        <v/>
      </c>
      <c r="C97" s="62" t="str">
        <f>IF(B97="", "", VLOOKUP(B97,'API Data Dictionary'!C:J,8,FALSE))</f>
        <v/>
      </c>
      <c r="D97" s="62" t="str">
        <f>IF(B97="", "", VLOOKUP(B97,'API Data Dictionary'!C:D,2,FALSE))</f>
        <v/>
      </c>
      <c r="E97" s="62" t="str">
        <f>IF(IF(B97="", "", VLOOKUP(B97,'API Data Dictionary'!C:E,3,FALSE))=0, "", IF(B97="", "", VLOOKUP(B97,'API Data Dictionary'!C:E,3,FALSE)))</f>
        <v/>
      </c>
      <c r="F97" s="62" t="str">
        <f>IF(IF(B97="", "", VLOOKUP(B97,'API Data Dictionary'!C:F,4,FALSE))=0, "", IF(B97="", "", VLOOKUP(B97,'API Data Dictionary'!C:F,4,FALSE)))</f>
        <v/>
      </c>
      <c r="G97" s="62" t="str">
        <f>IF(IF(B97="", "", VLOOKUP(B97,'API Data Dictionary'!C:G,5,FALSE))=0, "", IF(B97="", "", VLOOKUP(B97,'API Data Dictionary'!C:G,5,FALSE)))</f>
        <v/>
      </c>
    </row>
    <row r="98" spans="1:7" ht="14.5" x14ac:dyDescent="0.35">
      <c r="A98" s="64" t="s">
        <v>1828</v>
      </c>
      <c r="B98" s="62" t="str">
        <f t="shared" si="1"/>
        <v/>
      </c>
      <c r="C98" s="62" t="str">
        <f>IF(B98="", "", VLOOKUP(B98,'API Data Dictionary'!C:J,8,FALSE))</f>
        <v/>
      </c>
      <c r="D98" s="62" t="str">
        <f>IF(B98="", "", VLOOKUP(B98,'API Data Dictionary'!C:D,2,FALSE))</f>
        <v/>
      </c>
      <c r="E98" s="62" t="str">
        <f>IF(IF(B98="", "", VLOOKUP(B98,'API Data Dictionary'!C:E,3,FALSE))=0, "", IF(B98="", "", VLOOKUP(B98,'API Data Dictionary'!C:E,3,FALSE)))</f>
        <v/>
      </c>
      <c r="F98" s="62" t="str">
        <f>IF(IF(B98="", "", VLOOKUP(B98,'API Data Dictionary'!C:F,4,FALSE))=0, "", IF(B98="", "", VLOOKUP(B98,'API Data Dictionary'!C:F,4,FALSE)))</f>
        <v/>
      </c>
      <c r="G98" s="62" t="str">
        <f>IF(IF(B98="", "", VLOOKUP(B98,'API Data Dictionary'!C:G,5,FALSE))=0, "", IF(B98="", "", VLOOKUP(B98,'API Data Dictionary'!C:G,5,FALSE)))</f>
        <v/>
      </c>
    </row>
    <row r="99" spans="1:7" ht="14.5" x14ac:dyDescent="0.35">
      <c r="A99" s="64" t="s">
        <v>1831</v>
      </c>
      <c r="B99" s="62" t="str">
        <f t="shared" si="1"/>
        <v/>
      </c>
      <c r="C99" s="62" t="str">
        <f>IF(B99="", "", VLOOKUP(B99,'API Data Dictionary'!C:J,8,FALSE))</f>
        <v/>
      </c>
      <c r="D99" s="62" t="str">
        <f>IF(B99="", "", VLOOKUP(B99,'API Data Dictionary'!C:D,2,FALSE))</f>
        <v/>
      </c>
      <c r="E99" s="62" t="str">
        <f>IF(IF(B99="", "", VLOOKUP(B99,'API Data Dictionary'!C:E,3,FALSE))=0, "", IF(B99="", "", VLOOKUP(B99,'API Data Dictionary'!C:E,3,FALSE)))</f>
        <v/>
      </c>
      <c r="F99" s="62" t="str">
        <f>IF(IF(B99="", "", VLOOKUP(B99,'API Data Dictionary'!C:F,4,FALSE))=0, "", IF(B99="", "", VLOOKUP(B99,'API Data Dictionary'!C:F,4,FALSE)))</f>
        <v/>
      </c>
      <c r="G99" s="62" t="str">
        <f>IF(IF(B99="", "", VLOOKUP(B99,'API Data Dictionary'!C:G,5,FALSE))=0, "", IF(B99="", "", VLOOKUP(B99,'API Data Dictionary'!C:G,5,FALSE)))</f>
        <v/>
      </c>
    </row>
    <row r="100" spans="1:7" ht="14.5" x14ac:dyDescent="0.35">
      <c r="A100" s="64" t="s">
        <v>1892</v>
      </c>
      <c r="B100" s="62" t="str">
        <f t="shared" si="1"/>
        <v>submittedisAdverseCredit</v>
      </c>
      <c r="C100" s="62" t="str">
        <f>IF(B100="", "", VLOOKUP(B100,'API Data Dictionary'!C:J,8,FALSE))</f>
        <v>M</v>
      </c>
      <c r="D100" s="62" t="str">
        <f>IF(B100="", "", VLOOKUP(B100,'API Data Dictionary'!C:D,2,FALSE))</f>
        <v>boolean</v>
      </c>
      <c r="E100" s="62" t="str">
        <f>IF(IF(B100="", "", VLOOKUP(B100,'API Data Dictionary'!C:E,3,FALSE))=0, "", IF(B100="", "", VLOOKUP(B100,'API Data Dictionary'!C:E,3,FALSE)))</f>
        <v/>
      </c>
      <c r="F100" s="62" t="str">
        <f>IF(IF(B100="", "", VLOOKUP(B100,'API Data Dictionary'!C:F,4,FALSE))=0, "", IF(B100="", "", VLOOKUP(B100,'API Data Dictionary'!C:F,4,FALSE)))</f>
        <v/>
      </c>
      <c r="G100" s="62" t="str">
        <f>IF(IF(B100="", "", VLOOKUP(B100,'API Data Dictionary'!C:G,5,FALSE))=0, "", IF(B100="", "", VLOOKUP(B100,'API Data Dictionary'!C:G,5,FALSE)))</f>
        <v>Boolean for is adverse credit</v>
      </c>
    </row>
    <row r="101" spans="1:7" ht="14.5" x14ac:dyDescent="0.35">
      <c r="A101" s="64" t="s">
        <v>1893</v>
      </c>
      <c r="B101" s="62" t="str">
        <f t="shared" si="1"/>
        <v>submittedisCCJ</v>
      </c>
      <c r="C101" s="62" t="str">
        <f>IF(B101="", "", VLOOKUP(B101,'API Data Dictionary'!C:J,8,FALSE))</f>
        <v>M</v>
      </c>
      <c r="D101" s="62" t="str">
        <f>IF(B101="", "", VLOOKUP(B101,'API Data Dictionary'!C:D,2,FALSE))</f>
        <v>boolean</v>
      </c>
      <c r="E101" s="62" t="str">
        <f>IF(IF(B101="", "", VLOOKUP(B101,'API Data Dictionary'!C:E,3,FALSE))=0, "", IF(B101="", "", VLOOKUP(B101,'API Data Dictionary'!C:E,3,FALSE)))</f>
        <v/>
      </c>
      <c r="F101" s="62" t="str">
        <f>IF(IF(B101="", "", VLOOKUP(B101,'API Data Dictionary'!C:F,4,FALSE))=0, "", IF(B101="", "", VLOOKUP(B101,'API Data Dictionary'!C:F,4,FALSE)))</f>
        <v/>
      </c>
      <c r="G101" s="62" t="str">
        <f>IF(IF(B101="", "", VLOOKUP(B101,'API Data Dictionary'!C:G,5,FALSE))=0, "", IF(B101="", "", VLOOKUP(B101,'API Data Dictionary'!C:G,5,FALSE)))</f>
        <v>Boolean for is County court judgment</v>
      </c>
    </row>
    <row r="102" spans="1:7" ht="14.5" x14ac:dyDescent="0.35">
      <c r="A102" s="64" t="s">
        <v>1894</v>
      </c>
      <c r="B102" s="62" t="str">
        <f t="shared" si="1"/>
        <v>submittedisBankruptcy</v>
      </c>
      <c r="C102" s="62" t="str">
        <f>IF(B102="", "", VLOOKUP(B102,'API Data Dictionary'!C:J,8,FALSE))</f>
        <v>M</v>
      </c>
      <c r="D102" s="62" t="str">
        <f>IF(B102="", "", VLOOKUP(B102,'API Data Dictionary'!C:D,2,FALSE))</f>
        <v>boolean</v>
      </c>
      <c r="E102" s="62" t="str">
        <f>IF(IF(B102="", "", VLOOKUP(B102,'API Data Dictionary'!C:E,3,FALSE))=0, "", IF(B102="", "", VLOOKUP(B102,'API Data Dictionary'!C:E,3,FALSE)))</f>
        <v/>
      </c>
      <c r="F102" s="62" t="str">
        <f>IF(IF(B102="", "", VLOOKUP(B102,'API Data Dictionary'!C:F,4,FALSE))=0, "", IF(B102="", "", VLOOKUP(B102,'API Data Dictionary'!C:F,4,FALSE)))</f>
        <v/>
      </c>
      <c r="G102" s="62" t="str">
        <f>IF(IF(B102="", "", VLOOKUP(B102,'API Data Dictionary'!C:G,5,FALSE))=0, "", IF(B102="", "", VLOOKUP(B102,'API Data Dictionary'!C:G,5,FALSE)))</f>
        <v>Boolean for is bankruptcy</v>
      </c>
    </row>
    <row r="103" spans="1:7" ht="14.5" x14ac:dyDescent="0.35">
      <c r="A103" s="64" t="s">
        <v>1895</v>
      </c>
      <c r="B103" s="62" t="str">
        <f t="shared" si="1"/>
        <v>submittedisInsolvency</v>
      </c>
      <c r="C103" s="62" t="str">
        <f>IF(B103="", "", VLOOKUP(B103,'API Data Dictionary'!C:J,8,FALSE))</f>
        <v>M</v>
      </c>
      <c r="D103" s="62" t="str">
        <f>IF(B103="", "", VLOOKUP(B103,'API Data Dictionary'!C:D,2,FALSE))</f>
        <v>boolean</v>
      </c>
      <c r="E103" s="62" t="str">
        <f>IF(IF(B103="", "", VLOOKUP(B103,'API Data Dictionary'!C:E,3,FALSE))=0, "", IF(B103="", "", VLOOKUP(B103,'API Data Dictionary'!C:E,3,FALSE)))</f>
        <v/>
      </c>
      <c r="F103" s="62" t="str">
        <f>IF(IF(B103="", "", VLOOKUP(B103,'API Data Dictionary'!C:F,4,FALSE))=0, "", IF(B103="", "", VLOOKUP(B103,'API Data Dictionary'!C:F,4,FALSE)))</f>
        <v/>
      </c>
      <c r="G103" s="62" t="str">
        <f>IF(IF(B103="", "", VLOOKUP(B103,'API Data Dictionary'!C:G,5,FALSE))=0, "", IF(B103="", "", VLOOKUP(B103,'API Data Dictionary'!C:G,5,FALSE)))</f>
        <v>Boolean for is Insolvency</v>
      </c>
    </row>
    <row r="104" spans="1:7" ht="14.5" x14ac:dyDescent="0.35">
      <c r="A104" s="64" t="s">
        <v>1896</v>
      </c>
      <c r="B104" s="62" t="str">
        <f t="shared" si="1"/>
        <v>submittedisOtherAdverseCredit</v>
      </c>
      <c r="C104" s="62" t="str">
        <f>IF(B104="", "", VLOOKUP(B104,'API Data Dictionary'!C:J,8,FALSE))</f>
        <v>M</v>
      </c>
      <c r="D104" s="62" t="str">
        <f>IF(B104="", "", VLOOKUP(B104,'API Data Dictionary'!C:D,2,FALSE))</f>
        <v>boolean</v>
      </c>
      <c r="E104" s="62" t="str">
        <f>IF(IF(B104="", "", VLOOKUP(B104,'API Data Dictionary'!C:E,3,FALSE))=0, "", IF(B104="", "", VLOOKUP(B104,'API Data Dictionary'!C:E,3,FALSE)))</f>
        <v/>
      </c>
      <c r="F104" s="62" t="str">
        <f>IF(IF(B104="", "", VLOOKUP(B104,'API Data Dictionary'!C:F,4,FALSE))=0, "", IF(B104="", "", VLOOKUP(B104,'API Data Dictionary'!C:F,4,FALSE)))</f>
        <v/>
      </c>
      <c r="G104" s="62" t="str">
        <f>IF(IF(B104="", "", VLOOKUP(B104,'API Data Dictionary'!C:G,5,FALSE))=0, "", IF(B104="", "", VLOOKUP(B104,'API Data Dictionary'!C:G,5,FALSE)))</f>
        <v>Boolean for is other Adverse credit</v>
      </c>
    </row>
    <row r="105" spans="1:7" ht="14.5" x14ac:dyDescent="0.35">
      <c r="A105" s="64" t="s">
        <v>1897</v>
      </c>
      <c r="B105" s="62" t="str">
        <f t="shared" si="1"/>
        <v>submittedOtherAdverseCreditDesc</v>
      </c>
      <c r="C105" s="62" t="str">
        <f>IF(B105="", "", VLOOKUP(B105,'API Data Dictionary'!C:J,8,FALSE))</f>
        <v>M</v>
      </c>
      <c r="D105" s="62" t="str">
        <f>IF(B105="", "", VLOOKUP(B105,'API Data Dictionary'!C:D,2,FALSE))</f>
        <v>string</v>
      </c>
      <c r="E105" s="62">
        <f>IF(IF(B105="", "", VLOOKUP(B105,'API Data Dictionary'!C:E,3,FALSE))=0, "", IF(B105="", "", VLOOKUP(B105,'API Data Dictionary'!C:E,3,FALSE)))</f>
        <v>1000</v>
      </c>
      <c r="F105" s="62" t="str">
        <f>IF(IF(B105="", "", VLOOKUP(B105,'API Data Dictionary'!C:F,4,FALSE))=0, "", IF(B105="", "", VLOOKUP(B105,'API Data Dictionary'!C:F,4,FALSE)))</f>
        <v/>
      </c>
      <c r="G105" s="62" t="str">
        <f>IF(IF(B105="", "", VLOOKUP(B105,'API Data Dictionary'!C:G,5,FALSE))=0, "", IF(B105="", "", VLOOKUP(B105,'API Data Dictionary'!C:G,5,FALSE)))</f>
        <v>If submittedisOtherAdverseCredit is True, the free text field for adverse credit</v>
      </c>
    </row>
    <row r="106" spans="1:7" ht="14.5" x14ac:dyDescent="0.35">
      <c r="A106" s="64" t="s">
        <v>1832</v>
      </c>
      <c r="B106" s="62" t="str">
        <f t="shared" si="1"/>
        <v/>
      </c>
      <c r="C106" s="62" t="str">
        <f>IF(B106="", "", VLOOKUP(B106,'API Data Dictionary'!C:J,8,FALSE))</f>
        <v/>
      </c>
      <c r="D106" s="62" t="str">
        <f>IF(B106="", "", VLOOKUP(B106,'API Data Dictionary'!C:D,2,FALSE))</f>
        <v/>
      </c>
      <c r="E106" s="62" t="str">
        <f>IF(IF(B106="", "", VLOOKUP(B106,'API Data Dictionary'!C:E,3,FALSE))=0, "", IF(B106="", "", VLOOKUP(B106,'API Data Dictionary'!C:E,3,FALSE)))</f>
        <v/>
      </c>
      <c r="F106" s="62" t="str">
        <f>IF(IF(B106="", "", VLOOKUP(B106,'API Data Dictionary'!C:F,4,FALSE))=0, "", IF(B106="", "", VLOOKUP(B106,'API Data Dictionary'!C:F,4,FALSE)))</f>
        <v/>
      </c>
      <c r="G106" s="62" t="str">
        <f>IF(IF(B106="", "", VLOOKUP(B106,'API Data Dictionary'!C:G,5,FALSE))=0, "", IF(B106="", "", VLOOKUP(B106,'API Data Dictionary'!C:G,5,FALSE)))</f>
        <v/>
      </c>
    </row>
    <row r="107" spans="1:7" ht="14.5" x14ac:dyDescent="0.35">
      <c r="A107" s="64" t="s">
        <v>1115</v>
      </c>
      <c r="B107" s="62" t="str">
        <f t="shared" si="1"/>
        <v/>
      </c>
      <c r="C107" s="62" t="str">
        <f>IF(B107="", "", VLOOKUP(B107,'API Data Dictionary'!C:J,8,FALSE))</f>
        <v/>
      </c>
      <c r="D107" s="62" t="str">
        <f>IF(B107="", "", VLOOKUP(B107,'API Data Dictionary'!C:D,2,FALSE))</f>
        <v/>
      </c>
      <c r="E107" s="62" t="str">
        <f>IF(IF(B107="", "", VLOOKUP(B107,'API Data Dictionary'!C:E,3,FALSE))=0, "", IF(B107="", "", VLOOKUP(B107,'API Data Dictionary'!C:E,3,FALSE)))</f>
        <v/>
      </c>
      <c r="F107" s="62" t="str">
        <f>IF(IF(B107="", "", VLOOKUP(B107,'API Data Dictionary'!C:F,4,FALSE))=0, "", IF(B107="", "", VLOOKUP(B107,'API Data Dictionary'!C:F,4,FALSE)))</f>
        <v/>
      </c>
      <c r="G107" s="62" t="str">
        <f>IF(IF(B107="", "", VLOOKUP(B107,'API Data Dictionary'!C:G,5,FALSE))=0, "", IF(B107="", "", VLOOKUP(B107,'API Data Dictionary'!C:G,5,FALSE)))</f>
        <v/>
      </c>
    </row>
    <row r="108" spans="1:7" ht="14.5" x14ac:dyDescent="0.35">
      <c r="A108" s="64" t="s">
        <v>1116</v>
      </c>
      <c r="B108" s="62" t="str">
        <f t="shared" si="1"/>
        <v/>
      </c>
      <c r="C108" s="62" t="str">
        <f>IF(B108="", "", VLOOKUP(B108,'API Data Dictionary'!C:J,8,FALSE))</f>
        <v/>
      </c>
      <c r="D108" s="62" t="str">
        <f>IF(B108="", "", VLOOKUP(B108,'API Data Dictionary'!C:D,2,FALSE))</f>
        <v/>
      </c>
      <c r="E108" s="62" t="str">
        <f>IF(IF(B108="", "", VLOOKUP(B108,'API Data Dictionary'!C:E,3,FALSE))=0, "", IF(B108="", "", VLOOKUP(B108,'API Data Dictionary'!C:E,3,FALSE)))</f>
        <v/>
      </c>
      <c r="F108" s="62" t="str">
        <f>IF(IF(B108="", "", VLOOKUP(B108,'API Data Dictionary'!C:F,4,FALSE))=0, "", IF(B108="", "", VLOOKUP(B108,'API Data Dictionary'!C:F,4,FALSE)))</f>
        <v/>
      </c>
      <c r="G108" s="62" t="str">
        <f>IF(IF(B108="", "", VLOOKUP(B108,'API Data Dictionary'!C:G,5,FALSE))=0, "", IF(B108="", "", VLOOKUP(B108,'API Data Dictionary'!C:G,5,FALSE)))</f>
        <v/>
      </c>
    </row>
    <row r="109" spans="1:7" ht="14.5" x14ac:dyDescent="0.35">
      <c r="A109" s="64" t="s">
        <v>1833</v>
      </c>
      <c r="B109" s="62" t="str">
        <f t="shared" si="1"/>
        <v/>
      </c>
      <c r="C109" s="62" t="str">
        <f>IF(B109="", "", VLOOKUP(B109,'API Data Dictionary'!C:J,8,FALSE))</f>
        <v/>
      </c>
      <c r="D109" s="62" t="str">
        <f>IF(B109="", "", VLOOKUP(B109,'API Data Dictionary'!C:D,2,FALSE))</f>
        <v/>
      </c>
      <c r="E109" s="62" t="str">
        <f>IF(IF(B109="", "", VLOOKUP(B109,'API Data Dictionary'!C:E,3,FALSE))=0, "", IF(B109="", "", VLOOKUP(B109,'API Data Dictionary'!C:E,3,FALSE)))</f>
        <v/>
      </c>
      <c r="F109" s="62" t="str">
        <f>IF(IF(B109="", "", VLOOKUP(B109,'API Data Dictionary'!C:F,4,FALSE))=0, "", IF(B109="", "", VLOOKUP(B109,'API Data Dictionary'!C:F,4,FALSE)))</f>
        <v/>
      </c>
      <c r="G109" s="62" t="str">
        <f>IF(IF(B109="", "", VLOOKUP(B109,'API Data Dictionary'!C:G,5,FALSE))=0, "", IF(B109="", "", VLOOKUP(B109,'API Data Dictionary'!C:G,5,FALSE)))</f>
        <v/>
      </c>
    </row>
    <row r="110" spans="1:7" ht="14.5" x14ac:dyDescent="0.35">
      <c r="A110" s="64" t="s">
        <v>1114</v>
      </c>
      <c r="B110" s="62" t="str">
        <f t="shared" si="1"/>
        <v/>
      </c>
      <c r="C110" s="62" t="str">
        <f>IF(B110="", "", VLOOKUP(B110,'API Data Dictionary'!C:J,8,FALSE))</f>
        <v/>
      </c>
      <c r="D110" s="62" t="str">
        <f>IF(B110="", "", VLOOKUP(B110,'API Data Dictionary'!C:D,2,FALSE))</f>
        <v/>
      </c>
      <c r="E110" s="62" t="str">
        <f>IF(IF(B110="", "", VLOOKUP(B110,'API Data Dictionary'!C:E,3,FALSE))=0, "", IF(B110="", "", VLOOKUP(B110,'API Data Dictionary'!C:E,3,FALSE)))</f>
        <v/>
      </c>
      <c r="F110" s="62" t="str">
        <f>IF(IF(B110="", "", VLOOKUP(B110,'API Data Dictionary'!C:F,4,FALSE))=0, "", IF(B110="", "", VLOOKUP(B110,'API Data Dictionary'!C:F,4,FALSE)))</f>
        <v/>
      </c>
      <c r="G110" s="62" t="str">
        <f>IF(IF(B110="", "", VLOOKUP(B110,'API Data Dictionary'!C:G,5,FALSE))=0, "", IF(B110="", "", VLOOKUP(B110,'API Data Dictionary'!C:G,5,FALSE)))</f>
        <v/>
      </c>
    </row>
    <row r="111" spans="1:7" ht="14.5" x14ac:dyDescent="0.35">
      <c r="A111" s="64" t="s">
        <v>1898</v>
      </c>
      <c r="B111" s="62" t="str">
        <f t="shared" si="1"/>
        <v>incomeTypeID</v>
      </c>
      <c r="C111" s="62" t="str">
        <f>IF(B111="", "", VLOOKUP(B111,'API Data Dictionary'!C:J,8,FALSE))</f>
        <v>M</v>
      </c>
      <c r="D111" s="62" t="str">
        <f>IF(B111="", "", VLOOKUP(B111,'API Data Dictionary'!C:D,2,FALSE))</f>
        <v>enum - Income Type</v>
      </c>
      <c r="E111" s="62" t="str">
        <f>IF(IF(B111="", "", VLOOKUP(B111,'API Data Dictionary'!C:E,3,FALSE))=0, "", IF(B111="", "", VLOOKUP(B111,'API Data Dictionary'!C:E,3,FALSE)))</f>
        <v/>
      </c>
      <c r="F111" s="62" t="str">
        <f>IF(IF(B111="", "", VLOOKUP(B111,'API Data Dictionary'!C:F,4,FALSE))=0, "", IF(B111="", "", VLOOKUP(B111,'API Data Dictionary'!C:F,4,FALSE)))</f>
        <v>Valid Values 1,2,3,5,6,7,8 (See enum definition)</v>
      </c>
      <c r="G111" s="62" t="str">
        <f>IF(IF(B111="", "", VLOOKUP(B111,'API Data Dictionary'!C:G,5,FALSE))=0, "", IF(B111="", "", VLOOKUP(B111,'API Data Dictionary'!C:G,5,FALSE)))</f>
        <v>The Income Type, e.g savings or employed</v>
      </c>
    </row>
    <row r="112" spans="1:7" ht="14.5" x14ac:dyDescent="0.35">
      <c r="A112" s="64" t="s">
        <v>1899</v>
      </c>
      <c r="B112" s="62" t="str">
        <f t="shared" si="1"/>
        <v>incomeTermID</v>
      </c>
      <c r="C112" s="62" t="str">
        <f>IF(B112="", "", VLOOKUP(B112,'API Data Dictionary'!C:J,8,FALSE))</f>
        <v>M</v>
      </c>
      <c r="D112" s="62" t="str">
        <f>IF(B112="", "", VLOOKUP(B112,'API Data Dictionary'!C:D,2,FALSE))</f>
        <v>enum - Income Term</v>
      </c>
      <c r="E112" s="62" t="str">
        <f>IF(IF(B112="", "", VLOOKUP(B112,'API Data Dictionary'!C:E,3,FALSE))=0, "", IF(B112="", "", VLOOKUP(B112,'API Data Dictionary'!C:E,3,FALSE)))</f>
        <v/>
      </c>
      <c r="F112" s="62" t="str">
        <f>IF(IF(B112="", "", VLOOKUP(B112,'API Data Dictionary'!C:F,4,FALSE))=0, "", IF(B112="", "", VLOOKUP(B112,'API Data Dictionary'!C:F,4,FALSE)))</f>
        <v>Valid Values 1-4 (See enum definition)</v>
      </c>
      <c r="G112" s="62" t="str">
        <f>IF(IF(B112="", "", VLOOKUP(B112,'API Data Dictionary'!C:G,5,FALSE))=0, "", IF(B112="", "", VLOOKUP(B112,'API Data Dictionary'!C:G,5,FALSE)))</f>
        <v>Income term, e.g monthly or weekly</v>
      </c>
    </row>
    <row r="113" spans="1:7" ht="14.5" x14ac:dyDescent="0.35">
      <c r="A113" s="64" t="s">
        <v>1834</v>
      </c>
      <c r="B113" s="62" t="str">
        <f t="shared" si="1"/>
        <v/>
      </c>
      <c r="C113" s="62" t="str">
        <f>IF(B113="", "", VLOOKUP(B113,'API Data Dictionary'!C:J,8,FALSE))</f>
        <v/>
      </c>
      <c r="D113" s="62" t="str">
        <f>IF(B113="", "", VLOOKUP(B113,'API Data Dictionary'!C:D,2,FALSE))</f>
        <v/>
      </c>
      <c r="E113" s="62" t="str">
        <f>IF(IF(B113="", "", VLOOKUP(B113,'API Data Dictionary'!C:E,3,FALSE))=0, "", IF(B113="", "", VLOOKUP(B113,'API Data Dictionary'!C:E,3,FALSE)))</f>
        <v/>
      </c>
      <c r="F113" s="62" t="str">
        <f>IF(IF(B113="", "", VLOOKUP(B113,'API Data Dictionary'!C:F,4,FALSE))=0, "", IF(B113="", "", VLOOKUP(B113,'API Data Dictionary'!C:F,4,FALSE)))</f>
        <v/>
      </c>
      <c r="G113" s="62" t="str">
        <f>IF(IF(B113="", "", VLOOKUP(B113,'API Data Dictionary'!C:G,5,FALSE))=0, "", IF(B113="", "", VLOOKUP(B113,'API Data Dictionary'!C:G,5,FALSE)))</f>
        <v/>
      </c>
    </row>
    <row r="114" spans="1:7" ht="14.5" x14ac:dyDescent="0.35">
      <c r="A114" s="64" t="s">
        <v>1900</v>
      </c>
      <c r="B114" s="62" t="str">
        <f t="shared" si="1"/>
        <v>countryOfEmployment</v>
      </c>
      <c r="C114" s="62" t="str">
        <f>IF(B114="", "", VLOOKUP(B114,'API Data Dictionary'!C:J,8,FALSE))</f>
        <v>X</v>
      </c>
      <c r="D114" s="62" t="str">
        <f>IF(B114="", "", VLOOKUP(B114,'API Data Dictionary'!C:D,2,FALSE))</f>
        <v>enum -Country/Location Code</v>
      </c>
      <c r="E114" s="62" t="str">
        <f>IF(IF(B114="", "", VLOOKUP(B114,'API Data Dictionary'!C:E,3,FALSE))=0, "", IF(B114="", "", VLOOKUP(B114,'API Data Dictionary'!C:E,3,FALSE)))</f>
        <v/>
      </c>
      <c r="F114" s="62" t="str">
        <f>IF(IF(B114="", "", VLOOKUP(B114,'API Data Dictionary'!C:F,4,FALSE))=0, "", IF(B114="", "", VLOOKUP(B114,'API Data Dictionary'!C:F,4,FALSE)))</f>
        <v>Valid Values 1-239 (See enum definition)</v>
      </c>
      <c r="G114" s="62" t="str">
        <f>IF(IF(B114="", "", VLOOKUP(B114,'API Data Dictionary'!C:G,5,FALSE))=0, "", IF(B114="", "", VLOOKUP(B114,'API Data Dictionary'!C:G,5,FALSE)))</f>
        <v>The Country of employment, from the enum list, e.g. France</v>
      </c>
    </row>
    <row r="115" spans="1:7" ht="14.5" x14ac:dyDescent="0.35">
      <c r="A115" s="64" t="s">
        <v>1901</v>
      </c>
      <c r="B115" s="62" t="str">
        <f t="shared" ref="B115:B178" si="2">IF(OR(ISNUMBER(SEARCH("{", A115)),ISNUMBER(SEARCH("[", A115))), "", IFERROR(MID(A115, SEARCH("""", A115) +1, SEARCH("""", A115, SEARCH("""",A115) +1) - SEARCH("""", A115) -1), ""))</f>
        <v>employersName</v>
      </c>
      <c r="C115" s="62" t="str">
        <f>IF(B115="", "", VLOOKUP(B115,'API Data Dictionary'!C:J,8,FALSE))</f>
        <v>X</v>
      </c>
      <c r="D115" s="62" t="str">
        <f>IF(B115="", "", VLOOKUP(B115,'API Data Dictionary'!C:D,2,FALSE))</f>
        <v>string</v>
      </c>
      <c r="E115" s="62">
        <f>IF(IF(B115="", "", VLOOKUP(B115,'API Data Dictionary'!C:E,3,FALSE))=0, "", IF(B115="", "", VLOOKUP(B115,'API Data Dictionary'!C:E,3,FALSE)))</f>
        <v>100</v>
      </c>
      <c r="F115" s="62" t="str">
        <f>IF(IF(B115="", "", VLOOKUP(B115,'API Data Dictionary'!C:F,4,FALSE))=0, "", IF(B115="", "", VLOOKUP(B115,'API Data Dictionary'!C:F,4,FALSE)))</f>
        <v>pattern: ^[a-zA-Z0-9\-' ]*$</v>
      </c>
      <c r="G115" s="62" t="str">
        <f>IF(IF(B115="", "", VLOOKUP(B115,'API Data Dictionary'!C:G,5,FALSE))=0, "", IF(B115="", "", VLOOKUP(B115,'API Data Dictionary'!C:G,5,FALSE)))</f>
        <v>Name of the company the person is employed by</v>
      </c>
    </row>
    <row r="116" spans="1:7" ht="14.5" x14ac:dyDescent="0.35">
      <c r="A116" s="64" t="s">
        <v>1902</v>
      </c>
      <c r="B116" s="62" t="str">
        <f t="shared" si="2"/>
        <v>jobTitle</v>
      </c>
      <c r="C116" s="62" t="str">
        <f>IF(B116="", "", VLOOKUP(B116,'API Data Dictionary'!C:J,8,FALSE))</f>
        <v>X</v>
      </c>
      <c r="D116" s="62" t="str">
        <f>IF(B116="", "", VLOOKUP(B116,'API Data Dictionary'!C:D,2,FALSE))</f>
        <v>string</v>
      </c>
      <c r="E116" s="62">
        <f>IF(IF(B116="", "", VLOOKUP(B116,'API Data Dictionary'!C:E,3,FALSE))=0, "", IF(B116="", "", VLOOKUP(B116,'API Data Dictionary'!C:E,3,FALSE)))</f>
        <v>100</v>
      </c>
      <c r="F116" s="62" t="str">
        <f>IF(IF(B116="", "", VLOOKUP(B116,'API Data Dictionary'!C:F,4,FALSE))=0, "", IF(B116="", "", VLOOKUP(B116,'API Data Dictionary'!C:F,4,FALSE)))</f>
        <v>pattern: ^[A-Za-z ']+$</v>
      </c>
      <c r="G116" s="62" t="str">
        <f>IF(IF(B116="", "", VLOOKUP(B116,'API Data Dictionary'!C:G,5,FALSE))=0, "", IF(B116="", "", VLOOKUP(B116,'API Data Dictionary'!C:G,5,FALSE)))</f>
        <v>Job title at the company the person is employed by</v>
      </c>
    </row>
    <row r="117" spans="1:7" ht="14.5" x14ac:dyDescent="0.35">
      <c r="A117" s="64" t="s">
        <v>1903</v>
      </c>
      <c r="B117" s="62" t="str">
        <f t="shared" si="2"/>
        <v>startDateofEmployment</v>
      </c>
      <c r="C117" s="62" t="str">
        <f>IF(B117="", "", VLOOKUP(B117,'API Data Dictionary'!C:J,8,FALSE))</f>
        <v>X</v>
      </c>
      <c r="D117" s="62" t="str">
        <f>IF(B117="", "", VLOOKUP(B117,'API Data Dictionary'!C:D,2,FALSE))</f>
        <v>string ($date-time)</v>
      </c>
      <c r="E117" s="62" t="str">
        <f>IF(IF(B117="", "", VLOOKUP(B117,'API Data Dictionary'!C:E,3,FALSE))=0, "", IF(B117="", "", VLOOKUP(B117,'API Data Dictionary'!C:E,3,FALSE)))</f>
        <v/>
      </c>
      <c r="F117" s="62" t="str">
        <f>IF(IF(B117="", "", VLOOKUP(B117,'API Data Dictionary'!C:F,4,FALSE))=0, "", IF(B117="", "", VLOOKUP(B117,'API Data Dictionary'!C:F,4,FALSE)))</f>
        <v xml:space="preserve"> DD/MM/YYYY</v>
      </c>
      <c r="G117" s="62" t="str">
        <f>IF(IF(B117="", "", VLOOKUP(B117,'API Data Dictionary'!C:G,5,FALSE))=0, "", IF(B117="", "", VLOOKUP(B117,'API Data Dictionary'!C:G,5,FALSE)))</f>
        <v>Start date of employment, formatted DD/MM/YYYY</v>
      </c>
    </row>
    <row r="118" spans="1:7" ht="14.5" x14ac:dyDescent="0.35">
      <c r="A118" s="64" t="s">
        <v>1904</v>
      </c>
      <c r="B118" s="62" t="str">
        <f t="shared" si="2"/>
        <v>employmentGrossAnnualIncome</v>
      </c>
      <c r="C118" s="62" t="str">
        <f>IF(B118="", "", VLOOKUP(B118,'API Data Dictionary'!C:J,8,FALSE))</f>
        <v>X</v>
      </c>
      <c r="D118" s="62" t="str">
        <f>IF(B118="", "", VLOOKUP(B118,'API Data Dictionary'!C:D,2,FALSE))</f>
        <v>number (double)</v>
      </c>
      <c r="E118" s="62" t="str">
        <f>IF(IF(B118="", "", VLOOKUP(B118,'API Data Dictionary'!C:E,3,FALSE))=0, "", IF(B118="", "", VLOOKUP(B118,'API Data Dictionary'!C:E,3,FALSE)))</f>
        <v/>
      </c>
      <c r="F118" s="62" t="str">
        <f>IF(IF(B118="", "", VLOOKUP(B118,'API Data Dictionary'!C:F,4,FALSE))=0, "", IF(B118="", "", VLOOKUP(B118,'API Data Dictionary'!C:F,4,FALSE)))</f>
        <v>pattern: ^\d*.\d{0,2}$</v>
      </c>
      <c r="G118" s="62" t="str">
        <f>IF(IF(B118="", "", VLOOKUP(B118,'API Data Dictionary'!C:G,5,FALSE))=0, "", IF(B118="", "", VLOOKUP(B118,'API Data Dictionary'!C:G,5,FALSE)))</f>
        <v>Gross annual income in GBP</v>
      </c>
    </row>
    <row r="119" spans="1:7" ht="14.5" x14ac:dyDescent="0.35">
      <c r="A119" s="64" t="s">
        <v>1905</v>
      </c>
      <c r="B119" s="62" t="str">
        <f t="shared" si="2"/>
        <v>netMonthlyIncome</v>
      </c>
      <c r="C119" s="62" t="str">
        <f>IF(B119="", "", VLOOKUP(B119,'API Data Dictionary'!C:J,8,FALSE))</f>
        <v>X</v>
      </c>
      <c r="D119" s="62" t="str">
        <f>IF(B119="", "", VLOOKUP(B119,'API Data Dictionary'!C:D,2,FALSE))</f>
        <v>number ($double)</v>
      </c>
      <c r="E119" s="62" t="str">
        <f>IF(IF(B119="", "", VLOOKUP(B119,'API Data Dictionary'!C:E,3,FALSE))=0, "", IF(B119="", "", VLOOKUP(B119,'API Data Dictionary'!C:E,3,FALSE)))</f>
        <v/>
      </c>
      <c r="F119" s="62" t="str">
        <f>IF(IF(B119="", "", VLOOKUP(B119,'API Data Dictionary'!C:F,4,FALSE))=0, "", IF(B119="", "", VLOOKUP(B119,'API Data Dictionary'!C:F,4,FALSE)))</f>
        <v>pattern: ^\d*.\d{0,2}$</v>
      </c>
      <c r="G119" s="62" t="str">
        <f>IF(IF(B119="", "", VLOOKUP(B119,'API Data Dictionary'!C:G,5,FALSE))=0, "", IF(B119="", "", VLOOKUP(B119,'API Data Dictionary'!C:G,5,FALSE)))</f>
        <v>Amount of Net monthly income in GBP</v>
      </c>
    </row>
    <row r="120" spans="1:7" ht="14.5" x14ac:dyDescent="0.35">
      <c r="A120" s="64" t="s">
        <v>1906</v>
      </c>
      <c r="B120" s="62" t="str">
        <f t="shared" si="2"/>
        <v>employmentBonuses</v>
      </c>
      <c r="C120" s="62" t="str">
        <f>IF(B120="", "", VLOOKUP(B120,'API Data Dictionary'!C:J,8,FALSE))</f>
        <v>X</v>
      </c>
      <c r="D120" s="62" t="str">
        <f>IF(B120="", "", VLOOKUP(B120,'API Data Dictionary'!C:D,2,FALSE))</f>
        <v>boolean</v>
      </c>
      <c r="E120" s="62" t="str">
        <f>IF(IF(B120="", "", VLOOKUP(B120,'API Data Dictionary'!C:E,3,FALSE))=0, "", IF(B120="", "", VLOOKUP(B120,'API Data Dictionary'!C:E,3,FALSE)))</f>
        <v/>
      </c>
      <c r="F120" s="62" t="str">
        <f>IF(IF(B120="", "", VLOOKUP(B120,'API Data Dictionary'!C:F,4,FALSE))=0, "", IF(B120="", "", VLOOKUP(B120,'API Data Dictionary'!C:F,4,FALSE)))</f>
        <v/>
      </c>
      <c r="G120" s="62" t="str">
        <f>IF(IF(B120="", "", VLOOKUP(B120,'API Data Dictionary'!C:G,5,FALSE))=0, "", IF(B120="", "", VLOOKUP(B120,'API Data Dictionary'!C:G,5,FALSE)))</f>
        <v>Denotes if bonuses are recieved from the company the person is employed by</v>
      </c>
    </row>
    <row r="121" spans="1:7" ht="14.5" x14ac:dyDescent="0.35">
      <c r="A121" s="64" t="s">
        <v>1907</v>
      </c>
      <c r="B121" s="62" t="str">
        <f t="shared" si="2"/>
        <v>employmentOvertimeReceived</v>
      </c>
      <c r="C121" s="62" t="str">
        <f>IF(B121="", "", VLOOKUP(B121,'API Data Dictionary'!C:J,8,FALSE))</f>
        <v>X</v>
      </c>
      <c r="D121" s="62" t="str">
        <f>IF(B121="", "", VLOOKUP(B121,'API Data Dictionary'!C:D,2,FALSE))</f>
        <v>boolean</v>
      </c>
      <c r="E121" s="62" t="str">
        <f>IF(IF(B121="", "", VLOOKUP(B121,'API Data Dictionary'!C:E,3,FALSE))=0, "", IF(B121="", "", VLOOKUP(B121,'API Data Dictionary'!C:E,3,FALSE)))</f>
        <v/>
      </c>
      <c r="F121" s="62" t="str">
        <f>IF(IF(B121="", "", VLOOKUP(B121,'API Data Dictionary'!C:F,4,FALSE))=0, "", IF(B121="", "", VLOOKUP(B121,'API Data Dictionary'!C:F,4,FALSE)))</f>
        <v/>
      </c>
      <c r="G121" s="62" t="str">
        <f>IF(IF(B121="", "", VLOOKUP(B121,'API Data Dictionary'!C:G,5,FALSE))=0, "", IF(B121="", "", VLOOKUP(B121,'API Data Dictionary'!C:G,5,FALSE)))</f>
        <v>Denotes if overtime is recieved from the company the person is employed by</v>
      </c>
    </row>
    <row r="122" spans="1:7" ht="14.5" x14ac:dyDescent="0.35">
      <c r="A122" s="64" t="s">
        <v>1908</v>
      </c>
      <c r="B122" s="62" t="str">
        <f t="shared" si="2"/>
        <v>employmentBonusTerm</v>
      </c>
      <c r="C122" s="62" t="str">
        <f>IF(B122="", "", VLOOKUP(B122,'API Data Dictionary'!C:J,8,FALSE))</f>
        <v>X</v>
      </c>
      <c r="D122" s="62" t="str">
        <f>IF(B122="", "", VLOOKUP(B122,'API Data Dictionary'!C:D,2,FALSE))</f>
        <v>enum - Income Term</v>
      </c>
      <c r="E122" s="62" t="str">
        <f>IF(IF(B122="", "", VLOOKUP(B122,'API Data Dictionary'!C:E,3,FALSE))=0, "", IF(B122="", "", VLOOKUP(B122,'API Data Dictionary'!C:E,3,FALSE)))</f>
        <v/>
      </c>
      <c r="F122" s="62" t="str">
        <f>IF(IF(B122="", "", VLOOKUP(B122,'API Data Dictionary'!C:F,4,FALSE))=0, "", IF(B122="", "", VLOOKUP(B122,'API Data Dictionary'!C:F,4,FALSE)))</f>
        <v>Valid Values 1-4 (See enum definition)</v>
      </c>
      <c r="G122" s="62" t="str">
        <f>IF(IF(B122="", "", VLOOKUP(B122,'API Data Dictionary'!C:G,5,FALSE))=0, "", IF(B122="", "", VLOOKUP(B122,'API Data Dictionary'!C:G,5,FALSE)))</f>
        <v>Income term, e.g monthly or weekly</v>
      </c>
    </row>
    <row r="123" spans="1:7" ht="14.5" x14ac:dyDescent="0.35">
      <c r="A123" s="64" t="s">
        <v>1909</v>
      </c>
      <c r="B123" s="62" t="str">
        <f t="shared" si="2"/>
        <v>employmentAvgBonusIncome</v>
      </c>
      <c r="C123" s="62" t="str">
        <f>IF(B123="", "", VLOOKUP(B123,'API Data Dictionary'!C:J,8,FALSE))</f>
        <v>X</v>
      </c>
      <c r="D123" s="62" t="str">
        <f>IF(B123="", "", VLOOKUP(B123,'API Data Dictionary'!C:D,2,FALSE))</f>
        <v>number (double)</v>
      </c>
      <c r="E123" s="62" t="str">
        <f>IF(IF(B123="", "", VLOOKUP(B123,'API Data Dictionary'!C:E,3,FALSE))=0, "", IF(B123="", "", VLOOKUP(B123,'API Data Dictionary'!C:E,3,FALSE)))</f>
        <v/>
      </c>
      <c r="F123" s="62" t="str">
        <f>IF(IF(B123="", "", VLOOKUP(B123,'API Data Dictionary'!C:F,4,FALSE))=0, "", IF(B123="", "", VLOOKUP(B123,'API Data Dictionary'!C:F,4,FALSE)))</f>
        <v>pattern: ^\d*.\d{0,2}$</v>
      </c>
      <c r="G123" s="62" t="str">
        <f>IF(IF(B123="", "", VLOOKUP(B123,'API Data Dictionary'!C:G,5,FALSE))=0, "", IF(B123="", "", VLOOKUP(B123,'API Data Dictionary'!C:G,5,FALSE)))</f>
        <v>Average bonus income in GBP</v>
      </c>
    </row>
    <row r="124" spans="1:7" ht="14.5" x14ac:dyDescent="0.35">
      <c r="A124" s="64" t="s">
        <v>1910</v>
      </c>
      <c r="B124" s="62" t="str">
        <f t="shared" si="2"/>
        <v>employmentOvertimeTerm</v>
      </c>
      <c r="C124" s="62" t="str">
        <f>IF(B124="", "", VLOOKUP(B124,'API Data Dictionary'!C:J,8,FALSE))</f>
        <v>X</v>
      </c>
      <c r="D124" s="62" t="str">
        <f>IF(B124="", "", VLOOKUP(B124,'API Data Dictionary'!C:D,2,FALSE))</f>
        <v>enum - Income Term</v>
      </c>
      <c r="E124" s="62" t="str">
        <f>IF(IF(B124="", "", VLOOKUP(B124,'API Data Dictionary'!C:E,3,FALSE))=0, "", IF(B124="", "", VLOOKUP(B124,'API Data Dictionary'!C:E,3,FALSE)))</f>
        <v/>
      </c>
      <c r="F124" s="62" t="str">
        <f>IF(IF(B124="", "", VLOOKUP(B124,'API Data Dictionary'!C:F,4,FALSE))=0, "", IF(B124="", "", VLOOKUP(B124,'API Data Dictionary'!C:F,4,FALSE)))</f>
        <v>Valid Values 1-4 (See enum definition)</v>
      </c>
      <c r="G124" s="62" t="str">
        <f>IF(IF(B124="", "", VLOOKUP(B124,'API Data Dictionary'!C:G,5,FALSE))=0, "", IF(B124="", "", VLOOKUP(B124,'API Data Dictionary'!C:G,5,FALSE)))</f>
        <v>Income term, e.g monthly or weekly</v>
      </c>
    </row>
    <row r="125" spans="1:7" ht="14.5" x14ac:dyDescent="0.35">
      <c r="A125" s="64" t="s">
        <v>1911</v>
      </c>
      <c r="B125" s="62" t="str">
        <f t="shared" si="2"/>
        <v>employmentOvertimeAvgIncome</v>
      </c>
      <c r="C125" s="62" t="str">
        <f>IF(B125="", "", VLOOKUP(B125,'API Data Dictionary'!C:J,8,FALSE))</f>
        <v>X</v>
      </c>
      <c r="D125" s="62" t="str">
        <f>IF(B125="", "", VLOOKUP(B125,'API Data Dictionary'!C:D,2,FALSE))</f>
        <v>number (double)</v>
      </c>
      <c r="E125" s="62" t="str">
        <f>IF(IF(B125="", "", VLOOKUP(B125,'API Data Dictionary'!C:E,3,FALSE))=0, "", IF(B125="", "", VLOOKUP(B125,'API Data Dictionary'!C:E,3,FALSE)))</f>
        <v/>
      </c>
      <c r="F125" s="62" t="str">
        <f>IF(IF(B125="", "", VLOOKUP(B125,'API Data Dictionary'!C:F,4,FALSE))=0, "", IF(B125="", "", VLOOKUP(B125,'API Data Dictionary'!C:F,4,FALSE)))</f>
        <v>pattern: ^\d*.\d{0,2}$</v>
      </c>
      <c r="G125" s="62" t="str">
        <f>IF(IF(B125="", "", VLOOKUP(B125,'API Data Dictionary'!C:G,5,FALSE))=0, "", IF(B125="", "", VLOOKUP(B125,'API Data Dictionary'!C:G,5,FALSE)))</f>
        <v>Average overtime income in GBP</v>
      </c>
    </row>
    <row r="126" spans="1:7" ht="14.5" x14ac:dyDescent="0.35">
      <c r="A126" s="64" t="s">
        <v>1912</v>
      </c>
      <c r="B126" s="62" t="str">
        <f t="shared" si="2"/>
        <v>employmentEmployeeNumber</v>
      </c>
      <c r="C126" s="62" t="str">
        <f>IF(B126="", "", VLOOKUP(B126,'API Data Dictionary'!C:J,8,FALSE))</f>
        <v>X</v>
      </c>
      <c r="D126" s="62" t="str">
        <f>IF(B126="", "", VLOOKUP(B126,'API Data Dictionary'!C:D,2,FALSE))</f>
        <v>string</v>
      </c>
      <c r="E126" s="62">
        <f>IF(IF(B126="", "", VLOOKUP(B126,'API Data Dictionary'!C:E,3,FALSE))=0, "", IF(B126="", "", VLOOKUP(B126,'API Data Dictionary'!C:E,3,FALSE)))</f>
        <v>100</v>
      </c>
      <c r="F126" s="62" t="str">
        <f>IF(IF(B126="", "", VLOOKUP(B126,'API Data Dictionary'!C:F,4,FALSE))=0, "", IF(B126="", "", VLOOKUP(B126,'API Data Dictionary'!C:F,4,FALSE)))</f>
        <v/>
      </c>
      <c r="G126" s="62" t="str">
        <f>IF(IF(B126="", "", VLOOKUP(B126,'API Data Dictionary'!C:G,5,FALSE))=0, "", IF(B126="", "", VLOOKUP(B126,'API Data Dictionary'!C:G,5,FALSE)))</f>
        <v>Employee number from the company the person is employed by</v>
      </c>
    </row>
    <row r="127" spans="1:7" ht="14.5" x14ac:dyDescent="0.35">
      <c r="A127" s="64" t="s">
        <v>1913</v>
      </c>
      <c r="B127" s="62" t="str">
        <f t="shared" si="2"/>
        <v>paymentScheduleId</v>
      </c>
      <c r="C127" s="62" t="s">
        <v>68</v>
      </c>
      <c r="D127" s="62" t="str">
        <f>IF(B127="", "", VLOOKUP(B127,'API Data Dictionary'!C:D,2,FALSE))</f>
        <v>enum - Income Term</v>
      </c>
      <c r="E127" s="62" t="str">
        <f>IF(IF(B127="", "", VLOOKUP(B127,'API Data Dictionary'!C:E,3,FALSE))=0, "", IF(B127="", "", VLOOKUP(B127,'API Data Dictionary'!C:E,3,FALSE)))</f>
        <v/>
      </c>
      <c r="F127" s="62" t="str">
        <f>IF(IF(B127="", "", VLOOKUP(B127,'API Data Dictionary'!C:F,4,FALSE))=0, "", IF(B127="", "", VLOOKUP(B127,'API Data Dictionary'!C:F,4,FALSE)))</f>
        <v>Valid Values 1-4 (See enum definition)</v>
      </c>
      <c r="G127" s="62" t="str">
        <f>IF(IF(B127="", "", VLOOKUP(B127,'API Data Dictionary'!C:G,5,FALSE))=0, "", IF(B127="", "", VLOOKUP(B127,'API Data Dictionary'!C:G,5,FALSE)))</f>
        <v xml:space="preserve">The schedule of the payments </v>
      </c>
    </row>
    <row r="128" spans="1:7" ht="14.5" x14ac:dyDescent="0.35">
      <c r="A128" s="64" t="s">
        <v>1914</v>
      </c>
      <c r="B128" s="62" t="str">
        <f t="shared" si="2"/>
        <v>employmentRefereeName</v>
      </c>
      <c r="C128" s="62" t="str">
        <f>IF(B128="", "", VLOOKUP(B128,'API Data Dictionary'!C:J,8,FALSE))</f>
        <v>X</v>
      </c>
      <c r="D128" s="62" t="str">
        <f>IF(B128="", "", VLOOKUP(B128,'API Data Dictionary'!C:D,2,FALSE))</f>
        <v>string</v>
      </c>
      <c r="E128" s="62">
        <f>IF(IF(B128="", "", VLOOKUP(B128,'API Data Dictionary'!C:E,3,FALSE))=0, "", IF(B128="", "", VLOOKUP(B128,'API Data Dictionary'!C:E,3,FALSE)))</f>
        <v>100</v>
      </c>
      <c r="F128" s="62" t="str">
        <f>IF(IF(B128="", "", VLOOKUP(B128,'API Data Dictionary'!C:F,4,FALSE))=0, "", IF(B128="", "", VLOOKUP(B128,'API Data Dictionary'!C:F,4,FALSE)))</f>
        <v/>
      </c>
      <c r="G128" s="62" t="str">
        <f>IF(IF(B128="", "", VLOOKUP(B128,'API Data Dictionary'!C:G,5,FALSE))=0, "", IF(B128="", "", VLOOKUP(B128,'API Data Dictionary'!C:G,5,FALSE)))</f>
        <v>The fulll name of the employment referee</v>
      </c>
    </row>
    <row r="129" spans="1:7" ht="14.5" x14ac:dyDescent="0.35">
      <c r="A129" s="64" t="s">
        <v>1915</v>
      </c>
      <c r="B129" s="62" t="str">
        <f t="shared" si="2"/>
        <v>employmentRefereeContactCountryID</v>
      </c>
      <c r="C129" s="62" t="str">
        <f>IF(B129="", "", VLOOKUP(B129,'API Data Dictionary'!C:J,8,FALSE))</f>
        <v>X</v>
      </c>
      <c r="D129" s="62" t="str">
        <f>IF(B129="", "", VLOOKUP(B129,'API Data Dictionary'!C:D,2,FALSE))</f>
        <v>enum -Country/Location Code</v>
      </c>
      <c r="E129" s="62" t="str">
        <f>IF(IF(B129="", "", VLOOKUP(B129,'API Data Dictionary'!C:E,3,FALSE))=0, "", IF(B129="", "", VLOOKUP(B129,'API Data Dictionary'!C:E,3,FALSE)))</f>
        <v/>
      </c>
      <c r="F129" s="62" t="str">
        <f>IF(IF(B129="", "", VLOOKUP(B129,'API Data Dictionary'!C:F,4,FALSE))=0, "", IF(B129="", "", VLOOKUP(B129,'API Data Dictionary'!C:F,4,FALSE)))</f>
        <v>Valid Values 1-239 (See enum definition)</v>
      </c>
      <c r="G129" s="62" t="str">
        <f>IF(IF(B129="", "", VLOOKUP(B129,'API Data Dictionary'!C:G,5,FALSE))=0, "", IF(B129="", "", VLOOKUP(B129,'API Data Dictionary'!C:G,5,FALSE)))</f>
        <v>The country/location code of the employment referee contact phone number</v>
      </c>
    </row>
    <row r="130" spans="1:7" ht="15" customHeight="1" x14ac:dyDescent="0.35">
      <c r="A130" s="64" t="s">
        <v>1916</v>
      </c>
      <c r="B130" s="62" t="str">
        <f t="shared" si="2"/>
        <v>employmentRefereeContactNumber</v>
      </c>
      <c r="C130" s="62" t="str">
        <f>IF(B130="", "", VLOOKUP(B130,'API Data Dictionary'!C:J,8,FALSE))</f>
        <v>X</v>
      </c>
      <c r="D130" s="62" t="str">
        <f>IF(B130="", "", VLOOKUP(B130,'API Data Dictionary'!C:D,2,FALSE))</f>
        <v>string</v>
      </c>
      <c r="E130" s="62">
        <f>IF(IF(B130="", "", VLOOKUP(B130,'API Data Dictionary'!C:E,3,FALSE))=0, "", IF(B130="", "", VLOOKUP(B130,'API Data Dictionary'!C:E,3,FALSE)))</f>
        <v>15</v>
      </c>
      <c r="F130" s="62" t="str">
        <f>IF(IF(B130="", "", VLOOKUP(B130,'API Data Dictionary'!C:F,4,FALSE))=0, "", IF(B130="", "", VLOOKUP(B130,'API Data Dictionary'!C:F,4,FALSE)))</f>
        <v>pattern: ^(\d{11})$</v>
      </c>
      <c r="G130" s="62" t="str">
        <f>IF(IF(B130="", "", VLOOKUP(B130,'API Data Dictionary'!C:G,5,FALSE))=0, "", IF(B130="", "", VLOOKUP(B130,'API Data Dictionary'!C:G,5,FALSE)))</f>
        <v>The emplyment referee contact phone number</v>
      </c>
    </row>
    <row r="131" spans="1:7" ht="15" customHeight="1" x14ac:dyDescent="0.35">
      <c r="A131" s="64" t="s">
        <v>1917</v>
      </c>
      <c r="B131" s="62" t="str">
        <f t="shared" si="2"/>
        <v>employmentRefereeEmail</v>
      </c>
      <c r="C131" s="62" t="str">
        <f>IF(B131="", "", VLOOKUP(B131,'API Data Dictionary'!C:J,8,FALSE))</f>
        <v>X</v>
      </c>
      <c r="D131" s="62" t="str">
        <f>IF(B131="", "", VLOOKUP(B131,'API Data Dictionary'!C:D,2,FALSE))</f>
        <v>string ($email)</v>
      </c>
      <c r="E131" s="62">
        <f>IF(IF(B131="", "", VLOOKUP(B131,'API Data Dictionary'!C:E,3,FALSE))=0, "", IF(B131="", "", VLOOKUP(B131,'API Data Dictionary'!C:E,3,FALSE)))</f>
        <v>200</v>
      </c>
      <c r="F131" s="62" t="str">
        <f>IF(IF(B131="", "", VLOOKUP(B131,'API Data Dictionary'!C:F,4,FALSE))=0, "", IF(B131="", "", VLOOKUP(B131,'API Data Dictionary'!C:F,4,FALSE)))</f>
        <v>pattern: ^(?!.*\.\.)(?!.*\\_\\_)(?!.*\-\-)[a-zA-Z0-9][-a-zA-Z0-9._]+[a-zA-Z0-9]@([-a-zA-Z0-9]+.)+[a-zA-Z]{2,5}$</v>
      </c>
      <c r="G131" s="62" t="str">
        <f>IF(IF(B131="", "", VLOOKUP(B131,'API Data Dictionary'!C:G,5,FALSE))=0, "", IF(B131="", "", VLOOKUP(B131,'API Data Dictionary'!C:G,5,FALSE)))</f>
        <v>The email address of the referee</v>
      </c>
    </row>
    <row r="132" spans="1:7" ht="15" customHeight="1" x14ac:dyDescent="0.35">
      <c r="A132" s="64" t="s">
        <v>1918</v>
      </c>
      <c r="B132" s="62" t="str">
        <f t="shared" si="2"/>
        <v>employmentRefereePosition</v>
      </c>
      <c r="C132" s="62" t="str">
        <f>IF(B132="", "", VLOOKUP(B132,'API Data Dictionary'!C:J,8,FALSE))</f>
        <v>X</v>
      </c>
      <c r="D132" s="62" t="str">
        <f>IF(B132="", "", VLOOKUP(B132,'API Data Dictionary'!C:D,2,FALSE))</f>
        <v>string</v>
      </c>
      <c r="E132" s="62">
        <f>IF(IF(B132="", "", VLOOKUP(B132,'API Data Dictionary'!C:E,3,FALSE))=0, "", IF(B132="", "", VLOOKUP(B132,'API Data Dictionary'!C:E,3,FALSE)))</f>
        <v>100</v>
      </c>
      <c r="F132" s="62" t="str">
        <f>IF(IF(B132="", "", VLOOKUP(B132,'API Data Dictionary'!C:F,4,FALSE))=0, "", IF(B132="", "", VLOOKUP(B132,'API Data Dictionary'!C:F,4,FALSE)))</f>
        <v/>
      </c>
      <c r="G132" s="62" t="str">
        <f>IF(IF(B132="", "", VLOOKUP(B132,'API Data Dictionary'!C:G,5,FALSE))=0, "", IF(B132="", "", VLOOKUP(B132,'API Data Dictionary'!C:G,5,FALSE)))</f>
        <v>The position of the employment referee in the company</v>
      </c>
    </row>
    <row r="133" spans="1:7" ht="15" customHeight="1" x14ac:dyDescent="0.35">
      <c r="A133" s="64" t="s">
        <v>1919</v>
      </c>
      <c r="B133" s="62" t="str">
        <f t="shared" si="2"/>
        <v>addressLine1</v>
      </c>
      <c r="C133" s="62" t="s">
        <v>68</v>
      </c>
      <c r="D133" s="62" t="str">
        <f>IF(B133="", "", VLOOKUP(B133,'API Data Dictionary'!C:D,2,FALSE))</f>
        <v>string</v>
      </c>
      <c r="E133" s="62">
        <f>IF(IF(B133="", "", VLOOKUP(B133,'API Data Dictionary'!C:E,3,FALSE))=0, "", IF(B133="", "", VLOOKUP(B133,'API Data Dictionary'!C:E,3,FALSE)))</f>
        <v>100</v>
      </c>
      <c r="F133" s="62" t="str">
        <f>IF(IF(B133="", "", VLOOKUP(B133,'API Data Dictionary'!C:F,4,FALSE))=0, "", IF(B133="", "", VLOOKUP(B133,'API Data Dictionary'!C:F,4,FALSE)))</f>
        <v/>
      </c>
      <c r="G133" s="62" t="str">
        <f>IF(IF(B133="", "", VLOOKUP(B133,'API Data Dictionary'!C:G,5,FALSE))=0, "", IF(B133="", "", VLOOKUP(B133,'API Data Dictionary'!C:G,5,FALSE)))</f>
        <v>The first line of the property address</v>
      </c>
    </row>
    <row r="134" spans="1:7" ht="15" customHeight="1" x14ac:dyDescent="0.35">
      <c r="A134" s="64" t="s">
        <v>1873</v>
      </c>
      <c r="B134" s="62" t="str">
        <f t="shared" si="2"/>
        <v>addressLine2</v>
      </c>
      <c r="C134" s="62" t="str">
        <f>IF(B134="", "", VLOOKUP(B134,'API Data Dictionary'!C:J,8,FALSE))</f>
        <v>X</v>
      </c>
      <c r="D134" s="62" t="str">
        <f>IF(B134="", "", VLOOKUP(B134,'API Data Dictionary'!C:D,2,FALSE))</f>
        <v>string</v>
      </c>
      <c r="E134" s="62">
        <f>IF(IF(B134="", "", VLOOKUP(B134,'API Data Dictionary'!C:E,3,FALSE))=0, "", IF(B134="", "", VLOOKUP(B134,'API Data Dictionary'!C:E,3,FALSE)))</f>
        <v>100</v>
      </c>
      <c r="F134" s="62" t="str">
        <f>IF(IF(B134="", "", VLOOKUP(B134,'API Data Dictionary'!C:F,4,FALSE))=0, "", IF(B134="", "", VLOOKUP(B134,'API Data Dictionary'!C:F,4,FALSE)))</f>
        <v/>
      </c>
      <c r="G134" s="62" t="str">
        <f>IF(IF(B134="", "", VLOOKUP(B134,'API Data Dictionary'!C:G,5,FALSE))=0, "", IF(B134="", "", VLOOKUP(B134,'API Data Dictionary'!C:G,5,FALSE)))</f>
        <v>The second line of the property address</v>
      </c>
    </row>
    <row r="135" spans="1:7" ht="15" customHeight="1" x14ac:dyDescent="0.35">
      <c r="A135" s="64" t="s">
        <v>1920</v>
      </c>
      <c r="B135" s="62" t="str">
        <f t="shared" si="2"/>
        <v>city</v>
      </c>
      <c r="C135" s="62" t="str">
        <f>IF(B135="", "", VLOOKUP(B135,'API Data Dictionary'!C:J,8,FALSE))</f>
        <v>X</v>
      </c>
      <c r="D135" s="62" t="str">
        <f>IF(B135="", "", VLOOKUP(B135,'API Data Dictionary'!C:D,2,FALSE))</f>
        <v>string</v>
      </c>
      <c r="E135" s="62">
        <f>IF(IF(B135="", "", VLOOKUP(B135,'API Data Dictionary'!C:E,3,FALSE))=0, "", IF(B135="", "", VLOOKUP(B135,'API Data Dictionary'!C:E,3,FALSE)))</f>
        <v>100</v>
      </c>
      <c r="F135" s="62" t="str">
        <f>IF(IF(B135="", "", VLOOKUP(B135,'API Data Dictionary'!C:F,4,FALSE))=0, "", IF(B135="", "", VLOOKUP(B135,'API Data Dictionary'!C:F,4,FALSE)))</f>
        <v/>
      </c>
      <c r="G135" s="62" t="str">
        <f>IF(IF(B135="", "", VLOOKUP(B135,'API Data Dictionary'!C:G,5,FALSE))=0, "", IF(B135="", "", VLOOKUP(B135,'API Data Dictionary'!C:G,5,FALSE)))</f>
        <v>The town in which the property exists</v>
      </c>
    </row>
    <row r="136" spans="1:7" ht="15" customHeight="1" x14ac:dyDescent="0.35">
      <c r="A136" s="64" t="s">
        <v>1921</v>
      </c>
      <c r="B136" s="62" t="str">
        <f t="shared" si="2"/>
        <v>postCode</v>
      </c>
      <c r="C136" s="62" t="str">
        <f>IF(B136="", "", VLOOKUP(B136,'API Data Dictionary'!C:J,8,FALSE))</f>
        <v>M</v>
      </c>
      <c r="D136" s="62" t="str">
        <f>IF(B136="", "", VLOOKUP(B136,'API Data Dictionary'!C:D,2,FALSE))</f>
        <v>string</v>
      </c>
      <c r="E136" s="62">
        <f>IF(IF(B136="", "", VLOOKUP(B136,'API Data Dictionary'!C:E,3,FALSE))=0, "", IF(B136="", "", VLOOKUP(B136,'API Data Dictionary'!C:E,3,FALSE)))</f>
        <v>50</v>
      </c>
      <c r="F136" s="62" t="str">
        <f>IF(IF(B136="", "", VLOOKUP(B136,'API Data Dictionary'!C:F,4,FALSE))=0, "", IF(B136="", "", VLOOKUP(B136,'API Data Dictionary'!C:F,4,FALSE)))</f>
        <v/>
      </c>
      <c r="G136" s="62" t="str">
        <f>IF(IF(B136="", "", VLOOKUP(B136,'API Data Dictionary'!C:G,5,FALSE))=0, "", IF(B136="", "", VLOOKUP(B136,'API Data Dictionary'!C:G,5,FALSE)))</f>
        <v>the postcode of the property</v>
      </c>
    </row>
    <row r="137" spans="1:7" ht="15" customHeight="1" x14ac:dyDescent="0.35">
      <c r="A137" s="64" t="s">
        <v>1922</v>
      </c>
      <c r="B137" s="62" t="str">
        <f t="shared" si="2"/>
        <v>employmentTypeId</v>
      </c>
      <c r="C137" s="62" t="str">
        <f>IF(B137="", "", VLOOKUP(B137,'API Data Dictionary'!C:J,8,FALSE))</f>
        <v>X</v>
      </c>
      <c r="D137" s="62" t="str">
        <f>IF(B137="", "", VLOOKUP(B137,'API Data Dictionary'!C:D,2,FALSE))</f>
        <v xml:space="preserve">enum - employmentTypeId	</v>
      </c>
      <c r="E137" s="62" t="str">
        <f>IF(IF(B137="", "", VLOOKUP(B137,'API Data Dictionary'!C:E,3,FALSE))=0, "", IF(B137="", "", VLOOKUP(B137,'API Data Dictionary'!C:E,3,FALSE)))</f>
        <v/>
      </c>
      <c r="F137" s="62" t="str">
        <f>IF(IF(B137="", "", VLOOKUP(B137,'API Data Dictionary'!C:F,4,FALSE))=0, "", IF(B137="", "", VLOOKUP(B137,'API Data Dictionary'!C:F,4,FALSE)))</f>
        <v>Valid Values 1-4 (See enum definition)</v>
      </c>
      <c r="G137" s="62" t="str">
        <f>IF(IF(B137="", "", VLOOKUP(B137,'API Data Dictionary'!C:G,5,FALSE))=0, "", IF(B137="", "", VLOOKUP(B137,'API Data Dictionary'!C:G,5,FALSE)))</f>
        <v>Employment Type from the enum lists, e.g. permenant full time</v>
      </c>
    </row>
    <row r="138" spans="1:7" ht="15" customHeight="1" x14ac:dyDescent="0.35">
      <c r="A138" s="64" t="s">
        <v>1923</v>
      </c>
      <c r="B138" s="62" t="str">
        <f t="shared" si="2"/>
        <v>employmentZeroHourContract</v>
      </c>
      <c r="C138" s="62" t="str">
        <f>IF(B138="", "", VLOOKUP(B138,'API Data Dictionary'!C:J,8,FALSE))</f>
        <v>X</v>
      </c>
      <c r="D138" s="62" t="str">
        <f>IF(B138="", "", VLOOKUP(B138,'API Data Dictionary'!C:D,2,FALSE))</f>
        <v>boolean</v>
      </c>
      <c r="E138" s="62" t="str">
        <f>IF(IF(B138="", "", VLOOKUP(B138,'API Data Dictionary'!C:E,3,FALSE))=0, "", IF(B138="", "", VLOOKUP(B138,'API Data Dictionary'!C:E,3,FALSE)))</f>
        <v/>
      </c>
      <c r="F138" s="62" t="str">
        <f>IF(IF(B138="", "", VLOOKUP(B138,'API Data Dictionary'!C:F,4,FALSE))=0, "", IF(B138="", "", VLOOKUP(B138,'API Data Dictionary'!C:F,4,FALSE)))</f>
        <v/>
      </c>
      <c r="G138" s="62" t="str">
        <f>IF(IF(B138="", "", VLOOKUP(B138,'API Data Dictionary'!C:G,5,FALSE))=0, "", IF(B138="", "", VLOOKUP(B138,'API Data Dictionary'!C:G,5,FALSE)))</f>
        <v>Denotes if emplyed on a zero hour contract</v>
      </c>
    </row>
    <row r="139" spans="1:7" ht="15" customHeight="1" x14ac:dyDescent="0.35">
      <c r="A139" s="64" t="s">
        <v>1924</v>
      </c>
      <c r="B139" s="62" t="str">
        <f t="shared" si="2"/>
        <v>industryType</v>
      </c>
      <c r="C139" s="62">
        <f>IF(B139="", "", VLOOKUP(B139,'API Data Dictionary'!C:J,8,FALSE))</f>
        <v>0</v>
      </c>
      <c r="D139" s="62" t="str">
        <f>IF(B139="", "", VLOOKUP(B139,'API Data Dictionary'!C:D,2,FALSE))</f>
        <v>enum - industry type</v>
      </c>
      <c r="E139" s="62" t="str">
        <f>IF(IF(B139="", "", VLOOKUP(B139,'API Data Dictionary'!C:E,3,FALSE))=0, "", IF(B139="", "", VLOOKUP(B139,'API Data Dictionary'!C:E,3,FALSE)))</f>
        <v/>
      </c>
      <c r="F139" s="62" t="str">
        <f>IF(IF(B139="", "", VLOOKUP(B139,'API Data Dictionary'!C:F,4,FALSE))=0, "", IF(B139="", "", VLOOKUP(B139,'API Data Dictionary'!C:F,4,FALSE)))</f>
        <v/>
      </c>
      <c r="G139" s="62" t="str">
        <f>IF(IF(B139="", "", VLOOKUP(B139,'API Data Dictionary'!C:G,5,FALSE))=0, "", IF(B139="", "", VLOOKUP(B139,'API Data Dictionary'!C:G,5,FALSE)))</f>
        <v>Type of industry</v>
      </c>
    </row>
    <row r="140" spans="1:7" ht="15" customHeight="1" x14ac:dyDescent="0.35">
      <c r="A140" s="64" t="s">
        <v>1828</v>
      </c>
      <c r="B140" s="62" t="str">
        <f t="shared" si="2"/>
        <v/>
      </c>
      <c r="C140" s="62" t="str">
        <f>IF(B140="", "", VLOOKUP(B140,'API Data Dictionary'!C:J,8,FALSE))</f>
        <v/>
      </c>
      <c r="D140" s="62" t="str">
        <f>IF(B140="", "", VLOOKUP(B140,'API Data Dictionary'!C:D,2,FALSE))</f>
        <v/>
      </c>
      <c r="E140" s="62" t="str">
        <f>IF(IF(B140="", "", VLOOKUP(B140,'API Data Dictionary'!C:E,3,FALSE))=0, "", IF(B140="", "", VLOOKUP(B140,'API Data Dictionary'!C:E,3,FALSE)))</f>
        <v/>
      </c>
      <c r="F140" s="62" t="str">
        <f>IF(IF(B140="", "", VLOOKUP(B140,'API Data Dictionary'!C:F,4,FALSE))=0, "", IF(B140="", "", VLOOKUP(B140,'API Data Dictionary'!C:F,4,FALSE)))</f>
        <v/>
      </c>
      <c r="G140" s="62" t="str">
        <f>IF(IF(B140="", "", VLOOKUP(B140,'API Data Dictionary'!C:G,5,FALSE))=0, "", IF(B140="", "", VLOOKUP(B140,'API Data Dictionary'!C:G,5,FALSE)))</f>
        <v/>
      </c>
    </row>
    <row r="141" spans="1:7" ht="15" customHeight="1" x14ac:dyDescent="0.35">
      <c r="A141" s="64" t="s">
        <v>1835</v>
      </c>
      <c r="B141" s="62" t="str">
        <f t="shared" si="2"/>
        <v/>
      </c>
      <c r="C141" s="62" t="str">
        <f>IF(B141="", "", VLOOKUP(B141,'API Data Dictionary'!C:J,8,FALSE))</f>
        <v/>
      </c>
      <c r="D141" s="62" t="str">
        <f>IF(B141="", "", VLOOKUP(B141,'API Data Dictionary'!C:D,2,FALSE))</f>
        <v/>
      </c>
      <c r="E141" s="62" t="str">
        <f>IF(IF(B141="", "", VLOOKUP(B141,'API Data Dictionary'!C:E,3,FALSE))=0, "", IF(B141="", "", VLOOKUP(B141,'API Data Dictionary'!C:E,3,FALSE)))</f>
        <v/>
      </c>
      <c r="F141" s="62" t="str">
        <f>IF(IF(B141="", "", VLOOKUP(B141,'API Data Dictionary'!C:F,4,FALSE))=0, "", IF(B141="", "", VLOOKUP(B141,'API Data Dictionary'!C:F,4,FALSE)))</f>
        <v/>
      </c>
      <c r="G141" s="62" t="str">
        <f>IF(IF(B141="", "", VLOOKUP(B141,'API Data Dictionary'!C:G,5,FALSE))=0, "", IF(B141="", "", VLOOKUP(B141,'API Data Dictionary'!C:G,5,FALSE)))</f>
        <v/>
      </c>
    </row>
    <row r="142" spans="1:7" ht="15" customHeight="1" x14ac:dyDescent="0.35">
      <c r="A142" s="64" t="s">
        <v>1925</v>
      </c>
      <c r="B142" s="62" t="str">
        <f t="shared" si="2"/>
        <v>tradingTypeId</v>
      </c>
      <c r="C142" s="62" t="str">
        <f>IF(B142="", "", VLOOKUP(B142,'API Data Dictionary'!C:J,8,FALSE))</f>
        <v>X</v>
      </c>
      <c r="D142" s="62" t="str">
        <f>IF(B142="", "", VLOOKUP(B142,'API Data Dictionary'!C:D,2,FALSE))</f>
        <v>enum - tradingTypeId</v>
      </c>
      <c r="E142" s="62" t="str">
        <f>IF(IF(B142="", "", VLOOKUP(B142,'API Data Dictionary'!C:E,3,FALSE))=0, "", IF(B142="", "", VLOOKUP(B142,'API Data Dictionary'!C:E,3,FALSE)))</f>
        <v/>
      </c>
      <c r="F142" s="62" t="str">
        <f>IF(IF(B142="", "", VLOOKUP(B142,'API Data Dictionary'!C:F,4,FALSE))=0, "", IF(B142="", "", VLOOKUP(B142,'API Data Dictionary'!C:F,4,FALSE)))</f>
        <v>Valid Values  (See enum definition)</v>
      </c>
      <c r="G142" s="62" t="str">
        <f>IF(IF(B142="", "", VLOOKUP(B142,'API Data Dictionary'!C:G,5,FALSE))=0, "", IF(B142="", "", VLOOKUP(B142,'API Data Dictionary'!C:G,5,FALSE)))</f>
        <v>The trading type of the self employed person</v>
      </c>
    </row>
    <row r="143" spans="1:7" ht="15" customHeight="1" x14ac:dyDescent="0.35">
      <c r="A143" s="64" t="s">
        <v>1926</v>
      </c>
      <c r="B143" s="62" t="str">
        <f t="shared" si="2"/>
        <v>startDateOfSelfEmployment</v>
      </c>
      <c r="C143" s="62" t="str">
        <f>IF(B143="", "", VLOOKUP(B143,'API Data Dictionary'!C:J,8,FALSE))</f>
        <v>X</v>
      </c>
      <c r="D143" s="62" t="str">
        <f>IF(B143="", "", VLOOKUP(B143,'API Data Dictionary'!C:D,2,FALSE))</f>
        <v>string ($date-time)</v>
      </c>
      <c r="E143" s="62" t="str">
        <f>IF(IF(B143="", "", VLOOKUP(B143,'API Data Dictionary'!C:E,3,FALSE))=0, "", IF(B143="", "", VLOOKUP(B143,'API Data Dictionary'!C:E,3,FALSE)))</f>
        <v/>
      </c>
      <c r="F143" s="62" t="str">
        <f>IF(IF(B143="", "", VLOOKUP(B143,'API Data Dictionary'!C:F,4,FALSE))=0, "", IF(B143="", "", VLOOKUP(B143,'API Data Dictionary'!C:F,4,FALSE)))</f>
        <v xml:space="preserve"> DD/MM/YYYY</v>
      </c>
      <c r="G143" s="62" t="str">
        <f>IF(IF(B143="", "", VLOOKUP(B143,'API Data Dictionary'!C:G,5,FALSE))=0, "", IF(B143="", "", VLOOKUP(B143,'API Data Dictionary'!C:G,5,FALSE)))</f>
        <v>Start date of self employment, formatted DD/MM/YYYY</v>
      </c>
    </row>
    <row r="144" spans="1:7" ht="15" customHeight="1" x14ac:dyDescent="0.35">
      <c r="A144" s="64" t="s">
        <v>1927</v>
      </c>
      <c r="B144" s="62" t="str">
        <f t="shared" si="2"/>
        <v>selfEmployedGrossAnnualIncome</v>
      </c>
      <c r="C144" s="62">
        <f>IF(B144="", "", VLOOKUP(B144,'API Data Dictionary'!C:J,8,FALSE))</f>
        <v>0</v>
      </c>
      <c r="D144" s="62" t="str">
        <f>IF(B144="", "", VLOOKUP(B144,'API Data Dictionary'!C:D,2,FALSE))</f>
        <v>number ($double)</v>
      </c>
      <c r="E144" s="62" t="str">
        <f>IF(IF(B144="", "", VLOOKUP(B144,'API Data Dictionary'!C:E,3,FALSE))=0, "", IF(B144="", "", VLOOKUP(B144,'API Data Dictionary'!C:E,3,FALSE)))</f>
        <v/>
      </c>
      <c r="F144" s="62" t="str">
        <f>IF(IF(B144="", "", VLOOKUP(B144,'API Data Dictionary'!C:F,4,FALSE))=0, "", IF(B144="", "", VLOOKUP(B144,'API Data Dictionary'!C:F,4,FALSE)))</f>
        <v>pattern: ^\d*.\d{0,2}$</v>
      </c>
      <c r="G144" s="62" t="str">
        <f>IF(IF(B144="", "", VLOOKUP(B144,'API Data Dictionary'!C:G,5,FALSE))=0, "", IF(B144="", "", VLOOKUP(B144,'API Data Dictionary'!C:G,5,FALSE)))</f>
        <v>Amount of self employed gross annual income in GBP</v>
      </c>
    </row>
    <row r="145" spans="1:7" ht="15" customHeight="1" x14ac:dyDescent="0.35">
      <c r="A145" s="64" t="s">
        <v>1905</v>
      </c>
      <c r="B145" s="62" t="str">
        <f t="shared" si="2"/>
        <v>netMonthlyIncome</v>
      </c>
      <c r="C145" s="62" t="str">
        <f>IF(B145="", "", VLOOKUP(B145,'API Data Dictionary'!C:J,8,FALSE))</f>
        <v>X</v>
      </c>
      <c r="D145" s="62" t="str">
        <f>IF(B145="", "", VLOOKUP(B145,'API Data Dictionary'!C:D,2,FALSE))</f>
        <v>number ($double)</v>
      </c>
      <c r="E145" s="62" t="str">
        <f>IF(IF(B145="", "", VLOOKUP(B145,'API Data Dictionary'!C:E,3,FALSE))=0, "", IF(B145="", "", VLOOKUP(B145,'API Data Dictionary'!C:E,3,FALSE)))</f>
        <v/>
      </c>
      <c r="F145" s="62" t="str">
        <f>IF(IF(B145="", "", VLOOKUP(B145,'API Data Dictionary'!C:F,4,FALSE))=0, "", IF(B145="", "", VLOOKUP(B145,'API Data Dictionary'!C:F,4,FALSE)))</f>
        <v>pattern: ^\d*.\d{0,2}$</v>
      </c>
      <c r="G145" s="62" t="str">
        <f>IF(IF(B145="", "", VLOOKUP(B145,'API Data Dictionary'!C:G,5,FALSE))=0, "", IF(B145="", "", VLOOKUP(B145,'API Data Dictionary'!C:G,5,FALSE)))</f>
        <v>Amount of Net monthly income in GBP</v>
      </c>
    </row>
    <row r="146" spans="1:7" ht="15" customHeight="1" x14ac:dyDescent="0.35">
      <c r="A146" s="64" t="s">
        <v>1928</v>
      </c>
      <c r="B146" s="62" t="str">
        <f t="shared" si="2"/>
        <v>taxReturnSubmitted</v>
      </c>
      <c r="C146" s="62" t="str">
        <f>IF(B146="", "", VLOOKUP(B146,'API Data Dictionary'!C:J,8,FALSE))</f>
        <v>X</v>
      </c>
      <c r="D146" s="62" t="str">
        <f>IF(B146="", "", VLOOKUP(B146,'API Data Dictionary'!C:D,2,FALSE))</f>
        <v>boolean</v>
      </c>
      <c r="E146" s="62" t="str">
        <f>IF(IF(B146="", "", VLOOKUP(B146,'API Data Dictionary'!C:E,3,FALSE))=0, "", IF(B146="", "", VLOOKUP(B146,'API Data Dictionary'!C:E,3,FALSE)))</f>
        <v/>
      </c>
      <c r="F146" s="62" t="str">
        <f>IF(IF(B146="", "", VLOOKUP(B146,'API Data Dictionary'!C:F,4,FALSE))=0, "", IF(B146="", "", VLOOKUP(B146,'API Data Dictionary'!C:F,4,FALSE)))</f>
        <v/>
      </c>
      <c r="G146" s="62" t="str">
        <f>IF(IF(B146="", "", VLOOKUP(B146,'API Data Dictionary'!C:G,5,FALSE))=0, "", IF(B146="", "", VLOOKUP(B146,'API Data Dictionary'!C:G,5,FALSE)))</f>
        <v>Denotes whether a tax return is submitted</v>
      </c>
    </row>
    <row r="147" spans="1:7" ht="15" customHeight="1" x14ac:dyDescent="0.35">
      <c r="A147" s="64" t="s">
        <v>1929</v>
      </c>
      <c r="B147" s="62" t="str">
        <f t="shared" si="2"/>
        <v>doesApplicantUseAccountant</v>
      </c>
      <c r="C147" s="62" t="str">
        <f>IF(B147="", "", VLOOKUP(B147,'API Data Dictionary'!C:J,8,FALSE))</f>
        <v>X</v>
      </c>
      <c r="D147" s="62" t="str">
        <f>IF(B147="", "", VLOOKUP(B147,'API Data Dictionary'!C:D,2,FALSE))</f>
        <v>boolean</v>
      </c>
      <c r="E147" s="62" t="str">
        <f>IF(IF(B147="", "", VLOOKUP(B147,'API Data Dictionary'!C:E,3,FALSE))=0, "", IF(B147="", "", VLOOKUP(B147,'API Data Dictionary'!C:E,3,FALSE)))</f>
        <v/>
      </c>
      <c r="F147" s="62" t="str">
        <f>IF(IF(B147="", "", VLOOKUP(B147,'API Data Dictionary'!C:F,4,FALSE))=0, "", IF(B147="", "", VLOOKUP(B147,'API Data Dictionary'!C:F,4,FALSE)))</f>
        <v/>
      </c>
      <c r="G147" s="62" t="str">
        <f>IF(IF(B147="", "", VLOOKUP(B147,'API Data Dictionary'!C:G,5,FALSE))=0, "", IF(B147="", "", VLOOKUP(B147,'API Data Dictionary'!C:G,5,FALSE)))</f>
        <v>Denotes whether an accountacy firm is used</v>
      </c>
    </row>
    <row r="148" spans="1:7" ht="15" customHeight="1" x14ac:dyDescent="0.35">
      <c r="A148" s="64" t="s">
        <v>1930</v>
      </c>
      <c r="B148" s="62" t="str">
        <f t="shared" si="2"/>
        <v>accountantCompanyName</v>
      </c>
      <c r="C148" s="62" t="str">
        <f>IF(B148="", "", VLOOKUP(B148,'API Data Dictionary'!C:J,8,FALSE))</f>
        <v>X</v>
      </c>
      <c r="D148" s="62" t="str">
        <f>IF(B148="", "", VLOOKUP(B148,'API Data Dictionary'!C:D,2,FALSE))</f>
        <v>string</v>
      </c>
      <c r="E148" s="62">
        <f>IF(IF(B148="", "", VLOOKUP(B148,'API Data Dictionary'!C:E,3,FALSE))=0, "", IF(B148="", "", VLOOKUP(B148,'API Data Dictionary'!C:E,3,FALSE)))</f>
        <v>500</v>
      </c>
      <c r="F148" s="62" t="str">
        <f>IF(IF(B148="", "", VLOOKUP(B148,'API Data Dictionary'!C:F,4,FALSE))=0, "", IF(B148="", "", VLOOKUP(B148,'API Data Dictionary'!C:F,4,FALSE)))</f>
        <v/>
      </c>
      <c r="G148" s="62" t="str">
        <f>IF(IF(B148="", "", VLOOKUP(B148,'API Data Dictionary'!C:G,5,FALSE))=0, "", IF(B148="", "", VLOOKUP(B148,'API Data Dictionary'!C:G,5,FALSE)))</f>
        <v>The name of the accountancy company</v>
      </c>
    </row>
    <row r="149" spans="1:7" ht="15" customHeight="1" x14ac:dyDescent="0.35">
      <c r="A149" s="64" t="s">
        <v>1931</v>
      </c>
      <c r="B149" s="62" t="str">
        <f t="shared" si="2"/>
        <v>accountantContactName</v>
      </c>
      <c r="C149" s="62" t="str">
        <f>IF(B149="", "", VLOOKUP(B149,'API Data Dictionary'!C:J,8,FALSE))</f>
        <v>X</v>
      </c>
      <c r="D149" s="62" t="str">
        <f>IF(B149="", "", VLOOKUP(B149,'API Data Dictionary'!C:D,2,FALSE))</f>
        <v>string</v>
      </c>
      <c r="E149" s="62">
        <f>IF(IF(B149="", "", VLOOKUP(B149,'API Data Dictionary'!C:E,3,FALSE))=0, "", IF(B149="", "", VLOOKUP(B149,'API Data Dictionary'!C:E,3,FALSE)))</f>
        <v>100</v>
      </c>
      <c r="F149" s="62" t="str">
        <f>IF(IF(B149="", "", VLOOKUP(B149,'API Data Dictionary'!C:F,4,FALSE))=0, "", IF(B149="", "", VLOOKUP(B149,'API Data Dictionary'!C:F,4,FALSE)))</f>
        <v>pattern: ^[a-zA-Z0-9\-' ]*$</v>
      </c>
      <c r="G149" s="62" t="str">
        <f>IF(IF(B149="", "", VLOOKUP(B149,'API Data Dictionary'!C:G,5,FALSE))=0, "", IF(B149="", "", VLOOKUP(B149,'API Data Dictionary'!C:G,5,FALSE)))</f>
        <v>The Fulll name of the accountant company's contact</v>
      </c>
    </row>
    <row r="150" spans="1:7" ht="15" customHeight="1" x14ac:dyDescent="0.35">
      <c r="A150" s="64" t="s">
        <v>1932</v>
      </c>
      <c r="B150" s="62" t="str">
        <f t="shared" si="2"/>
        <v>accountantContactNoCountryId</v>
      </c>
      <c r="C150" s="62" t="str">
        <f>IF(B150="", "", VLOOKUP(B150,'API Data Dictionary'!C:J,8,FALSE))</f>
        <v>X</v>
      </c>
      <c r="D150" s="62" t="str">
        <f>IF(B150="", "", VLOOKUP(B150,'API Data Dictionary'!C:D,2,FALSE))</f>
        <v>enum -Country/Location Code</v>
      </c>
      <c r="E150" s="62" t="str">
        <f>IF(IF(B150="", "", VLOOKUP(B150,'API Data Dictionary'!C:E,3,FALSE))=0, "", IF(B150="", "", VLOOKUP(B150,'API Data Dictionary'!C:E,3,FALSE)))</f>
        <v/>
      </c>
      <c r="F150" s="62" t="str">
        <f>IF(IF(B150="", "", VLOOKUP(B150,'API Data Dictionary'!C:F,4,FALSE))=0, "", IF(B150="", "", VLOOKUP(B150,'API Data Dictionary'!C:F,4,FALSE)))</f>
        <v>Valid Values 1-239 (See enum definition)</v>
      </c>
      <c r="G150" s="62" t="str">
        <f>IF(IF(B150="", "", VLOOKUP(B150,'API Data Dictionary'!C:G,5,FALSE))=0, "", IF(B150="", "", VLOOKUP(B150,'API Data Dictionary'!C:G,5,FALSE)))</f>
        <v>The country/location code of the Accountant contact phone number</v>
      </c>
    </row>
    <row r="151" spans="1:7" ht="15" customHeight="1" x14ac:dyDescent="0.35">
      <c r="A151" s="64" t="s">
        <v>1933</v>
      </c>
      <c r="B151" s="62" t="str">
        <f t="shared" si="2"/>
        <v>accountantContactNumber</v>
      </c>
      <c r="C151" s="62" t="str">
        <f>IF(B151="", "", VLOOKUP(B151,'API Data Dictionary'!C:J,8,FALSE))</f>
        <v>X</v>
      </c>
      <c r="D151" s="62" t="str">
        <f>IF(B151="", "", VLOOKUP(B151,'API Data Dictionary'!C:D,2,FALSE))</f>
        <v>string</v>
      </c>
      <c r="E151" s="62">
        <f>IF(IF(B151="", "", VLOOKUP(B151,'API Data Dictionary'!C:E,3,FALSE))=0, "", IF(B151="", "", VLOOKUP(B151,'API Data Dictionary'!C:E,3,FALSE)))</f>
        <v>15</v>
      </c>
      <c r="F151" s="62" t="str">
        <f>IF(IF(B151="", "", VLOOKUP(B151,'API Data Dictionary'!C:F,4,FALSE))=0, "", IF(B151="", "", VLOOKUP(B151,'API Data Dictionary'!C:F,4,FALSE)))</f>
        <v>pattern: ^(\d{11})$</v>
      </c>
      <c r="G151" s="62" t="str">
        <f>IF(IF(B151="", "", VLOOKUP(B151,'API Data Dictionary'!C:G,5,FALSE))=0, "", IF(B151="", "", VLOOKUP(B151,'API Data Dictionary'!C:G,5,FALSE)))</f>
        <v>The Accountant contact phone number</v>
      </c>
    </row>
    <row r="152" spans="1:7" ht="15" customHeight="1" x14ac:dyDescent="0.35">
      <c r="A152" s="64" t="s">
        <v>1934</v>
      </c>
      <c r="B152" s="62" t="str">
        <f t="shared" si="2"/>
        <v>accountantEmailAddress</v>
      </c>
      <c r="C152" s="62" t="str">
        <f>IF(B152="", "", VLOOKUP(B152,'API Data Dictionary'!C:J,8,FALSE))</f>
        <v>X</v>
      </c>
      <c r="D152" s="62" t="str">
        <f>IF(B152="", "", VLOOKUP(B152,'API Data Dictionary'!C:D,2,FALSE))</f>
        <v>string ($email)</v>
      </c>
      <c r="E152" s="62">
        <f>IF(IF(B152="", "", VLOOKUP(B152,'API Data Dictionary'!C:E,3,FALSE))=0, "", IF(B152="", "", VLOOKUP(B152,'API Data Dictionary'!C:E,3,FALSE)))</f>
        <v>200</v>
      </c>
      <c r="F152" s="62" t="str">
        <f>IF(IF(B152="", "", VLOOKUP(B152,'API Data Dictionary'!C:F,4,FALSE))=0, "", IF(B152="", "", VLOOKUP(B152,'API Data Dictionary'!C:F,4,FALSE)))</f>
        <v>pattern: ^(?!.*\.\.)(?!.*\\_\\_)(?!.*\-\-)[a-zA-Z0-9][-a-zA-Z0-9._]+[a-zA-Z0-9]@([-a-zA-Z0-9]+.)+[a-zA-Z]{2,5}$</v>
      </c>
      <c r="G152" s="62" t="str">
        <f>IF(IF(B152="", "", VLOOKUP(B152,'API Data Dictionary'!C:G,5,FALSE))=0, "", IF(B152="", "", VLOOKUP(B152,'API Data Dictionary'!C:G,5,FALSE)))</f>
        <v>The Accountant email address</v>
      </c>
    </row>
    <row r="153" spans="1:7" ht="15" customHeight="1" x14ac:dyDescent="0.35">
      <c r="A153" s="64" t="s">
        <v>1935</v>
      </c>
      <c r="B153" s="62" t="str">
        <f t="shared" si="2"/>
        <v>accountantContactPosition</v>
      </c>
      <c r="C153" s="62" t="str">
        <f>IF(B153="", "", VLOOKUP(B153,'API Data Dictionary'!C:J,8,FALSE))</f>
        <v>X</v>
      </c>
      <c r="D153" s="62" t="str">
        <f>IF(B153="", "", VLOOKUP(B153,'API Data Dictionary'!C:D,2,FALSE))</f>
        <v>string</v>
      </c>
      <c r="E153" s="62">
        <f>IF(IF(B153="", "", VLOOKUP(B153,'API Data Dictionary'!C:E,3,FALSE))=0, "", IF(B153="", "", VLOOKUP(B153,'API Data Dictionary'!C:E,3,FALSE)))</f>
        <v>100</v>
      </c>
      <c r="F153" s="62" t="str">
        <f>IF(IF(B153="", "", VLOOKUP(B153,'API Data Dictionary'!C:F,4,FALSE))=0, "", IF(B153="", "", VLOOKUP(B153,'API Data Dictionary'!C:F,4,FALSE)))</f>
        <v/>
      </c>
      <c r="G153" s="62" t="str">
        <f>IF(IF(B153="", "", VLOOKUP(B153,'API Data Dictionary'!C:G,5,FALSE))=0, "", IF(B153="", "", VLOOKUP(B153,'API Data Dictionary'!C:G,5,FALSE)))</f>
        <v>The account contact's position in the company</v>
      </c>
    </row>
    <row r="154" spans="1:7" ht="15" customHeight="1" x14ac:dyDescent="0.35">
      <c r="A154" s="64" t="s">
        <v>1836</v>
      </c>
      <c r="B154" s="62" t="str">
        <f t="shared" si="2"/>
        <v/>
      </c>
      <c r="C154" s="62" t="str">
        <f>IF(B154="", "", VLOOKUP(B154,'API Data Dictionary'!C:J,8,FALSE))</f>
        <v/>
      </c>
      <c r="D154" s="62" t="str">
        <f>IF(B154="", "", VLOOKUP(B154,'API Data Dictionary'!C:D,2,FALSE))</f>
        <v/>
      </c>
      <c r="E154" s="62" t="str">
        <f>IF(IF(B154="", "", VLOOKUP(B154,'API Data Dictionary'!C:E,3,FALSE))=0, "", IF(B154="", "", VLOOKUP(B154,'API Data Dictionary'!C:E,3,FALSE)))</f>
        <v/>
      </c>
      <c r="F154" s="62" t="str">
        <f>IF(IF(B154="", "", VLOOKUP(B154,'API Data Dictionary'!C:F,4,FALSE))=0, "", IF(B154="", "", VLOOKUP(B154,'API Data Dictionary'!C:F,4,FALSE)))</f>
        <v/>
      </c>
      <c r="G154" s="62" t="str">
        <f>IF(IF(B154="", "", VLOOKUP(B154,'API Data Dictionary'!C:G,5,FALSE))=0, "", IF(B154="", "", VLOOKUP(B154,'API Data Dictionary'!C:G,5,FALSE)))</f>
        <v/>
      </c>
    </row>
    <row r="155" spans="1:7" ht="15" customHeight="1" x14ac:dyDescent="0.35">
      <c r="A155" s="64" t="s">
        <v>1936</v>
      </c>
      <c r="B155" s="62" t="str">
        <f t="shared" si="2"/>
        <v>houseNumber</v>
      </c>
      <c r="C155" s="62" t="str">
        <f>IF(B155="", "", VLOOKUP(B155,'API Data Dictionary'!C:J,8,FALSE))</f>
        <v>X</v>
      </c>
      <c r="D155" s="62" t="str">
        <f>IF(B155="", "", VLOOKUP(B155,'API Data Dictionary'!C:D,2,FALSE))</f>
        <v>string</v>
      </c>
      <c r="E155" s="62">
        <f>IF(IF(B155="", "", VLOOKUP(B155,'API Data Dictionary'!C:E,3,FALSE))=0, "", IF(B155="", "", VLOOKUP(B155,'API Data Dictionary'!C:E,3,FALSE)))</f>
        <v>100</v>
      </c>
      <c r="F155" s="62" t="str">
        <f>IF(IF(B155="", "", VLOOKUP(B155,'API Data Dictionary'!C:F,4,FALSE))=0, "", IF(B155="", "", VLOOKUP(B155,'API Data Dictionary'!C:F,4,FALSE)))</f>
        <v/>
      </c>
      <c r="G155" s="62" t="str">
        <f>IF(IF(B155="", "", VLOOKUP(B155,'API Data Dictionary'!C:G,5,FALSE))=0, "", IF(B155="", "", VLOOKUP(B155,'API Data Dictionary'!C:G,5,FALSE)))</f>
        <v xml:space="preserve">The number of the property, mandatory OR pair with House name field </v>
      </c>
    </row>
    <row r="156" spans="1:7" ht="15" customHeight="1" x14ac:dyDescent="0.35">
      <c r="A156" s="64" t="s">
        <v>1937</v>
      </c>
      <c r="B156" s="62" t="str">
        <f t="shared" si="2"/>
        <v>houseName</v>
      </c>
      <c r="C156" s="62" t="str">
        <f>IF(B156="", "", VLOOKUP(B156,'API Data Dictionary'!C:J,8,FALSE))</f>
        <v>X</v>
      </c>
      <c r="D156" s="62" t="str">
        <f>IF(B156="", "", VLOOKUP(B156,'API Data Dictionary'!C:D,2,FALSE))</f>
        <v>string</v>
      </c>
      <c r="E156" s="62">
        <f>IF(IF(B156="", "", VLOOKUP(B156,'API Data Dictionary'!C:E,3,FALSE))=0, "", IF(B156="", "", VLOOKUP(B156,'API Data Dictionary'!C:E,3,FALSE)))</f>
        <v>100</v>
      </c>
      <c r="F156" s="62" t="str">
        <f>IF(IF(B156="", "", VLOOKUP(B156,'API Data Dictionary'!C:F,4,FALSE))=0, "", IF(B156="", "", VLOOKUP(B156,'API Data Dictionary'!C:F,4,FALSE)))</f>
        <v/>
      </c>
      <c r="G156" s="62" t="str">
        <f>IF(IF(B156="", "", VLOOKUP(B156,'API Data Dictionary'!C:G,5,FALSE))=0, "", IF(B156="", "", VLOOKUP(B156,'API Data Dictionary'!C:G,5,FALSE)))</f>
        <v xml:space="preserve">The name of the property, mandatory OR pair with House number field </v>
      </c>
    </row>
    <row r="157" spans="1:7" ht="15" customHeight="1" x14ac:dyDescent="0.35">
      <c r="A157" s="64" t="s">
        <v>1938</v>
      </c>
      <c r="B157" s="62" t="str">
        <f t="shared" si="2"/>
        <v>addressLine1</v>
      </c>
      <c r="C157" s="62" t="str">
        <f>IF(B157="", "", VLOOKUP(B157,'API Data Dictionary'!C:J,8,FALSE))</f>
        <v>M</v>
      </c>
      <c r="D157" s="62" t="str">
        <f>IF(B157="", "", VLOOKUP(B157,'API Data Dictionary'!C:D,2,FALSE))</f>
        <v>string</v>
      </c>
      <c r="E157" s="62">
        <f>IF(IF(B157="", "", VLOOKUP(B157,'API Data Dictionary'!C:E,3,FALSE))=0, "", IF(B157="", "", VLOOKUP(B157,'API Data Dictionary'!C:E,3,FALSE)))</f>
        <v>100</v>
      </c>
      <c r="F157" s="62" t="str">
        <f>IF(IF(B157="", "", VLOOKUP(B157,'API Data Dictionary'!C:F,4,FALSE))=0, "", IF(B157="", "", VLOOKUP(B157,'API Data Dictionary'!C:F,4,FALSE)))</f>
        <v/>
      </c>
      <c r="G157" s="62" t="str">
        <f>IF(IF(B157="", "", VLOOKUP(B157,'API Data Dictionary'!C:G,5,FALSE))=0, "", IF(B157="", "", VLOOKUP(B157,'API Data Dictionary'!C:G,5,FALSE)))</f>
        <v>The first line of the property address</v>
      </c>
    </row>
    <row r="158" spans="1:7" ht="15" customHeight="1" x14ac:dyDescent="0.35">
      <c r="A158" s="64" t="s">
        <v>1939</v>
      </c>
      <c r="B158" s="62" t="str">
        <f t="shared" si="2"/>
        <v>addressLine2</v>
      </c>
      <c r="C158" s="62" t="str">
        <f>IF(B158="", "", VLOOKUP(B158,'API Data Dictionary'!C:J,8,FALSE))</f>
        <v>X</v>
      </c>
      <c r="D158" s="62" t="str">
        <f>IF(B158="", "", VLOOKUP(B158,'API Data Dictionary'!C:D,2,FALSE))</f>
        <v>string</v>
      </c>
      <c r="E158" s="62">
        <f>IF(IF(B158="", "", VLOOKUP(B158,'API Data Dictionary'!C:E,3,FALSE))=0, "", IF(B158="", "", VLOOKUP(B158,'API Data Dictionary'!C:E,3,FALSE)))</f>
        <v>100</v>
      </c>
      <c r="F158" s="62" t="str">
        <f>IF(IF(B158="", "", VLOOKUP(B158,'API Data Dictionary'!C:F,4,FALSE))=0, "", IF(B158="", "", VLOOKUP(B158,'API Data Dictionary'!C:F,4,FALSE)))</f>
        <v/>
      </c>
      <c r="G158" s="62" t="str">
        <f>IF(IF(B158="", "", VLOOKUP(B158,'API Data Dictionary'!C:G,5,FALSE))=0, "", IF(B158="", "", VLOOKUP(B158,'API Data Dictionary'!C:G,5,FALSE)))</f>
        <v>The second line of the property address</v>
      </c>
    </row>
    <row r="159" spans="1:7" ht="15" customHeight="1" x14ac:dyDescent="0.35">
      <c r="A159" s="64" t="s">
        <v>1940</v>
      </c>
      <c r="B159" s="62" t="str">
        <f t="shared" si="2"/>
        <v>town</v>
      </c>
      <c r="C159" s="62" t="str">
        <f>IF(B159="", "", VLOOKUP(B159,'API Data Dictionary'!C:J,8,FALSE))</f>
        <v>M</v>
      </c>
      <c r="D159" s="62" t="str">
        <f>IF(B159="", "", VLOOKUP(B159,'API Data Dictionary'!C:D,2,FALSE))</f>
        <v>string</v>
      </c>
      <c r="E159" s="62">
        <f>IF(IF(B159="", "", VLOOKUP(B159,'API Data Dictionary'!C:E,3,FALSE))=0, "", IF(B159="", "", VLOOKUP(B159,'API Data Dictionary'!C:E,3,FALSE)))</f>
        <v>50</v>
      </c>
      <c r="F159" s="62" t="str">
        <f>IF(IF(B159="", "", VLOOKUP(B159,'API Data Dictionary'!C:F,4,FALSE))=0, "", IF(B159="", "", VLOOKUP(B159,'API Data Dictionary'!C:F,4,FALSE)))</f>
        <v/>
      </c>
      <c r="G159" s="62" t="str">
        <f>IF(IF(B159="", "", VLOOKUP(B159,'API Data Dictionary'!C:G,5,FALSE))=0, "", IF(B159="", "", VLOOKUP(B159,'API Data Dictionary'!C:G,5,FALSE)))</f>
        <v>The town in which the property exists</v>
      </c>
    </row>
    <row r="160" spans="1:7" ht="15" customHeight="1" x14ac:dyDescent="0.35">
      <c r="A160" s="64" t="s">
        <v>1941</v>
      </c>
      <c r="B160" s="62" t="str">
        <f t="shared" si="2"/>
        <v>postcode</v>
      </c>
      <c r="C160" s="62" t="str">
        <f>IF(B160="", "", VLOOKUP(B160,'API Data Dictionary'!C:J,8,FALSE))</f>
        <v>M</v>
      </c>
      <c r="D160" s="62" t="str">
        <f>IF(B160="", "", VLOOKUP(B160,'API Data Dictionary'!C:D,2,FALSE))</f>
        <v>string</v>
      </c>
      <c r="E160" s="62">
        <f>IF(IF(B160="", "", VLOOKUP(B160,'API Data Dictionary'!C:E,3,FALSE))=0, "", IF(B160="", "", VLOOKUP(B160,'API Data Dictionary'!C:E,3,FALSE)))</f>
        <v>50</v>
      </c>
      <c r="F160" s="62" t="str">
        <f>IF(IF(B160="", "", VLOOKUP(B160,'API Data Dictionary'!C:F,4,FALSE))=0, "", IF(B160="", "", VLOOKUP(B160,'API Data Dictionary'!C:F,4,FALSE)))</f>
        <v/>
      </c>
      <c r="G160" s="62" t="str">
        <f>IF(IF(B160="", "", VLOOKUP(B160,'API Data Dictionary'!C:G,5,FALSE))=0, "", IF(B160="", "", VLOOKUP(B160,'API Data Dictionary'!C:G,5,FALSE)))</f>
        <v>the postcode of the property</v>
      </c>
    </row>
    <row r="161" spans="1:7" ht="15" customHeight="1" x14ac:dyDescent="0.35">
      <c r="A161" s="64" t="s">
        <v>1942</v>
      </c>
      <c r="B161" s="62" t="str">
        <f t="shared" si="2"/>
        <v>ukCountryCode</v>
      </c>
      <c r="C161" s="62" t="str">
        <f>IF(B161="", "", VLOOKUP(B161,'API Data Dictionary'!C:J,8,FALSE))</f>
        <v>M</v>
      </c>
      <c r="D161" s="62" t="str">
        <f>IF(B161="", "", VLOOKUP(B161,'API Data Dictionary'!C:D,2,FALSE))</f>
        <v>enum - UK Country List</v>
      </c>
      <c r="E161" s="62" t="str">
        <f>IF(IF(B161="", "", VLOOKUP(B161,'API Data Dictionary'!C:E,3,FALSE))=0, "", IF(B161="", "", VLOOKUP(B161,'API Data Dictionary'!C:E,3,FALSE)))</f>
        <v/>
      </c>
      <c r="F161" s="62" t="str">
        <f>IF(IF(B161="", "", VLOOKUP(B161,'API Data Dictionary'!C:F,4,FALSE))=0, "", IF(B161="", "", VLOOKUP(B161,'API Data Dictionary'!C:F,4,FALSE)))</f>
        <v>Valid Values 1-4 (See enum definition)</v>
      </c>
      <c r="G161" s="62" t="str">
        <f>IF(IF(B161="", "", VLOOKUP(B161,'API Data Dictionary'!C:G,5,FALSE))=0, "", IF(B161="", "", VLOOKUP(B161,'API Data Dictionary'!C:G,5,FALSE)))</f>
        <v xml:space="preserve">The UK country Code </v>
      </c>
    </row>
    <row r="162" spans="1:7" ht="15" customHeight="1" x14ac:dyDescent="0.35">
      <c r="A162" s="64" t="s">
        <v>1837</v>
      </c>
      <c r="B162" s="62" t="str">
        <f t="shared" si="2"/>
        <v/>
      </c>
      <c r="C162" s="62" t="str">
        <f>IF(B162="", "", VLOOKUP(B162,'API Data Dictionary'!C:J,8,FALSE))</f>
        <v/>
      </c>
      <c r="D162" s="62" t="str">
        <f>IF(B162="", "", VLOOKUP(B162,'API Data Dictionary'!C:D,2,FALSE))</f>
        <v/>
      </c>
      <c r="E162" s="62" t="str">
        <f>IF(IF(B162="", "", VLOOKUP(B162,'API Data Dictionary'!C:E,3,FALSE))=0, "", IF(B162="", "", VLOOKUP(B162,'API Data Dictionary'!C:E,3,FALSE)))</f>
        <v/>
      </c>
      <c r="F162" s="62" t="str">
        <f>IF(IF(B162="", "", VLOOKUP(B162,'API Data Dictionary'!C:F,4,FALSE))=0, "", IF(B162="", "", VLOOKUP(B162,'API Data Dictionary'!C:F,4,FALSE)))</f>
        <v/>
      </c>
      <c r="G162" s="62" t="str">
        <f>IF(IF(B162="", "", VLOOKUP(B162,'API Data Dictionary'!C:G,5,FALSE))=0, "", IF(B162="", "", VLOOKUP(B162,'API Data Dictionary'!C:G,5,FALSE)))</f>
        <v/>
      </c>
    </row>
    <row r="163" spans="1:7" ht="15" customHeight="1" x14ac:dyDescent="0.35">
      <c r="A163" s="64" t="s">
        <v>1924</v>
      </c>
      <c r="B163" s="62" t="str">
        <f t="shared" si="2"/>
        <v>industryType</v>
      </c>
      <c r="C163" s="62">
        <f>IF(B163="", "", VLOOKUP(B163,'API Data Dictionary'!C:J,8,FALSE))</f>
        <v>0</v>
      </c>
      <c r="D163" s="62" t="str">
        <f>IF(B163="", "", VLOOKUP(B163,'API Data Dictionary'!C:D,2,FALSE))</f>
        <v>enum - industry type</v>
      </c>
      <c r="E163" s="62" t="str">
        <f>IF(IF(B163="", "", VLOOKUP(B163,'API Data Dictionary'!C:E,3,FALSE))=0, "", IF(B163="", "", VLOOKUP(B163,'API Data Dictionary'!C:E,3,FALSE)))</f>
        <v/>
      </c>
      <c r="F163" s="62" t="str">
        <f>IF(IF(B163="", "", VLOOKUP(B163,'API Data Dictionary'!C:F,4,FALSE))=0, "", IF(B163="", "", VLOOKUP(B163,'API Data Dictionary'!C:F,4,FALSE)))</f>
        <v/>
      </c>
      <c r="G163" s="62" t="str">
        <f>IF(IF(B163="", "", VLOOKUP(B163,'API Data Dictionary'!C:G,5,FALSE))=0, "", IF(B163="", "", VLOOKUP(B163,'API Data Dictionary'!C:G,5,FALSE)))</f>
        <v>Type of industry</v>
      </c>
    </row>
    <row r="164" spans="1:7" ht="15" customHeight="1" x14ac:dyDescent="0.35">
      <c r="A164" s="64" t="s">
        <v>1828</v>
      </c>
      <c r="B164" s="62" t="str">
        <f t="shared" si="2"/>
        <v/>
      </c>
      <c r="C164" s="62" t="str">
        <f>IF(B164="", "", VLOOKUP(B164,'API Data Dictionary'!C:J,8,FALSE))</f>
        <v/>
      </c>
      <c r="D164" s="62" t="str">
        <f>IF(B164="", "", VLOOKUP(B164,'API Data Dictionary'!C:D,2,FALSE))</f>
        <v/>
      </c>
      <c r="E164" s="62" t="str">
        <f>IF(IF(B164="", "", VLOOKUP(B164,'API Data Dictionary'!C:E,3,FALSE))=0, "", IF(B164="", "", VLOOKUP(B164,'API Data Dictionary'!C:E,3,FALSE)))</f>
        <v/>
      </c>
      <c r="F164" s="62" t="str">
        <f>IF(IF(B164="", "", VLOOKUP(B164,'API Data Dictionary'!C:F,4,FALSE))=0, "", IF(B164="", "", VLOOKUP(B164,'API Data Dictionary'!C:F,4,FALSE)))</f>
        <v/>
      </c>
      <c r="G164" s="62" t="str">
        <f>IF(IF(B164="", "", VLOOKUP(B164,'API Data Dictionary'!C:G,5,FALSE))=0, "", IF(B164="", "", VLOOKUP(B164,'API Data Dictionary'!C:G,5,FALSE)))</f>
        <v/>
      </c>
    </row>
    <row r="165" spans="1:7" ht="15" customHeight="1" x14ac:dyDescent="0.35">
      <c r="A165" s="64" t="s">
        <v>1838</v>
      </c>
      <c r="B165" s="62" t="str">
        <f t="shared" si="2"/>
        <v/>
      </c>
      <c r="C165" s="62" t="str">
        <f>IF(B165="", "", VLOOKUP(B165,'API Data Dictionary'!C:J,8,FALSE))</f>
        <v/>
      </c>
      <c r="D165" s="62" t="str">
        <f>IF(B165="", "", VLOOKUP(B165,'API Data Dictionary'!C:D,2,FALSE))</f>
        <v/>
      </c>
      <c r="E165" s="62" t="str">
        <f>IF(IF(B165="", "", VLOOKUP(B165,'API Data Dictionary'!C:E,3,FALSE))=0, "", IF(B165="", "", VLOOKUP(B165,'API Data Dictionary'!C:E,3,FALSE)))</f>
        <v/>
      </c>
      <c r="F165" s="62" t="str">
        <f>IF(IF(B165="", "", VLOOKUP(B165,'API Data Dictionary'!C:F,4,FALSE))=0, "", IF(B165="", "", VLOOKUP(B165,'API Data Dictionary'!C:F,4,FALSE)))</f>
        <v/>
      </c>
      <c r="G165" s="62" t="str">
        <f>IF(IF(B165="", "", VLOOKUP(B165,'API Data Dictionary'!C:G,5,FALSE))=0, "", IF(B165="", "", VLOOKUP(B165,'API Data Dictionary'!C:G,5,FALSE)))</f>
        <v/>
      </c>
    </row>
    <row r="166" spans="1:7" ht="15" customHeight="1" x14ac:dyDescent="0.35">
      <c r="A166" s="64" t="s">
        <v>1943</v>
      </c>
      <c r="B166" s="62" t="str">
        <f t="shared" si="2"/>
        <v>pensionProvider</v>
      </c>
      <c r="C166" s="62" t="str">
        <f>IF(B166="", "", VLOOKUP(B166,'API Data Dictionary'!C:J,8,FALSE))</f>
        <v>X</v>
      </c>
      <c r="D166" s="62" t="str">
        <f>IF(B166="", "", VLOOKUP(B166,'API Data Dictionary'!C:D,2,FALSE))</f>
        <v>string</v>
      </c>
      <c r="E166" s="62">
        <f>IF(IF(B166="", "", VLOOKUP(B166,'API Data Dictionary'!C:E,3,FALSE))=0, "", IF(B166="", "", VLOOKUP(B166,'API Data Dictionary'!C:E,3,FALSE)))</f>
        <v>500</v>
      </c>
      <c r="F166" s="62" t="str">
        <f>IF(IF(B166="", "", VLOOKUP(B166,'API Data Dictionary'!C:F,4,FALSE))=0, "", IF(B166="", "", VLOOKUP(B166,'API Data Dictionary'!C:F,4,FALSE)))</f>
        <v/>
      </c>
      <c r="G166" s="62" t="str">
        <f>IF(IF(B166="", "", VLOOKUP(B166,'API Data Dictionary'!C:G,5,FALSE))=0, "", IF(B166="", "", VLOOKUP(B166,'API Data Dictionary'!C:G,5,FALSE)))</f>
        <v>Name of Pension Provider</v>
      </c>
    </row>
    <row r="167" spans="1:7" ht="15" customHeight="1" x14ac:dyDescent="0.35">
      <c r="A167" s="64" t="s">
        <v>1944</v>
      </c>
      <c r="B167" s="62" t="str">
        <f t="shared" si="2"/>
        <v>netMonthlyIncome</v>
      </c>
      <c r="C167" s="62" t="str">
        <f>IF(B167="", "", VLOOKUP(B167,'API Data Dictionary'!C:J,8,FALSE))</f>
        <v>X</v>
      </c>
      <c r="D167" s="62" t="str">
        <f>IF(B167="", "", VLOOKUP(B167,'API Data Dictionary'!C:D,2,FALSE))</f>
        <v>number ($double)</v>
      </c>
      <c r="E167" s="62" t="str">
        <f>IF(IF(B167="", "", VLOOKUP(B167,'API Data Dictionary'!C:E,3,FALSE))=0, "", IF(B167="", "", VLOOKUP(B167,'API Data Dictionary'!C:E,3,FALSE)))</f>
        <v/>
      </c>
      <c r="F167" s="62" t="str">
        <f>IF(IF(B167="", "", VLOOKUP(B167,'API Data Dictionary'!C:F,4,FALSE))=0, "", IF(B167="", "", VLOOKUP(B167,'API Data Dictionary'!C:F,4,FALSE)))</f>
        <v>pattern: ^\d*.\d{0,2}$</v>
      </c>
      <c r="G167" s="62" t="str">
        <f>IF(IF(B167="", "", VLOOKUP(B167,'API Data Dictionary'!C:G,5,FALSE))=0, "", IF(B167="", "", VLOOKUP(B167,'API Data Dictionary'!C:G,5,FALSE)))</f>
        <v>Amount of Net monthly income in GBP</v>
      </c>
    </row>
    <row r="168" spans="1:7" ht="15" customHeight="1" x14ac:dyDescent="0.35">
      <c r="A168" s="64" t="s">
        <v>1945</v>
      </c>
      <c r="B168" s="62" t="str">
        <f t="shared" si="2"/>
        <v>grossAnnualIncome</v>
      </c>
      <c r="C168" s="62">
        <f>IF(B168="", "", VLOOKUP(B168,'API Data Dictionary'!C:J,8,FALSE))</f>
        <v>0</v>
      </c>
      <c r="D168" s="62" t="str">
        <f>IF(B168="", "", VLOOKUP(B168,'API Data Dictionary'!C:D,2,FALSE))</f>
        <v>number ($double)</v>
      </c>
      <c r="E168" s="62" t="str">
        <f>IF(IF(B168="", "", VLOOKUP(B168,'API Data Dictionary'!C:E,3,FALSE))=0, "", IF(B168="", "", VLOOKUP(B168,'API Data Dictionary'!C:E,3,FALSE)))</f>
        <v/>
      </c>
      <c r="F168" s="62" t="str">
        <f>IF(IF(B168="", "", VLOOKUP(B168,'API Data Dictionary'!C:F,4,FALSE))=0, "", IF(B168="", "", VLOOKUP(B168,'API Data Dictionary'!C:F,4,FALSE)))</f>
        <v>pattern: ^\d*.\d{0,2}$</v>
      </c>
      <c r="G168" s="62" t="str">
        <f>IF(IF(B168="", "", VLOOKUP(B168,'API Data Dictionary'!C:G,5,FALSE))=0, "", IF(B168="", "", VLOOKUP(B168,'API Data Dictionary'!C:G,5,FALSE)))</f>
        <v>Amount ofgross annual income in GBP</v>
      </c>
    </row>
    <row r="169" spans="1:7" ht="15" customHeight="1" x14ac:dyDescent="0.35">
      <c r="A169" s="64" t="s">
        <v>1946</v>
      </c>
      <c r="B169" s="62" t="str">
        <f t="shared" si="2"/>
        <v>startDateOfPension</v>
      </c>
      <c r="C169" s="62" t="str">
        <f>IF(B169="", "", VLOOKUP(B169,'API Data Dictionary'!C:J,8,FALSE))</f>
        <v>X</v>
      </c>
      <c r="D169" s="62" t="str">
        <f>IF(B169="", "", VLOOKUP(B169,'API Data Dictionary'!C:D,2,FALSE))</f>
        <v>string ($date-time)</v>
      </c>
      <c r="E169" s="62" t="str">
        <f>IF(IF(B169="", "", VLOOKUP(B169,'API Data Dictionary'!C:E,3,FALSE))=0, "", IF(B169="", "", VLOOKUP(B169,'API Data Dictionary'!C:E,3,FALSE)))</f>
        <v/>
      </c>
      <c r="F169" s="62" t="str">
        <f>IF(IF(B169="", "", VLOOKUP(B169,'API Data Dictionary'!C:F,4,FALSE))=0, "", IF(B169="", "", VLOOKUP(B169,'API Data Dictionary'!C:F,4,FALSE)))</f>
        <v>DD/MM/YYYY</v>
      </c>
      <c r="G169" s="62" t="str">
        <f>IF(IF(B169="", "", VLOOKUP(B169,'API Data Dictionary'!C:G,5,FALSE))=0, "", IF(B169="", "", VLOOKUP(B169,'API Data Dictionary'!C:G,5,FALSE)))</f>
        <v>Start date of pension, formated DD/MM/YYYY</v>
      </c>
    </row>
    <row r="170" spans="1:7" ht="15" customHeight="1" x14ac:dyDescent="0.35">
      <c r="A170" s="64" t="s">
        <v>1828</v>
      </c>
      <c r="B170" s="62" t="str">
        <f t="shared" si="2"/>
        <v/>
      </c>
      <c r="C170" s="62" t="str">
        <f>IF(B170="", "", VLOOKUP(B170,'API Data Dictionary'!C:J,8,FALSE))</f>
        <v/>
      </c>
      <c r="D170" s="62" t="str">
        <f>IF(B170="", "", VLOOKUP(B170,'API Data Dictionary'!C:D,2,FALSE))</f>
        <v/>
      </c>
      <c r="E170" s="62" t="str">
        <f>IF(IF(B170="", "", VLOOKUP(B170,'API Data Dictionary'!C:E,3,FALSE))=0, "", IF(B170="", "", VLOOKUP(B170,'API Data Dictionary'!C:E,3,FALSE)))</f>
        <v/>
      </c>
      <c r="F170" s="62" t="str">
        <f>IF(IF(B170="", "", VLOOKUP(B170,'API Data Dictionary'!C:F,4,FALSE))=0, "", IF(B170="", "", VLOOKUP(B170,'API Data Dictionary'!C:F,4,FALSE)))</f>
        <v/>
      </c>
      <c r="G170" s="62" t="str">
        <f>IF(IF(B170="", "", VLOOKUP(B170,'API Data Dictionary'!C:G,5,FALSE))=0, "", IF(B170="", "", VLOOKUP(B170,'API Data Dictionary'!C:G,5,FALSE)))</f>
        <v/>
      </c>
    </row>
    <row r="171" spans="1:7" ht="15" customHeight="1" x14ac:dyDescent="0.35">
      <c r="A171" s="64" t="s">
        <v>1839</v>
      </c>
      <c r="B171" s="62" t="str">
        <f t="shared" si="2"/>
        <v/>
      </c>
      <c r="C171" s="62" t="str">
        <f>IF(B171="", "", VLOOKUP(B171,'API Data Dictionary'!C:J,8,FALSE))</f>
        <v/>
      </c>
      <c r="D171" s="62" t="str">
        <f>IF(B171="", "", VLOOKUP(B171,'API Data Dictionary'!C:D,2,FALSE))</f>
        <v/>
      </c>
      <c r="E171" s="62" t="str">
        <f>IF(IF(B171="", "", VLOOKUP(B171,'API Data Dictionary'!C:E,3,FALSE))=0, "", IF(B171="", "", VLOOKUP(B171,'API Data Dictionary'!C:E,3,FALSE)))</f>
        <v/>
      </c>
      <c r="F171" s="62" t="str">
        <f>IF(IF(B171="", "", VLOOKUP(B171,'API Data Dictionary'!C:F,4,FALSE))=0, "", IF(B171="", "", VLOOKUP(B171,'API Data Dictionary'!C:F,4,FALSE)))</f>
        <v/>
      </c>
      <c r="G171" s="62" t="str">
        <f>IF(IF(B171="", "", VLOOKUP(B171,'API Data Dictionary'!C:G,5,FALSE))=0, "", IF(B171="", "", VLOOKUP(B171,'API Data Dictionary'!C:G,5,FALSE)))</f>
        <v/>
      </c>
    </row>
    <row r="172" spans="1:7" ht="15" customHeight="1" x14ac:dyDescent="0.35">
      <c r="A172" s="64" t="s">
        <v>1947</v>
      </c>
      <c r="B172" s="62" t="str">
        <f t="shared" si="2"/>
        <v>investmentSchemeOrCompany</v>
      </c>
      <c r="C172" s="62" t="str">
        <f>IF(B172="", "", VLOOKUP(B172,'API Data Dictionary'!C:J,8,FALSE))</f>
        <v>X</v>
      </c>
      <c r="D172" s="62" t="str">
        <f>IF(B172="", "", VLOOKUP(B172,'API Data Dictionary'!C:D,2,FALSE))</f>
        <v>string</v>
      </c>
      <c r="E172" s="62">
        <f>IF(IF(B172="", "", VLOOKUP(B172,'API Data Dictionary'!C:E,3,FALSE))=0, "", IF(B172="", "", VLOOKUP(B172,'API Data Dictionary'!C:E,3,FALSE)))</f>
        <v>100</v>
      </c>
      <c r="F172" s="62" t="str">
        <f>IF(IF(B172="", "", VLOOKUP(B172,'API Data Dictionary'!C:F,4,FALSE))=0, "", IF(B172="", "", VLOOKUP(B172,'API Data Dictionary'!C:F,4,FALSE)))</f>
        <v/>
      </c>
      <c r="G172" s="62" t="str">
        <f>IF(IF(B172="", "", VLOOKUP(B172,'API Data Dictionary'!C:G,5,FALSE))=0, "", IF(B172="", "", VLOOKUP(B172,'API Data Dictionary'!C:G,5,FALSE)))</f>
        <v>Name of the investment scheme or company</v>
      </c>
    </row>
    <row r="173" spans="1:7" ht="15" customHeight="1" x14ac:dyDescent="0.35">
      <c r="A173" s="64" t="s">
        <v>1948</v>
      </c>
      <c r="B173" s="62" t="str">
        <f t="shared" si="2"/>
        <v>investmentAmount</v>
      </c>
      <c r="C173" s="62" t="str">
        <f>IF(B173="", "", VLOOKUP(B173,'API Data Dictionary'!C:J,8,FALSE))</f>
        <v>X</v>
      </c>
      <c r="D173" s="62" t="str">
        <f>IF(B173="", "", VLOOKUP(B173,'API Data Dictionary'!C:D,2,FALSE))</f>
        <v>number ($double)</v>
      </c>
      <c r="E173" s="62" t="str">
        <f>IF(IF(B173="", "", VLOOKUP(B173,'API Data Dictionary'!C:E,3,FALSE))=0, "", IF(B173="", "", VLOOKUP(B173,'API Data Dictionary'!C:E,3,FALSE)))</f>
        <v/>
      </c>
      <c r="F173" s="62" t="str">
        <f>IF(IF(B173="", "", VLOOKUP(B173,'API Data Dictionary'!C:F,4,FALSE))=0, "", IF(B173="", "", VLOOKUP(B173,'API Data Dictionary'!C:F,4,FALSE)))</f>
        <v>pattern: ^\d*.\d{0,2}$</v>
      </c>
      <c r="G173" s="62" t="str">
        <f>IF(IF(B173="", "", VLOOKUP(B173,'API Data Dictionary'!C:G,5,FALSE))=0, "", IF(B173="", "", VLOOKUP(B173,'API Data Dictionary'!C:G,5,FALSE)))</f>
        <v>Amount of investment in GBP</v>
      </c>
    </row>
    <row r="174" spans="1:7" ht="15" customHeight="1" x14ac:dyDescent="0.35">
      <c r="A174" s="64" t="s">
        <v>1828</v>
      </c>
      <c r="B174" s="62" t="str">
        <f t="shared" si="2"/>
        <v/>
      </c>
      <c r="C174" s="62" t="s">
        <v>68</v>
      </c>
      <c r="D174" s="62" t="str">
        <f>IF(B174="", "", VLOOKUP(B174,'API Data Dictionary'!C:D,2,FALSE))</f>
        <v/>
      </c>
      <c r="E174" s="62" t="str">
        <f>IF(IF(B174="", "", VLOOKUP(B174,'API Data Dictionary'!C:E,3,FALSE))=0, "", IF(B174="", "", VLOOKUP(B174,'API Data Dictionary'!C:E,3,FALSE)))</f>
        <v/>
      </c>
      <c r="F174" s="62" t="str">
        <f>IF(IF(B174="", "", VLOOKUP(B174,'API Data Dictionary'!C:F,4,FALSE))=0, "", IF(B174="", "", VLOOKUP(B174,'API Data Dictionary'!C:F,4,FALSE)))</f>
        <v/>
      </c>
      <c r="G174" s="62" t="str">
        <f>IF(IF(B174="", "", VLOOKUP(B174,'API Data Dictionary'!C:G,5,FALSE))=0, "", IF(B174="", "", VLOOKUP(B174,'API Data Dictionary'!C:G,5,FALSE)))</f>
        <v/>
      </c>
    </row>
    <row r="175" spans="1:7" ht="15" customHeight="1" x14ac:dyDescent="0.35">
      <c r="A175" s="64" t="s">
        <v>1840</v>
      </c>
      <c r="B175" s="62" t="str">
        <f t="shared" si="2"/>
        <v/>
      </c>
      <c r="C175" s="62" t="str">
        <f>IF(B175="", "", VLOOKUP(B175,'API Data Dictionary'!C:J,8,FALSE))</f>
        <v/>
      </c>
      <c r="D175" s="62" t="str">
        <f>IF(B175="", "", VLOOKUP(B175,'API Data Dictionary'!C:D,2,FALSE))</f>
        <v/>
      </c>
      <c r="E175" s="62" t="str">
        <f>IF(IF(B175="", "", VLOOKUP(B175,'API Data Dictionary'!C:E,3,FALSE))=0, "", IF(B175="", "", VLOOKUP(B175,'API Data Dictionary'!C:E,3,FALSE)))</f>
        <v/>
      </c>
      <c r="F175" s="62" t="str">
        <f>IF(IF(B175="", "", VLOOKUP(B175,'API Data Dictionary'!C:F,4,FALSE))=0, "", IF(B175="", "", VLOOKUP(B175,'API Data Dictionary'!C:F,4,FALSE)))</f>
        <v/>
      </c>
      <c r="G175" s="62" t="str">
        <f>IF(IF(B175="", "", VLOOKUP(B175,'API Data Dictionary'!C:G,5,FALSE))=0, "", IF(B175="", "", VLOOKUP(B175,'API Data Dictionary'!C:G,5,FALSE)))</f>
        <v/>
      </c>
    </row>
    <row r="176" spans="1:7" ht="15" customHeight="1" x14ac:dyDescent="0.35">
      <c r="A176" s="64" t="s">
        <v>1949</v>
      </c>
      <c r="B176" s="62" t="str">
        <f t="shared" si="2"/>
        <v>savingsAmount</v>
      </c>
      <c r="C176" s="62" t="str">
        <f>IF(B176="", "", VLOOKUP(B176,'API Data Dictionary'!C:J,8,FALSE))</f>
        <v>X</v>
      </c>
      <c r="D176" s="62" t="str">
        <f>IF(B176="", "", VLOOKUP(B176,'API Data Dictionary'!C:D,2,FALSE))</f>
        <v>integer</v>
      </c>
      <c r="E176" s="62" t="str">
        <f>IF(IF(B176="", "", VLOOKUP(B176,'API Data Dictionary'!C:E,3,FALSE))=0, "", IF(B176="", "", VLOOKUP(B176,'API Data Dictionary'!C:E,3,FALSE)))</f>
        <v/>
      </c>
      <c r="F176" s="62" t="str">
        <f>IF(IF(B176="", "", VLOOKUP(B176,'API Data Dictionary'!C:F,4,FALSE))=0, "", IF(B176="", "", VLOOKUP(B176,'API Data Dictionary'!C:F,4,FALSE)))</f>
        <v/>
      </c>
      <c r="G176" s="62" t="str">
        <f>IF(IF(B176="", "", VLOOKUP(B176,'API Data Dictionary'!C:G,5,FALSE))=0, "", IF(B176="", "", VLOOKUP(B176,'API Data Dictionary'!C:G,5,FALSE)))</f>
        <v>The amount of savings in GBP, to the nearest whole number</v>
      </c>
    </row>
    <row r="177" spans="1:7" ht="15" customHeight="1" x14ac:dyDescent="0.35">
      <c r="A177" s="64" t="s">
        <v>1828</v>
      </c>
      <c r="B177" s="62" t="str">
        <f t="shared" si="2"/>
        <v/>
      </c>
      <c r="C177" s="62" t="str">
        <f>IF(B177="", "", VLOOKUP(B177,'API Data Dictionary'!C:J,8,FALSE))</f>
        <v/>
      </c>
      <c r="D177" s="62" t="str">
        <f>IF(B177="", "", VLOOKUP(B177,'API Data Dictionary'!C:D,2,FALSE))</f>
        <v/>
      </c>
      <c r="E177" s="62" t="str">
        <f>IF(IF(B177="", "", VLOOKUP(B177,'API Data Dictionary'!C:E,3,FALSE))=0, "", IF(B177="", "", VLOOKUP(B177,'API Data Dictionary'!C:E,3,FALSE)))</f>
        <v/>
      </c>
      <c r="F177" s="62" t="str">
        <f>IF(IF(B177="", "", VLOOKUP(B177,'API Data Dictionary'!C:F,4,FALSE))=0, "", IF(B177="", "", VLOOKUP(B177,'API Data Dictionary'!C:F,4,FALSE)))</f>
        <v/>
      </c>
      <c r="G177" s="62" t="str">
        <f>IF(IF(B177="", "", VLOOKUP(B177,'API Data Dictionary'!C:G,5,FALSE))=0, "", IF(B177="", "", VLOOKUP(B177,'API Data Dictionary'!C:G,5,FALSE)))</f>
        <v/>
      </c>
    </row>
    <row r="178" spans="1:7" ht="15" customHeight="1" x14ac:dyDescent="0.35">
      <c r="A178" s="64" t="s">
        <v>1841</v>
      </c>
      <c r="B178" s="62" t="str">
        <f t="shared" si="2"/>
        <v/>
      </c>
      <c r="C178" s="62" t="str">
        <f>IF(B178="", "", VLOOKUP(B178,'API Data Dictionary'!C:J,8,FALSE))</f>
        <v/>
      </c>
      <c r="D178" s="62" t="str">
        <f>IF(B178="", "", VLOOKUP(B178,'API Data Dictionary'!C:D,2,FALSE))</f>
        <v/>
      </c>
      <c r="E178" s="62" t="str">
        <f>IF(IF(B178="", "", VLOOKUP(B178,'API Data Dictionary'!C:E,3,FALSE))=0, "", IF(B178="", "", VLOOKUP(B178,'API Data Dictionary'!C:E,3,FALSE)))</f>
        <v/>
      </c>
      <c r="F178" s="62" t="str">
        <f>IF(IF(B178="", "", VLOOKUP(B178,'API Data Dictionary'!C:F,4,FALSE))=0, "", IF(B178="", "", VLOOKUP(B178,'API Data Dictionary'!C:F,4,FALSE)))</f>
        <v/>
      </c>
      <c r="G178" s="62" t="str">
        <f>IF(IF(B178="", "", VLOOKUP(B178,'API Data Dictionary'!C:G,5,FALSE))=0, "", IF(B178="", "", VLOOKUP(B178,'API Data Dictionary'!C:G,5,FALSE)))</f>
        <v/>
      </c>
    </row>
    <row r="179" spans="1:7" ht="15" customHeight="1" x14ac:dyDescent="0.35">
      <c r="A179" s="64" t="s">
        <v>1950</v>
      </c>
      <c r="B179" s="62" t="str">
        <f t="shared" ref="B179:B202" si="3">IF(OR(ISNUMBER(SEARCH("{", A179)),ISNUMBER(SEARCH("[", A179))), "", IFERROR(MID(A179, SEARCH("""", A179) +1, SEARCH("""", A179, SEARCH("""",A179) +1) - SEARCH("""", A179) -1), ""))</f>
        <v>applicantBenefitsReceived</v>
      </c>
      <c r="C179" s="62" t="str">
        <f>IF(B179="", "", VLOOKUP(B179,'API Data Dictionary'!C:J,8,FALSE))</f>
        <v>X</v>
      </c>
      <c r="D179" s="62" t="str">
        <f>IF(B179="", "", VLOOKUP(B179,'API Data Dictionary'!C:D,2,FALSE))</f>
        <v>boolean</v>
      </c>
      <c r="E179" s="62" t="str">
        <f>IF(IF(B179="", "", VLOOKUP(B179,'API Data Dictionary'!C:E,3,FALSE))=0, "", IF(B179="", "", VLOOKUP(B179,'API Data Dictionary'!C:E,3,FALSE)))</f>
        <v/>
      </c>
      <c r="F179" s="62" t="str">
        <f>IF(IF(B179="", "", VLOOKUP(B179,'API Data Dictionary'!C:F,4,FALSE))=0, "", IF(B179="", "", VLOOKUP(B179,'API Data Dictionary'!C:F,4,FALSE)))</f>
        <v/>
      </c>
      <c r="G179" s="62" t="str">
        <f>IF(IF(B179="", "", VLOOKUP(B179,'API Data Dictionary'!C:G,5,FALSE))=0, "", IF(B179="", "", VLOOKUP(B179,'API Data Dictionary'!C:G,5,FALSE)))</f>
        <v>Denotes if benefits are recieved</v>
      </c>
    </row>
    <row r="180" spans="1:7" ht="15" customHeight="1" x14ac:dyDescent="0.35">
      <c r="A180" s="64" t="s">
        <v>1905</v>
      </c>
      <c r="B180" s="62" t="str">
        <f t="shared" si="3"/>
        <v>netMonthlyIncome</v>
      </c>
      <c r="C180" s="62" t="s">
        <v>68</v>
      </c>
      <c r="D180" s="62" t="str">
        <f>IF(B180="", "", VLOOKUP(B180,'API Data Dictionary'!C:D,2,FALSE))</f>
        <v>number ($double)</v>
      </c>
      <c r="E180" s="62" t="str">
        <f>IF(IF(B180="", "", VLOOKUP(B180,'API Data Dictionary'!C:E,3,FALSE))=0, "", IF(B180="", "", VLOOKUP(B180,'API Data Dictionary'!C:E,3,FALSE)))</f>
        <v/>
      </c>
      <c r="F180" s="62" t="str">
        <f>IF(IF(B180="", "", VLOOKUP(B180,'API Data Dictionary'!C:F,4,FALSE))=0, "", IF(B180="", "", VLOOKUP(B180,'API Data Dictionary'!C:F,4,FALSE)))</f>
        <v>pattern: ^\d*.\d{0,2}$</v>
      </c>
      <c r="G180" s="62" t="str">
        <f>IF(IF(B180="", "", VLOOKUP(B180,'API Data Dictionary'!C:G,5,FALSE))=0, "", IF(B180="", "", VLOOKUP(B180,'API Data Dictionary'!C:G,5,FALSE)))</f>
        <v>Amount of Net monthly income in GBP</v>
      </c>
    </row>
    <row r="181" spans="1:7" ht="15" customHeight="1" x14ac:dyDescent="0.35">
      <c r="A181" s="64" t="s">
        <v>1951</v>
      </c>
      <c r="B181" s="62" t="str">
        <f t="shared" si="3"/>
        <v>grossAnnualIncome</v>
      </c>
      <c r="C181" s="62">
        <f>IF(B181="", "", VLOOKUP(B181,'API Data Dictionary'!C:J,8,FALSE))</f>
        <v>0</v>
      </c>
      <c r="D181" s="62" t="str">
        <f>IF(B181="", "", VLOOKUP(B181,'API Data Dictionary'!C:D,2,FALSE))</f>
        <v>number ($double)</v>
      </c>
      <c r="E181" s="62" t="str">
        <f>IF(IF(B181="", "", VLOOKUP(B181,'API Data Dictionary'!C:E,3,FALSE))=0, "", IF(B181="", "", VLOOKUP(B181,'API Data Dictionary'!C:E,3,FALSE)))</f>
        <v/>
      </c>
      <c r="F181" s="62" t="str">
        <f>IF(IF(B181="", "", VLOOKUP(B181,'API Data Dictionary'!C:F,4,FALSE))=0, "", IF(B181="", "", VLOOKUP(B181,'API Data Dictionary'!C:F,4,FALSE)))</f>
        <v>pattern: ^\d*.\d{0,2}$</v>
      </c>
      <c r="G181" s="62" t="str">
        <f>IF(IF(B181="", "", VLOOKUP(B181,'API Data Dictionary'!C:G,5,FALSE))=0, "", IF(B181="", "", VLOOKUP(B181,'API Data Dictionary'!C:G,5,FALSE)))</f>
        <v>Amount ofgross annual income in GBP</v>
      </c>
    </row>
    <row r="182" spans="1:7" ht="15" customHeight="1" x14ac:dyDescent="0.35">
      <c r="A182" s="64" t="s">
        <v>1952</v>
      </c>
      <c r="B182" s="62" t="str">
        <f t="shared" si="3"/>
        <v>taxCredit</v>
      </c>
      <c r="C182" s="62" t="str">
        <f>IF(B182="", "", VLOOKUP(B182,'API Data Dictionary'!C:J,8,FALSE))</f>
        <v>X</v>
      </c>
      <c r="D182" s="62" t="str">
        <f>IF(B182="", "", VLOOKUP(B182,'API Data Dictionary'!C:D,2,FALSE))</f>
        <v>boolean</v>
      </c>
      <c r="E182" s="62" t="str">
        <f>IF(IF(B182="", "", VLOOKUP(B182,'API Data Dictionary'!C:E,3,FALSE))=0, "", IF(B182="", "", VLOOKUP(B182,'API Data Dictionary'!C:E,3,FALSE)))</f>
        <v/>
      </c>
      <c r="F182" s="62" t="str">
        <f>IF(IF(B182="", "", VLOOKUP(B182,'API Data Dictionary'!C:F,4,FALSE))=0, "", IF(B182="", "", VLOOKUP(B182,'API Data Dictionary'!C:F,4,FALSE)))</f>
        <v/>
      </c>
      <c r="G182" s="62" t="str">
        <f>IF(IF(B182="", "", VLOOKUP(B182,'API Data Dictionary'!C:G,5,FALSE))=0, "", IF(B182="", "", VLOOKUP(B182,'API Data Dictionary'!C:G,5,FALSE)))</f>
        <v>Denotes if is tax credit</v>
      </c>
    </row>
    <row r="183" spans="1:7" ht="15" customHeight="1" x14ac:dyDescent="0.35">
      <c r="A183" s="64" t="s">
        <v>1953</v>
      </c>
      <c r="B183" s="62" t="str">
        <f t="shared" si="3"/>
        <v>carerAllowance</v>
      </c>
      <c r="C183" s="62" t="str">
        <f>IF(B183="", "", VLOOKUP(B183,'API Data Dictionary'!C:J,8,FALSE))</f>
        <v>X</v>
      </c>
      <c r="D183" s="62" t="str">
        <f>IF(B183="", "", VLOOKUP(B183,'API Data Dictionary'!C:D,2,FALSE))</f>
        <v>boolean</v>
      </c>
      <c r="E183" s="62" t="str">
        <f>IF(IF(B183="", "", VLOOKUP(B183,'API Data Dictionary'!C:E,3,FALSE))=0, "", IF(B183="", "", VLOOKUP(B183,'API Data Dictionary'!C:E,3,FALSE)))</f>
        <v/>
      </c>
      <c r="F183" s="62" t="str">
        <f>IF(IF(B183="", "", VLOOKUP(B183,'API Data Dictionary'!C:F,4,FALSE))=0, "", IF(B183="", "", VLOOKUP(B183,'API Data Dictionary'!C:F,4,FALSE)))</f>
        <v/>
      </c>
      <c r="G183" s="62" t="str">
        <f>IF(IF(B183="", "", VLOOKUP(B183,'API Data Dictionary'!C:G,5,FALSE))=0, "", IF(B183="", "", VLOOKUP(B183,'API Data Dictionary'!C:G,5,FALSE)))</f>
        <v>Denotes if carer allowance is received</v>
      </c>
    </row>
    <row r="184" spans="1:7" ht="15" customHeight="1" x14ac:dyDescent="0.35">
      <c r="A184" s="64" t="s">
        <v>1954</v>
      </c>
      <c r="B184" s="62" t="str">
        <f t="shared" si="3"/>
        <v>childBenefit</v>
      </c>
      <c r="C184" s="62" t="str">
        <f>IF(B184="", "", VLOOKUP(B184,'API Data Dictionary'!C:J,8,FALSE))</f>
        <v>X</v>
      </c>
      <c r="D184" s="62" t="str">
        <f>IF(B184="", "", VLOOKUP(B184,'API Data Dictionary'!C:D,2,FALSE))</f>
        <v>boolean</v>
      </c>
      <c r="E184" s="62" t="str">
        <f>IF(IF(B184="", "", VLOOKUP(B184,'API Data Dictionary'!C:E,3,FALSE))=0, "", IF(B184="", "", VLOOKUP(B184,'API Data Dictionary'!C:E,3,FALSE)))</f>
        <v/>
      </c>
      <c r="F184" s="62" t="str">
        <f>IF(IF(B184="", "", VLOOKUP(B184,'API Data Dictionary'!C:F,4,FALSE))=0, "", IF(B184="", "", VLOOKUP(B184,'API Data Dictionary'!C:F,4,FALSE)))</f>
        <v/>
      </c>
      <c r="G184" s="62" t="str">
        <f>IF(IF(B184="", "", VLOOKUP(B184,'API Data Dictionary'!C:G,5,FALSE))=0, "", IF(B184="", "", VLOOKUP(B184,'API Data Dictionary'!C:G,5,FALSE)))</f>
        <v>Denotes if child benfit is received</v>
      </c>
    </row>
    <row r="185" spans="1:7" ht="15" customHeight="1" x14ac:dyDescent="0.35">
      <c r="A185" s="64" t="s">
        <v>1955</v>
      </c>
      <c r="B185" s="62" t="str">
        <f t="shared" si="3"/>
        <v>disabilityBenefit</v>
      </c>
      <c r="C185" s="62" t="str">
        <f>IF(B185="", "", VLOOKUP(B185,'API Data Dictionary'!C:J,8,FALSE))</f>
        <v>X</v>
      </c>
      <c r="D185" s="62" t="str">
        <f>IF(B185="", "", VLOOKUP(B185,'API Data Dictionary'!C:D,2,FALSE))</f>
        <v>boolean</v>
      </c>
      <c r="E185" s="62" t="str">
        <f>IF(IF(B185="", "", VLOOKUP(B185,'API Data Dictionary'!C:E,3,FALSE))=0, "", IF(B185="", "", VLOOKUP(B185,'API Data Dictionary'!C:E,3,FALSE)))</f>
        <v/>
      </c>
      <c r="F185" s="62" t="str">
        <f>IF(IF(B185="", "", VLOOKUP(B185,'API Data Dictionary'!C:F,4,FALSE))=0, "", IF(B185="", "", VLOOKUP(B185,'API Data Dictionary'!C:F,4,FALSE)))</f>
        <v/>
      </c>
      <c r="G185" s="62" t="str">
        <f>IF(IF(B185="", "", VLOOKUP(B185,'API Data Dictionary'!C:G,5,FALSE))=0, "", IF(B185="", "", VLOOKUP(B185,'API Data Dictionary'!C:G,5,FALSE)))</f>
        <v>Denotes if disablity Benefit is Recieved</v>
      </c>
    </row>
    <row r="186" spans="1:7" ht="15" customHeight="1" x14ac:dyDescent="0.35">
      <c r="A186" s="64" t="s">
        <v>1956</v>
      </c>
      <c r="B186" s="62" t="str">
        <f t="shared" si="3"/>
        <v>fosterAllowance</v>
      </c>
      <c r="C186" s="62" t="str">
        <f>IF(B186="", "", VLOOKUP(B186,'API Data Dictionary'!C:J,8,FALSE))</f>
        <v>X</v>
      </c>
      <c r="D186" s="62" t="str">
        <f>IF(B186="", "", VLOOKUP(B186,'API Data Dictionary'!C:D,2,FALSE))</f>
        <v>boolean</v>
      </c>
      <c r="E186" s="62" t="str">
        <f>IF(IF(B186="", "", VLOOKUP(B186,'API Data Dictionary'!C:E,3,FALSE))=0, "", IF(B186="", "", VLOOKUP(B186,'API Data Dictionary'!C:E,3,FALSE)))</f>
        <v/>
      </c>
      <c r="F186" s="62" t="str">
        <f>IF(IF(B186="", "", VLOOKUP(B186,'API Data Dictionary'!C:F,4,FALSE))=0, "", IF(B186="", "", VLOOKUP(B186,'API Data Dictionary'!C:F,4,FALSE)))</f>
        <v/>
      </c>
      <c r="G186" s="62" t="str">
        <f>IF(IF(B186="", "", VLOOKUP(B186,'API Data Dictionary'!C:G,5,FALSE))=0, "", IF(B186="", "", VLOOKUP(B186,'API Data Dictionary'!C:G,5,FALSE)))</f>
        <v>Denotes if foster allowance is recieved</v>
      </c>
    </row>
    <row r="187" spans="1:7" ht="15" customHeight="1" x14ac:dyDescent="0.35">
      <c r="A187" s="64" t="s">
        <v>1957</v>
      </c>
      <c r="B187" s="62" t="str">
        <f t="shared" si="3"/>
        <v>guardianAllowance</v>
      </c>
      <c r="C187" s="62" t="str">
        <f>IF(B187="", "", VLOOKUP(B187,'API Data Dictionary'!C:J,8,FALSE))</f>
        <v>X</v>
      </c>
      <c r="D187" s="62" t="str">
        <f>IF(B187="", "", VLOOKUP(B187,'API Data Dictionary'!C:D,2,FALSE))</f>
        <v>boolean</v>
      </c>
      <c r="E187" s="62" t="str">
        <f>IF(IF(B187="", "", VLOOKUP(B187,'API Data Dictionary'!C:E,3,FALSE))=0, "", IF(B187="", "", VLOOKUP(B187,'API Data Dictionary'!C:E,3,FALSE)))</f>
        <v/>
      </c>
      <c r="F187" s="62" t="str">
        <f>IF(IF(B187="", "", VLOOKUP(B187,'API Data Dictionary'!C:F,4,FALSE))=0, "", IF(B187="", "", VLOOKUP(B187,'API Data Dictionary'!C:F,4,FALSE)))</f>
        <v/>
      </c>
      <c r="G187" s="62" t="str">
        <f>IF(IF(B187="", "", VLOOKUP(B187,'API Data Dictionary'!C:G,5,FALSE))=0, "", IF(B187="", "", VLOOKUP(B187,'API Data Dictionary'!C:G,5,FALSE)))</f>
        <v>Denotes if guardian allowance is recieved</v>
      </c>
    </row>
    <row r="188" spans="1:7" ht="15" customHeight="1" x14ac:dyDescent="0.35">
      <c r="A188" s="64" t="s">
        <v>1958</v>
      </c>
      <c r="B188" s="62" t="str">
        <f t="shared" si="3"/>
        <v>childMaintenance</v>
      </c>
      <c r="C188" s="62" t="str">
        <f>IF(B188="", "", VLOOKUP(B188,'API Data Dictionary'!C:J,8,FALSE))</f>
        <v>X</v>
      </c>
      <c r="D188" s="62" t="str">
        <f>IF(B188="", "", VLOOKUP(B188,'API Data Dictionary'!C:D,2,FALSE))</f>
        <v>boolean</v>
      </c>
      <c r="E188" s="62" t="str">
        <f>IF(IF(B188="", "", VLOOKUP(B188,'API Data Dictionary'!C:E,3,FALSE))=0, "", IF(B188="", "", VLOOKUP(B188,'API Data Dictionary'!C:E,3,FALSE)))</f>
        <v/>
      </c>
      <c r="F188" s="62" t="str">
        <f>IF(IF(B188="", "", VLOOKUP(B188,'API Data Dictionary'!C:F,4,FALSE))=0, "", IF(B188="", "", VLOOKUP(B188,'API Data Dictionary'!C:F,4,FALSE)))</f>
        <v/>
      </c>
      <c r="G188" s="62" t="str">
        <f>IF(IF(B188="", "", VLOOKUP(B188,'API Data Dictionary'!C:G,5,FALSE))=0, "", IF(B188="", "", VLOOKUP(B188,'API Data Dictionary'!C:G,5,FALSE)))</f>
        <v>Denotes if Child maintenance is received</v>
      </c>
    </row>
    <row r="189" spans="1:7" ht="15" customHeight="1" x14ac:dyDescent="0.35">
      <c r="A189" s="64" t="s">
        <v>1959</v>
      </c>
      <c r="B189" s="62" t="str">
        <f t="shared" si="3"/>
        <v>housingBenefit</v>
      </c>
      <c r="C189" s="62" t="str">
        <f>IF(B189="", "", VLOOKUP(B189,'API Data Dictionary'!C:J,8,FALSE))</f>
        <v>X</v>
      </c>
      <c r="D189" s="62" t="str">
        <f>IF(B189="", "", VLOOKUP(B189,'API Data Dictionary'!C:D,2,FALSE))</f>
        <v>boolean</v>
      </c>
      <c r="E189" s="62" t="str">
        <f>IF(IF(B189="", "", VLOOKUP(B189,'API Data Dictionary'!C:E,3,FALSE))=0, "", IF(B189="", "", VLOOKUP(B189,'API Data Dictionary'!C:E,3,FALSE)))</f>
        <v/>
      </c>
      <c r="F189" s="62" t="str">
        <f>IF(IF(B189="", "", VLOOKUP(B189,'API Data Dictionary'!C:F,4,FALSE))=0, "", IF(B189="", "", VLOOKUP(B189,'API Data Dictionary'!C:F,4,FALSE)))</f>
        <v/>
      </c>
      <c r="G189" s="62" t="str">
        <f>IF(IF(B189="", "", VLOOKUP(B189,'API Data Dictionary'!C:G,5,FALSE))=0, "", IF(B189="", "", VLOOKUP(B189,'API Data Dictionary'!C:G,5,FALSE)))</f>
        <v>Denotes if shousing benefit is received</v>
      </c>
    </row>
    <row r="190" spans="1:7" ht="15" customHeight="1" x14ac:dyDescent="0.35">
      <c r="A190" s="64" t="s">
        <v>1960</v>
      </c>
      <c r="B190" s="62" t="str">
        <f t="shared" si="3"/>
        <v>employmentSupport</v>
      </c>
      <c r="C190" s="62" t="str">
        <f>IF(B190="", "", VLOOKUP(B190,'API Data Dictionary'!C:J,8,FALSE))</f>
        <v>X</v>
      </c>
      <c r="D190" s="62" t="str">
        <f>IF(B190="", "", VLOOKUP(B190,'API Data Dictionary'!C:D,2,FALSE))</f>
        <v>boolean</v>
      </c>
      <c r="E190" s="62" t="str">
        <f>IF(IF(B190="", "", VLOOKUP(B190,'API Data Dictionary'!C:E,3,FALSE))=0, "", IF(B190="", "", VLOOKUP(B190,'API Data Dictionary'!C:E,3,FALSE)))</f>
        <v/>
      </c>
      <c r="F190" s="62" t="str">
        <f>IF(IF(B190="", "", VLOOKUP(B190,'API Data Dictionary'!C:F,4,FALSE))=0, "", IF(B190="", "", VLOOKUP(B190,'API Data Dictionary'!C:F,4,FALSE)))</f>
        <v/>
      </c>
      <c r="G190" s="62" t="str">
        <f>IF(IF(B190="", "", VLOOKUP(B190,'API Data Dictionary'!C:G,5,FALSE))=0, "", IF(B190="", "", VLOOKUP(B190,'API Data Dictionary'!C:G,5,FALSE)))</f>
        <v>Denotes if employment support is received</v>
      </c>
    </row>
    <row r="191" spans="1:7" ht="15" customHeight="1" x14ac:dyDescent="0.35">
      <c r="A191" s="64" t="s">
        <v>1961</v>
      </c>
      <c r="B191" s="62" t="str">
        <f t="shared" si="3"/>
        <v>universalCredit</v>
      </c>
      <c r="C191" s="62" t="str">
        <f>IF(B191="", "", VLOOKUP(B191,'API Data Dictionary'!C:J,8,FALSE))</f>
        <v>X</v>
      </c>
      <c r="D191" s="62" t="str">
        <f>IF(B191="", "", VLOOKUP(B191,'API Data Dictionary'!C:D,2,FALSE))</f>
        <v>boolean</v>
      </c>
      <c r="E191" s="62" t="str">
        <f>IF(IF(B191="", "", VLOOKUP(B191,'API Data Dictionary'!C:E,3,FALSE))=0, "", IF(B191="", "", VLOOKUP(B191,'API Data Dictionary'!C:E,3,FALSE)))</f>
        <v/>
      </c>
      <c r="F191" s="62" t="str">
        <f>IF(IF(B191="", "", VLOOKUP(B191,'API Data Dictionary'!C:F,4,FALSE))=0, "", IF(B191="", "", VLOOKUP(B191,'API Data Dictionary'!C:F,4,FALSE)))</f>
        <v/>
      </c>
      <c r="G191" s="62" t="str">
        <f>IF(IF(B191="", "", VLOOKUP(B191,'API Data Dictionary'!C:G,5,FALSE))=0, "", IF(B191="", "", VLOOKUP(B191,'API Data Dictionary'!C:G,5,FALSE)))</f>
        <v>Denotes if universal is received</v>
      </c>
    </row>
    <row r="192" spans="1:7" ht="15" customHeight="1" x14ac:dyDescent="0.35">
      <c r="A192" s="64" t="s">
        <v>1962</v>
      </c>
      <c r="B192" s="62" t="str">
        <f t="shared" si="3"/>
        <v>startDate</v>
      </c>
      <c r="C192" s="62">
        <f>IF(B192="", "", VLOOKUP(B192,'API Data Dictionary'!C:J,8,FALSE))</f>
        <v>0</v>
      </c>
      <c r="D192" s="62">
        <f>IF(B192="", "", VLOOKUP(B192,'API Data Dictionary'!C:D,2,FALSE))</f>
        <v>0</v>
      </c>
      <c r="E192" s="62" t="str">
        <f>IF(IF(B192="", "", VLOOKUP(B192,'API Data Dictionary'!C:E,3,FALSE))=0, "", IF(B192="", "", VLOOKUP(B192,'API Data Dictionary'!C:E,3,FALSE)))</f>
        <v/>
      </c>
      <c r="F192" s="62" t="str">
        <f>IF(IF(B192="", "", VLOOKUP(B192,'API Data Dictionary'!C:F,4,FALSE))=0, "", IF(B192="", "", VLOOKUP(B192,'API Data Dictionary'!C:F,4,FALSE)))</f>
        <v/>
      </c>
      <c r="G192" s="62" t="str">
        <f>IF(IF(B192="", "", VLOOKUP(B192,'API Data Dictionary'!C:G,5,FALSE))=0, "", IF(B192="", "", VLOOKUP(B192,'API Data Dictionary'!C:G,5,FALSE)))</f>
        <v/>
      </c>
    </row>
    <row r="193" spans="1:7" ht="15" customHeight="1" x14ac:dyDescent="0.35">
      <c r="A193" s="64" t="s">
        <v>1832</v>
      </c>
      <c r="B193" s="62" t="str">
        <f t="shared" si="3"/>
        <v/>
      </c>
      <c r="C193" s="62" t="str">
        <f>IF(B193="", "", VLOOKUP(B193,'API Data Dictionary'!C:J,8,FALSE))</f>
        <v/>
      </c>
      <c r="D193" s="62" t="str">
        <f>IF(B193="", "", VLOOKUP(B193,'API Data Dictionary'!C:D,2,FALSE))</f>
        <v/>
      </c>
      <c r="E193" s="62" t="str">
        <f>IF(IF(B193="", "", VLOOKUP(B193,'API Data Dictionary'!C:E,3,FALSE))=0, "", IF(B193="", "", VLOOKUP(B193,'API Data Dictionary'!C:E,3,FALSE)))</f>
        <v/>
      </c>
      <c r="F193" s="62" t="str">
        <f>IF(IF(B193="", "", VLOOKUP(B193,'API Data Dictionary'!C:F,4,FALSE))=0, "", IF(B193="", "", VLOOKUP(B193,'API Data Dictionary'!C:F,4,FALSE)))</f>
        <v/>
      </c>
      <c r="G193" s="62" t="str">
        <f>IF(IF(B193="", "", VLOOKUP(B193,'API Data Dictionary'!C:G,5,FALSE))=0, "", IF(B193="", "", VLOOKUP(B193,'API Data Dictionary'!C:G,5,FALSE)))</f>
        <v/>
      </c>
    </row>
    <row r="194" spans="1:7" ht="15" customHeight="1" x14ac:dyDescent="0.35">
      <c r="A194" s="64" t="s">
        <v>1115</v>
      </c>
      <c r="B194" s="62" t="str">
        <f t="shared" si="3"/>
        <v/>
      </c>
      <c r="C194" s="62" t="str">
        <f>IF(B194="", "", VLOOKUP(B194,'API Data Dictionary'!C:J,8,FALSE))</f>
        <v/>
      </c>
      <c r="D194" s="62" t="str">
        <f>IF(B194="", "", VLOOKUP(B194,'API Data Dictionary'!C:D,2,FALSE))</f>
        <v/>
      </c>
      <c r="E194" s="62" t="str">
        <f>IF(IF(B194="", "", VLOOKUP(B194,'API Data Dictionary'!C:E,3,FALSE))=0, "", IF(B194="", "", VLOOKUP(B194,'API Data Dictionary'!C:E,3,FALSE)))</f>
        <v/>
      </c>
      <c r="F194" s="62" t="str">
        <f>IF(IF(B194="", "", VLOOKUP(B194,'API Data Dictionary'!C:F,4,FALSE))=0, "", IF(B194="", "", VLOOKUP(B194,'API Data Dictionary'!C:F,4,FALSE)))</f>
        <v/>
      </c>
      <c r="G194" s="62" t="str">
        <f>IF(IF(B194="", "", VLOOKUP(B194,'API Data Dictionary'!C:G,5,FALSE))=0, "", IF(B194="", "", VLOOKUP(B194,'API Data Dictionary'!C:G,5,FALSE)))</f>
        <v/>
      </c>
    </row>
    <row r="195" spans="1:7" ht="15" customHeight="1" x14ac:dyDescent="0.35">
      <c r="A195" s="64" t="s">
        <v>1116</v>
      </c>
      <c r="B195" s="62" t="str">
        <f t="shared" si="3"/>
        <v/>
      </c>
      <c r="C195" s="62" t="str">
        <f>IF(B195="", "", VLOOKUP(B195,'API Data Dictionary'!C:J,8,FALSE))</f>
        <v/>
      </c>
      <c r="D195" s="62" t="str">
        <f>IF(B195="", "", VLOOKUP(B195,'API Data Dictionary'!C:D,2,FALSE))</f>
        <v/>
      </c>
      <c r="E195" s="62" t="str">
        <f>IF(IF(B195="", "", VLOOKUP(B195,'API Data Dictionary'!C:E,3,FALSE))=0, "", IF(B195="", "", VLOOKUP(B195,'API Data Dictionary'!C:E,3,FALSE)))</f>
        <v/>
      </c>
      <c r="F195" s="62" t="str">
        <f>IF(IF(B195="", "", VLOOKUP(B195,'API Data Dictionary'!C:F,4,FALSE))=0, "", IF(B195="", "", VLOOKUP(B195,'API Data Dictionary'!C:F,4,FALSE)))</f>
        <v/>
      </c>
      <c r="G195" s="62" t="str">
        <f>IF(IF(B195="", "", VLOOKUP(B195,'API Data Dictionary'!C:G,5,FALSE))=0, "", IF(B195="", "", VLOOKUP(B195,'API Data Dictionary'!C:G,5,FALSE)))</f>
        <v/>
      </c>
    </row>
    <row r="196" spans="1:7" ht="15" customHeight="1" x14ac:dyDescent="0.35">
      <c r="A196" s="64" t="s">
        <v>1842</v>
      </c>
      <c r="B196" s="62" t="str">
        <f t="shared" si="3"/>
        <v/>
      </c>
      <c r="C196" s="62" t="str">
        <f>IF(B196="", "", VLOOKUP(B196,'API Data Dictionary'!C:J,8,FALSE))</f>
        <v/>
      </c>
      <c r="D196" s="62" t="str">
        <f>IF(B196="", "", VLOOKUP(B196,'API Data Dictionary'!C:D,2,FALSE))</f>
        <v/>
      </c>
      <c r="E196" s="62" t="str">
        <f>IF(IF(B196="", "", VLOOKUP(B196,'API Data Dictionary'!C:E,3,FALSE))=0, "", IF(B196="", "", VLOOKUP(B196,'API Data Dictionary'!C:E,3,FALSE)))</f>
        <v/>
      </c>
      <c r="F196" s="62" t="str">
        <f>IF(IF(B196="", "", VLOOKUP(B196,'API Data Dictionary'!C:F,4,FALSE))=0, "", IF(B196="", "", VLOOKUP(B196,'API Data Dictionary'!C:F,4,FALSE)))</f>
        <v/>
      </c>
      <c r="G196" s="62" t="str">
        <f>IF(IF(B196="", "", VLOOKUP(B196,'API Data Dictionary'!C:G,5,FALSE))=0, "", IF(B196="", "", VLOOKUP(B196,'API Data Dictionary'!C:G,5,FALSE)))</f>
        <v/>
      </c>
    </row>
    <row r="197" spans="1:7" ht="15" customHeight="1" x14ac:dyDescent="0.35">
      <c r="A197" s="64" t="s">
        <v>1963</v>
      </c>
      <c r="B197" s="62" t="str">
        <f t="shared" si="3"/>
        <v>bankSortCode</v>
      </c>
      <c r="C197" s="62" t="str">
        <f>IF(B197="", "", VLOOKUP(B197,'API Data Dictionary'!C:J,8,FALSE))</f>
        <v>X</v>
      </c>
      <c r="D197" s="62" t="str">
        <f>IF(B197="", "", VLOOKUP(B197,'API Data Dictionary'!C:D,2,FALSE))</f>
        <v>string</v>
      </c>
      <c r="E197" s="62">
        <f>IF(IF(B197="", "", VLOOKUP(B197,'API Data Dictionary'!C:E,3,FALSE))=0, "", IF(B197="", "", VLOOKUP(B197,'API Data Dictionary'!C:E,3,FALSE)))</f>
        <v>6</v>
      </c>
      <c r="F197" s="62" t="str">
        <f>IF(IF(B197="", "", VLOOKUP(B197,'API Data Dictionary'!C:F,4,FALSE))=0, "", IF(B197="", "", VLOOKUP(B197,'API Data Dictionary'!C:F,4,FALSE)))</f>
        <v/>
      </c>
      <c r="G197" s="62" t="str">
        <f>IF(IF(B197="", "", VLOOKUP(B197,'API Data Dictionary'!C:G,5,FALSE))=0, "", IF(B197="", "", VLOOKUP(B197,'API Data Dictionary'!C:G,5,FALSE)))</f>
        <v>Sort code of the bank/building society account</v>
      </c>
    </row>
    <row r="198" spans="1:7" ht="15" customHeight="1" x14ac:dyDescent="0.35">
      <c r="A198" s="64" t="s">
        <v>1964</v>
      </c>
      <c r="B198" s="62" t="str">
        <f t="shared" si="3"/>
        <v>bankAccountNumber</v>
      </c>
      <c r="C198" s="62" t="str">
        <f>IF(B198="", "", VLOOKUP(B198,'API Data Dictionary'!C:J,8,FALSE))</f>
        <v>X</v>
      </c>
      <c r="D198" s="62" t="str">
        <f>IF(B198="", "", VLOOKUP(B198,'API Data Dictionary'!C:D,2,FALSE))</f>
        <v>string</v>
      </c>
      <c r="E198" s="62">
        <f>IF(IF(B198="", "", VLOOKUP(B198,'API Data Dictionary'!C:E,3,FALSE))=0, "", IF(B198="", "", VLOOKUP(B198,'API Data Dictionary'!C:E,3,FALSE)))</f>
        <v>8</v>
      </c>
      <c r="F198" s="62" t="str">
        <f>IF(IF(B198="", "", VLOOKUP(B198,'API Data Dictionary'!C:F,4,FALSE))=0, "", IF(B198="", "", VLOOKUP(B198,'API Data Dictionary'!C:F,4,FALSE)))</f>
        <v/>
      </c>
      <c r="G198" s="62" t="str">
        <f>IF(IF(B198="", "", VLOOKUP(B198,'API Data Dictionary'!C:G,5,FALSE))=0, "", IF(B198="", "", VLOOKUP(B198,'API Data Dictionary'!C:G,5,FALSE)))</f>
        <v>Account Number of the bank/building society account</v>
      </c>
    </row>
    <row r="199" spans="1:7" ht="15" customHeight="1" x14ac:dyDescent="0.35">
      <c r="A199" s="64" t="s">
        <v>1117</v>
      </c>
      <c r="B199" s="62" t="str">
        <f t="shared" si="3"/>
        <v/>
      </c>
      <c r="C199" s="62" t="str">
        <f>IF(B199="", "", VLOOKUP(B199,'API Data Dictionary'!C:J,8,FALSE))</f>
        <v/>
      </c>
      <c r="D199" s="62" t="str">
        <f>IF(B199="", "", VLOOKUP(B199,'API Data Dictionary'!C:D,2,FALSE))</f>
        <v/>
      </c>
      <c r="E199" s="62" t="str">
        <f>IF(IF(B199="", "", VLOOKUP(B199,'API Data Dictionary'!C:E,3,FALSE))=0, "", IF(B199="", "", VLOOKUP(B199,'API Data Dictionary'!C:E,3,FALSE)))</f>
        <v/>
      </c>
      <c r="F199" s="62" t="str">
        <f>IF(IF(B199="", "", VLOOKUP(B199,'API Data Dictionary'!C:F,4,FALSE))=0, "", IF(B199="", "", VLOOKUP(B199,'API Data Dictionary'!C:F,4,FALSE)))</f>
        <v/>
      </c>
      <c r="G199" s="62" t="str">
        <f>IF(IF(B199="", "", VLOOKUP(B199,'API Data Dictionary'!C:G,5,FALSE))=0, "", IF(B199="", "", VLOOKUP(B199,'API Data Dictionary'!C:G,5,FALSE)))</f>
        <v/>
      </c>
    </row>
    <row r="200" spans="1:7" ht="15" customHeight="1" x14ac:dyDescent="0.35">
      <c r="A200" s="64" t="s">
        <v>1118</v>
      </c>
      <c r="B200" s="62" t="str">
        <f t="shared" si="3"/>
        <v/>
      </c>
      <c r="C200" s="62" t="str">
        <f>IF(B200="", "", VLOOKUP(B200,'API Data Dictionary'!C:J,8,FALSE))</f>
        <v/>
      </c>
      <c r="D200" s="62" t="str">
        <f>IF(B200="", "", VLOOKUP(B200,'API Data Dictionary'!C:D,2,FALSE))</f>
        <v/>
      </c>
      <c r="E200" s="62" t="str">
        <f>IF(IF(B200="", "", VLOOKUP(B200,'API Data Dictionary'!C:E,3,FALSE))=0, "", IF(B200="", "", VLOOKUP(B200,'API Data Dictionary'!C:E,3,FALSE)))</f>
        <v/>
      </c>
      <c r="F200" s="62" t="str">
        <f>IF(IF(B200="", "", VLOOKUP(B200,'API Data Dictionary'!C:F,4,FALSE))=0, "", IF(B200="", "", VLOOKUP(B200,'API Data Dictionary'!C:F,4,FALSE)))</f>
        <v/>
      </c>
      <c r="G200" s="62" t="str">
        <f>IF(IF(B200="", "", VLOOKUP(B200,'API Data Dictionary'!C:G,5,FALSE))=0, "", IF(B200="", "", VLOOKUP(B200,'API Data Dictionary'!C:G,5,FALSE)))</f>
        <v/>
      </c>
    </row>
    <row r="201" spans="1:7" ht="15" customHeight="1" x14ac:dyDescent="0.35">
      <c r="A201" s="64" t="s">
        <v>1119</v>
      </c>
      <c r="B201" s="62" t="str">
        <f t="shared" si="3"/>
        <v/>
      </c>
      <c r="C201" s="62" t="str">
        <f>IF(B201="", "", VLOOKUP(B201,'API Data Dictionary'!C:J,8,FALSE))</f>
        <v/>
      </c>
      <c r="D201" s="62" t="str">
        <f>IF(B201="", "", VLOOKUP(B201,'API Data Dictionary'!C:D,2,FALSE))</f>
        <v/>
      </c>
      <c r="E201" s="62" t="str">
        <f>IF(IF(B201="", "", VLOOKUP(B201,'API Data Dictionary'!C:E,3,FALSE))=0, "", IF(B201="", "", VLOOKUP(B201,'API Data Dictionary'!C:E,3,FALSE)))</f>
        <v/>
      </c>
      <c r="F201" s="62" t="str">
        <f>IF(IF(B201="", "", VLOOKUP(B201,'API Data Dictionary'!C:F,4,FALSE))=0, "", IF(B201="", "", VLOOKUP(B201,'API Data Dictionary'!C:F,4,FALSE)))</f>
        <v/>
      </c>
      <c r="G201" s="62" t="str">
        <f>IF(IF(B201="", "", VLOOKUP(B201,'API Data Dictionary'!C:G,5,FALSE))=0, "", IF(B201="", "", VLOOKUP(B201,'API Data Dictionary'!C:G,5,FALSE)))</f>
        <v/>
      </c>
    </row>
    <row r="202" spans="1:7" ht="15" customHeight="1" x14ac:dyDescent="0.35">
      <c r="A202" s="64" t="s">
        <v>1120</v>
      </c>
      <c r="B202" s="62" t="str">
        <f t="shared" si="3"/>
        <v/>
      </c>
      <c r="C202" s="62" t="str">
        <f>IF(B202="", "", VLOOKUP(B202,'API Data Dictionary'!C:J,8,FALSE))</f>
        <v/>
      </c>
      <c r="D202" s="62" t="str">
        <f>IF(B202="", "", VLOOKUP(B202,'API Data Dictionary'!C:D,2,FALSE))</f>
        <v/>
      </c>
      <c r="E202" s="62" t="str">
        <f>IF(IF(B202="", "", VLOOKUP(B202,'API Data Dictionary'!C:E,3,FALSE))=0, "", IF(B202="", "", VLOOKUP(B202,'API Data Dictionary'!C:E,3,FALSE)))</f>
        <v/>
      </c>
      <c r="F202" s="62" t="str">
        <f>IF(IF(B202="", "", VLOOKUP(B202,'API Data Dictionary'!C:F,4,FALSE))=0, "", IF(B202="", "", VLOOKUP(B202,'API Data Dictionary'!C:F,4,FALSE)))</f>
        <v/>
      </c>
      <c r="G202" s="62" t="str">
        <f>IF(IF(B202="", "", VLOOKUP(B202,'API Data Dictionary'!C:G,5,FALSE))=0, "", IF(B202="", "", VLOOKUP(B202,'API Data Dictionary'!C:G,5,FALSE)))</f>
        <v/>
      </c>
    </row>
    <row r="203" spans="1:7" ht="15" customHeight="1" x14ac:dyDescent="0.35">
      <c r="A203" s="103"/>
      <c r="B203" s="103"/>
      <c r="C203" s="103"/>
      <c r="D203" s="103"/>
      <c r="E203" s="103"/>
      <c r="F203" s="103"/>
      <c r="G203" s="103"/>
    </row>
    <row r="204" spans="1:7" ht="15" customHeight="1" x14ac:dyDescent="0.35">
      <c r="A204" s="222" t="s">
        <v>1751</v>
      </c>
      <c r="B204" s="222"/>
      <c r="C204" s="222"/>
      <c r="D204" s="222"/>
      <c r="E204" s="222"/>
      <c r="F204" s="222"/>
      <c r="G204" s="222"/>
    </row>
    <row r="205" spans="1:7" ht="15" customHeight="1" x14ac:dyDescent="0.35">
      <c r="A205" s="64" t="s">
        <v>1094</v>
      </c>
      <c r="B205" s="62" t="str">
        <f>IF(OR(ISNUMBER(SEARCH("{", A205)),ISNUMBER(SEARCH("[", A205))), "", IFERROR(MID(A205, SEARCH("""", A205) +1, SEARCH("""", A205, SEARCH("""",A205) +1) - SEARCH("""", A205) -1), ""))</f>
        <v/>
      </c>
      <c r="C205" s="62" t="str">
        <f>IF(B205="", "", VLOOKUP(B205,'API Data Dictionary'!C:J,8,FALSE))</f>
        <v/>
      </c>
      <c r="D205" s="62" t="str">
        <f>IF(B205="", "", VLOOKUP(B205,'API Data Dictionary'!C:D,2,FALSE))</f>
        <v/>
      </c>
      <c r="E205" s="62" t="str">
        <f>IF(IF(B205="", "", VLOOKUP(B205,'API Data Dictionary'!C:E,3,FALSE))=0, "", IF(B205="", "", VLOOKUP(B205,'API Data Dictionary'!C:E,3,FALSE)))</f>
        <v/>
      </c>
      <c r="F205" s="62" t="str">
        <f>IF(IF(B205="", "", VLOOKUP(B205,'API Data Dictionary'!C:F,4,FALSE))=0, "", IF(B205="", "", VLOOKUP(B205,'API Data Dictionary'!C:F,4,FALSE)))</f>
        <v/>
      </c>
      <c r="G205" s="62" t="str">
        <f>IF(IF(B205="", "", VLOOKUP(B205,'API Data Dictionary'!C:G,5,FALSE))=0, "", IF(B205="", "", VLOOKUP(B205,'API Data Dictionary'!C:G,5,FALSE)))</f>
        <v/>
      </c>
    </row>
    <row r="206" spans="1:7" ht="15" customHeight="1" x14ac:dyDescent="0.35">
      <c r="A206" s="64" t="s">
        <v>1350</v>
      </c>
      <c r="B206" s="62" t="str">
        <f>IF(OR(ISNUMBER(SEARCH("{", A206)),ISNUMBER(SEARCH("[", A206))), "", IFERROR(MID(A206, SEARCH("""", A206) +1, SEARCH("""", A206, SEARCH("""",A206) +1) - SEARCH("""", A206) -1), ""))</f>
        <v>success</v>
      </c>
      <c r="C206" s="62" t="s">
        <v>68</v>
      </c>
      <c r="D206" s="62" t="str">
        <f>IF(B206="", "", VLOOKUP(B206,'API Data Dictionary'!C:D,2,FALSE))</f>
        <v>string - Boolean</v>
      </c>
      <c r="E206" s="62">
        <f>IF(IF(B206="", "", VLOOKUP(B206,'API Data Dictionary'!C:E,3,FALSE))=0, "", IF(B206="", "", VLOOKUP(B206,'API Data Dictionary'!C:E,3,FALSE)))</f>
        <v>100</v>
      </c>
      <c r="F206" s="62" t="str">
        <f>IF(IF(B206="", "", VLOOKUP(B206,'API Data Dictionary'!C:F,4,FALSE))=0, "", IF(B206="", "", VLOOKUP(B206,'API Data Dictionary'!C:F,4,FALSE)))</f>
        <v/>
      </c>
      <c r="G206" s="62" t="str">
        <f>IF(IF(B206="", "", VLOOKUP(B206,'API Data Dictionary'!C:G,5,FALSE))=0, "", IF(B206="", "", VLOOKUP(B206,'API Data Dictionary'!C:G,5,FALSE)))</f>
        <v>Returns true when successful call/connection</v>
      </c>
    </row>
    <row r="207" spans="1:7" ht="15" customHeight="1" x14ac:dyDescent="0.35">
      <c r="A207" s="64" t="s">
        <v>1377</v>
      </c>
      <c r="B207" s="62" t="str">
        <f>IF(OR(ISNUMBER(SEARCH("{", A207)),ISNUMBER(SEARCH("[", A207))), "", IFERROR(MID(A207, SEARCH("""", A207) +1, SEARCH("""", A207, SEARCH("""",A207) +1) - SEARCH("""", A207) -1), ""))</f>
        <v/>
      </c>
      <c r="C207" s="62" t="str">
        <f>IF(B207="", "", VLOOKUP(B207,'API Data Dictionary'!C:J,8,FALSE))</f>
        <v/>
      </c>
      <c r="D207" s="62" t="str">
        <f>IF(B207="", "", VLOOKUP(B207,'API Data Dictionary'!C:D,2,FALSE))</f>
        <v/>
      </c>
      <c r="E207" s="62" t="str">
        <f>IF(IF(B207="", "", VLOOKUP(B207,'API Data Dictionary'!C:E,3,FALSE))=0, "", IF(B207="", "", VLOOKUP(B207,'API Data Dictionary'!C:E,3,FALSE)))</f>
        <v/>
      </c>
      <c r="F207" s="62" t="str">
        <f>IF(IF(B207="", "", VLOOKUP(B207,'API Data Dictionary'!C:F,4,FALSE))=0, "", IF(B207="", "", VLOOKUP(B207,'API Data Dictionary'!C:F,4,FALSE)))</f>
        <v/>
      </c>
      <c r="G207" s="62" t="str">
        <f>IF(IF(B207="", "", VLOOKUP(B207,'API Data Dictionary'!C:G,5,FALSE))=0, "", IF(B207="", "", VLOOKUP(B207,'API Data Dictionary'!C:G,5,FALSE)))</f>
        <v/>
      </c>
    </row>
    <row r="208" spans="1:7" ht="15" customHeight="1" x14ac:dyDescent="0.35">
      <c r="A208" s="64" t="s">
        <v>1378</v>
      </c>
      <c r="B208" s="62" t="str">
        <f>IF(OR(ISNUMBER(SEARCH("{", A208)),ISNUMBER(SEARCH("[", A208))), "", IFERROR(MID(A208, SEARCH("""", A208) +1, SEARCH("""", A208, SEARCH("""",A208) +1) - SEARCH("""", A208) -1), ""))</f>
        <v>agentCode</v>
      </c>
      <c r="C208" s="62" t="s">
        <v>68</v>
      </c>
      <c r="D208" s="62" t="str">
        <f>IF(B208="", "", VLOOKUP(B208,'API Data Dictionary'!C:D,2,FALSE))</f>
        <v>string</v>
      </c>
      <c r="E208" s="62">
        <f>IF(IF(B208="", "", VLOOKUP(B208,'API Data Dictionary'!C:E,3,FALSE))=0, "", IF(B208="", "", VLOOKUP(B208,'API Data Dictionary'!C:E,3,FALSE)))</f>
        <v>50</v>
      </c>
      <c r="F208" s="62" t="str">
        <f>IF(IF(B208="", "", VLOOKUP(B208,'API Data Dictionary'!C:F,4,FALSE))=0, "", IF(B208="", "", VLOOKUP(B208,'API Data Dictionary'!C:F,4,FALSE)))</f>
        <v/>
      </c>
      <c r="G208" s="62" t="str">
        <f>IF(IF(B208="", "", VLOOKUP(B208,'API Data Dictionary'!C:G,5,FALSE))=0, "", IF(B208="", "", VLOOKUP(B208,'API Data Dictionary'!C:G,5,FALSE)))</f>
        <v>AgentCode is the Unique Key provided to the Agent when onboarding as a Barbon Customer.
An AgentID may be linked to many Properties being managed by that Agent and Each property may be linked to 1 or more TenancyID's.</v>
      </c>
    </row>
    <row r="209" spans="1:7" ht="15" customHeight="1" x14ac:dyDescent="0.35">
      <c r="A209" s="64" t="s">
        <v>1379</v>
      </c>
      <c r="B209" s="62" t="str">
        <f>IF(OR(ISNUMBER(SEARCH("{", A209)),ISNUMBER(SEARCH("[", A209))), "", IFERROR(MID(A209, SEARCH("""", A209) +1, SEARCH("""", A209, SEARCH("""",A209) +1) - SEARCH("""", A209) -1), ""))</f>
        <v>propertyTenancyId</v>
      </c>
      <c r="C209" s="62" t="s">
        <v>68</v>
      </c>
      <c r="D209" s="62" t="str">
        <f>IF(B209="", "", VLOOKUP(B209,'API Data Dictionary'!C:D,2,FALSE))</f>
        <v>integer</v>
      </c>
      <c r="E209" s="62" t="str">
        <f>IF(IF(B209="", "", VLOOKUP(B209,'API Data Dictionary'!C:E,3,FALSE))=0, "", IF(B209="", "", VLOOKUP(B209,'API Data Dictionary'!C:E,3,FALSE)))</f>
        <v/>
      </c>
      <c r="F209" s="62" t="str">
        <f>IF(IF(B209="", "", VLOOKUP(B209,'API Data Dictionary'!C:F,4,FALSE))=0, "", IF(B209="", "", VLOOKUP(B209,'API Data Dictionary'!C:F,4,FALSE)))</f>
        <v/>
      </c>
      <c r="G209" s="62" t="str">
        <f>IF(IF(B209="", "", VLOOKUP(B209,'API Data Dictionary'!C:G,5,FALSE))=0, "", IF(B209="", "", VLOOKUP(B209,'API Data Dictionary'!C:G,5,FALSE)))</f>
        <v>The ID of the property tenancy</v>
      </c>
    </row>
    <row r="210" spans="1:7" ht="15" customHeight="1" x14ac:dyDescent="0.35">
      <c r="A210" s="64" t="s">
        <v>1380</v>
      </c>
      <c r="B210" s="62" t="str">
        <f>IF(OR(ISNUMBER(SEARCH("{", A210)),ISNUMBER(SEARCH("[", A210))), "", IFERROR(MID(A210, SEARCH("""", A210) +1, SEARCH("""", A210, SEARCH("""",A210) +1) - SEARCH("""", A210) -1), ""))</f>
        <v/>
      </c>
      <c r="C210" s="62" t="str">
        <f>IF(B210="", "", VLOOKUP(B210,'API Data Dictionary'!C:J,8,FALSE))</f>
        <v/>
      </c>
      <c r="D210" s="62" t="str">
        <f>IF(B210="", "", VLOOKUP(B210,'API Data Dictionary'!C:D,2,FALSE))</f>
        <v/>
      </c>
      <c r="E210" s="62" t="str">
        <f>IF(IF(B210="", "", VLOOKUP(B210,'API Data Dictionary'!C:E,3,FALSE))=0, "", IF(B210="", "", VLOOKUP(B210,'API Data Dictionary'!C:E,3,FALSE)))</f>
        <v/>
      </c>
      <c r="F210" s="62" t="str">
        <f>IF(IF(B210="", "", VLOOKUP(B210,'API Data Dictionary'!C:F,4,FALSE))=0, "", IF(B210="", "", VLOOKUP(B210,'API Data Dictionary'!C:F,4,FALSE)))</f>
        <v/>
      </c>
      <c r="G210" s="62" t="str">
        <f>IF(IF(B210="", "", VLOOKUP(B210,'API Data Dictionary'!C:G,5,FALSE))=0, "", IF(B210="", "", VLOOKUP(B210,'API Data Dictionary'!C:G,5,FALSE)))</f>
        <v/>
      </c>
    </row>
    <row r="211" spans="1:7" ht="15" customHeight="1" x14ac:dyDescent="0.35">
      <c r="A211" s="64" t="s">
        <v>1381</v>
      </c>
      <c r="B211" s="62" t="str">
        <f>IF(OR(ISNUMBER(SEARCH("{", A211)),ISNUMBER(SEARCH("[", A211))), "", IFERROR(MID(A211, SEARCH("""", A211) +1, SEARCH("""", A211, SEARCH("""",A211) +1) - SEARCH("""", A211) -1), ""))</f>
        <v/>
      </c>
      <c r="C211" s="62" t="str">
        <f>IF(B211="", "", VLOOKUP(B211,'API Data Dictionary'!C:J,8,FALSE))</f>
        <v/>
      </c>
      <c r="D211" s="62" t="str">
        <f>IF(B211="", "", VLOOKUP(B211,'API Data Dictionary'!C:D,2,FALSE))</f>
        <v/>
      </c>
      <c r="E211" s="62" t="str">
        <f>IF(IF(B211="", "", VLOOKUP(B211,'API Data Dictionary'!C:E,3,FALSE))=0, "", IF(B211="", "", VLOOKUP(B211,'API Data Dictionary'!C:E,3,FALSE)))</f>
        <v/>
      </c>
      <c r="F211" s="62" t="str">
        <f>IF(IF(B211="", "", VLOOKUP(B211,'API Data Dictionary'!C:F,4,FALSE))=0, "", IF(B211="", "", VLOOKUP(B211,'API Data Dictionary'!C:F,4,FALSE)))</f>
        <v/>
      </c>
      <c r="G211" s="62" t="str">
        <f>IF(IF(B211="", "", VLOOKUP(B211,'API Data Dictionary'!C:G,5,FALSE))=0, "", IF(B211="", "", VLOOKUP(B211,'API Data Dictionary'!C:G,5,FALSE)))</f>
        <v/>
      </c>
    </row>
    <row r="212" spans="1:7" ht="15" customHeight="1" x14ac:dyDescent="0.35">
      <c r="A212" s="64" t="s">
        <v>1382</v>
      </c>
      <c r="B212" s="62" t="str">
        <f>IF(OR(ISNUMBER(SEARCH("{", A212)),ISNUMBER(SEARCH("[", A212))), "", IFERROR(MID(A212, SEARCH("""", A212) +1, SEARCH("""", A212, SEARCH("""",A212) +1) - SEARCH("""", A212) -1), ""))</f>
        <v>applicantID</v>
      </c>
      <c r="C212" s="62" t="s">
        <v>68</v>
      </c>
      <c r="D212" s="62" t="str">
        <f>IF(B212="", "", VLOOKUP(B212,'API Data Dictionary'!C:D,2,FALSE))</f>
        <v>integer</v>
      </c>
      <c r="E212" s="62" t="str">
        <f>IF(IF(B212="", "", VLOOKUP(B212,'API Data Dictionary'!C:E,3,FALSE))=0, "", IF(B212="", "", VLOOKUP(B212,'API Data Dictionary'!C:E,3,FALSE)))</f>
        <v/>
      </c>
      <c r="F212" s="62" t="str">
        <f>IF(IF(B212="", "", VLOOKUP(B212,'API Data Dictionary'!C:F,4,FALSE))=0, "", IF(B212="", "", VLOOKUP(B212,'API Data Dictionary'!C:F,4,FALSE)))</f>
        <v/>
      </c>
      <c r="G212" s="62" t="str">
        <f>IF(IF(B212="", "", VLOOKUP(B212,'API Data Dictionary'!C:G,5,FALSE))=0, "", IF(B212="", "", VLOOKUP(B212,'API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213" spans="1:7" ht="15" customHeight="1" x14ac:dyDescent="0.35">
      <c r="A213" s="64" t="s">
        <v>1385</v>
      </c>
      <c r="B213" s="62" t="str">
        <f>IF(OR(ISNUMBER(SEARCH("{", A213)),ISNUMBER(SEARCH("[", A213))), "", IFERROR(MID(A213, SEARCH("""", A213) +1, SEARCH("""", A213, SEARCH("""",A213) +1) - SEARCH("""", A213) -1), ""))</f>
        <v>applicantName</v>
      </c>
      <c r="C213" s="62" t="s">
        <v>68</v>
      </c>
      <c r="D213" s="62" t="s">
        <v>64</v>
      </c>
      <c r="E213" s="62">
        <v>50</v>
      </c>
      <c r="F213" s="62"/>
      <c r="G213" s="62" t="s">
        <v>1386</v>
      </c>
    </row>
    <row r="214" spans="1:7" ht="15" customHeight="1" x14ac:dyDescent="0.35">
      <c r="A214" s="64" t="s">
        <v>1117</v>
      </c>
      <c r="B214" s="62" t="str">
        <f>IF(OR(ISNUMBER(SEARCH("{", A214)),ISNUMBER(SEARCH("[", A214))), "", IFERROR(MID(A214, SEARCH("""", A214) +1, SEARCH("""", A214, SEARCH("""",A214) +1) - SEARCH("""", A214) -1), ""))</f>
        <v/>
      </c>
      <c r="C214" s="62" t="str">
        <f>IF(B214="", "", VLOOKUP(B214,'API Data Dictionary'!C:J,8,FALSE))</f>
        <v/>
      </c>
      <c r="D214" s="62" t="str">
        <f>IF(B214="", "", VLOOKUP(B214,'API Data Dictionary'!C:D,2,FALSE))</f>
        <v/>
      </c>
      <c r="E214" s="62" t="str">
        <f>IF(IF(B214="", "", VLOOKUP(B214,'API Data Dictionary'!C:E,3,FALSE))=0, "", IF(B214="", "", VLOOKUP(B214,'API Data Dictionary'!C:E,3,FALSE)))</f>
        <v/>
      </c>
      <c r="F214" s="62" t="str">
        <f>IF(IF(B214="", "", VLOOKUP(B214,'API Data Dictionary'!C:F,4,FALSE))=0, "", IF(B214="", "", VLOOKUP(B214,'API Data Dictionary'!C:F,4,FALSE)))</f>
        <v/>
      </c>
      <c r="G214" s="62" t="str">
        <f>IF(IF(B214="", "", VLOOKUP(B214,'API Data Dictionary'!C:G,5,FALSE))=0, "", IF(B214="", "", VLOOKUP(B214,'API Data Dictionary'!C:G,5,FALSE)))</f>
        <v/>
      </c>
    </row>
    <row r="215" spans="1:7" ht="15" customHeight="1" x14ac:dyDescent="0.35">
      <c r="A215" s="64" t="s">
        <v>1383</v>
      </c>
      <c r="B215" s="62" t="str">
        <f>IF(OR(ISNUMBER(SEARCH("{", A215)),ISNUMBER(SEARCH("[", A215))), "", IFERROR(MID(A215, SEARCH("""", A215) +1, SEARCH("""", A215, SEARCH("""",A215) +1) - SEARCH("""", A215) -1), ""))</f>
        <v/>
      </c>
      <c r="C215" s="62" t="str">
        <f>IF(B215="", "", VLOOKUP(B215,'API Data Dictionary'!C:J,8,FALSE))</f>
        <v/>
      </c>
      <c r="D215" s="62" t="str">
        <f>IF(B215="", "", VLOOKUP(B215,'API Data Dictionary'!C:D,2,FALSE))</f>
        <v/>
      </c>
      <c r="E215" s="62" t="str">
        <f>IF(IF(B215="", "", VLOOKUP(B215,'API Data Dictionary'!C:E,3,FALSE))=0, "", IF(B215="", "", VLOOKUP(B215,'API Data Dictionary'!C:E,3,FALSE)))</f>
        <v/>
      </c>
      <c r="F215" s="62" t="str">
        <f>IF(IF(B215="", "", VLOOKUP(B215,'API Data Dictionary'!C:F,4,FALSE))=0, "", IF(B215="", "", VLOOKUP(B215,'API Data Dictionary'!C:F,4,FALSE)))</f>
        <v/>
      </c>
      <c r="G215" s="62" t="str">
        <f>IF(IF(B215="", "", VLOOKUP(B215,'API Data Dictionary'!C:G,5,FALSE))=0, "", IF(B215="", "", VLOOKUP(B215,'API Data Dictionary'!C:G,5,FALSE)))</f>
        <v/>
      </c>
    </row>
    <row r="216" spans="1:7" ht="15" customHeight="1" x14ac:dyDescent="0.35">
      <c r="A216" s="64" t="s">
        <v>1105</v>
      </c>
      <c r="B216" s="62" t="str">
        <f>IF(OR(ISNUMBER(SEARCH("{", A216)),ISNUMBER(SEARCH("[", A216))), "", IFERROR(MID(A216, SEARCH("""", A216) +1, SEARCH("""", A216, SEARCH("""",A216) +1) - SEARCH("""", A216) -1), ""))</f>
        <v/>
      </c>
      <c r="C216" s="62" t="str">
        <f>IF(B216="", "", VLOOKUP(B216,'API Data Dictionary'!C:J,8,FALSE))</f>
        <v/>
      </c>
      <c r="D216" s="62" t="str">
        <f>IF(B216="", "", VLOOKUP(B216,'API Data Dictionary'!C:D,2,FALSE))</f>
        <v/>
      </c>
      <c r="E216" s="62" t="str">
        <f>IF(IF(B216="", "", VLOOKUP(B216,'API Data Dictionary'!C:E,3,FALSE))=0, "", IF(B216="", "", VLOOKUP(B216,'API Data Dictionary'!C:E,3,FALSE)))</f>
        <v/>
      </c>
      <c r="F216" s="62" t="str">
        <f>IF(IF(B216="", "", VLOOKUP(B216,'API Data Dictionary'!C:F,4,FALSE))=0, "", IF(B216="", "", VLOOKUP(B216,'API Data Dictionary'!C:F,4,FALSE)))</f>
        <v/>
      </c>
      <c r="G216" s="62" t="str">
        <f>IF(IF(B216="", "", VLOOKUP(B216,'API Data Dictionary'!C:G,5,FALSE))=0, "", IF(B216="", "", VLOOKUP(B216,'API Data Dictionary'!C:G,5,FALSE)))</f>
        <v/>
      </c>
    </row>
    <row r="217" spans="1:7" ht="15" customHeight="1" x14ac:dyDescent="0.35">
      <c r="A217" s="64" t="s">
        <v>1384</v>
      </c>
      <c r="B217" s="62" t="str">
        <f>IF(OR(ISNUMBER(SEARCH("{", A217)),ISNUMBER(SEARCH("[", A217))), "", IFERROR(MID(A217, SEARCH("""", A217) +1, SEARCH("""", A217, SEARCH("""",A217) +1) - SEARCH("""", A217) -1), ""))</f>
        <v>message</v>
      </c>
      <c r="C217" s="62" t="s">
        <v>68</v>
      </c>
      <c r="D217" s="62" t="str">
        <f>IF(B217="", "", VLOOKUP(B217,'API Data Dictionary'!C:D,2,FALSE))</f>
        <v>string</v>
      </c>
      <c r="E217" s="62">
        <f>IF(IF(B217="", "", VLOOKUP(B217,'API Data Dictionary'!C:E,3,FALSE))=0, "", IF(B217="", "", VLOOKUP(B217,'API Data Dictionary'!C:E,3,FALSE)))</f>
        <v>100</v>
      </c>
      <c r="F217" s="62" t="str">
        <f>IF(IF(B217="", "", VLOOKUP(B217,'API Data Dictionary'!C:F,4,FALSE))=0, "", IF(B217="", "", VLOOKUP(B217,'API Data Dictionary'!C:F,4,FALSE)))</f>
        <v/>
      </c>
      <c r="G217" s="62" t="str">
        <f>IF(IF(B217="", "", VLOOKUP(B217,'API Data Dictionary'!C:G,5,FALSE))=0, "", IF(B217="", "", VLOOKUP(B217,'API Data Dictionary'!C:G,5,FALSE)))</f>
        <v>return value, null or success, unless there has been error</v>
      </c>
    </row>
    <row r="218" spans="1:7" ht="15" customHeight="1" x14ac:dyDescent="0.35">
      <c r="A218" s="64" t="s">
        <v>1120</v>
      </c>
      <c r="B218" s="62" t="str">
        <f>IF(OR(ISNUMBER(SEARCH("{", A218)),ISNUMBER(SEARCH("[", A218))), "", IFERROR(MID(A218, SEARCH("""", A218) +1, SEARCH("""", A218, SEARCH("""",A218) +1) - SEARCH("""", A218) -1), ""))</f>
        <v/>
      </c>
      <c r="C218" s="62" t="str">
        <f>IF(B218="", "", VLOOKUP(B218,'API Data Dictionary'!C:J,8,FALSE))</f>
        <v/>
      </c>
      <c r="D218" s="62" t="str">
        <f>IF(B218="", "", VLOOKUP(B218,'API Data Dictionary'!C:D,2,FALSE))</f>
        <v/>
      </c>
      <c r="E218" s="62" t="str">
        <f>IF(IF(B218="", "", VLOOKUP(B218,'API Data Dictionary'!C:E,3,FALSE))=0, "", IF(B218="", "", VLOOKUP(B218,'API Data Dictionary'!C:E,3,FALSE)))</f>
        <v/>
      </c>
      <c r="F218" s="62" t="str">
        <f>IF(IF(B218="", "", VLOOKUP(B218,'API Data Dictionary'!C:F,4,FALSE))=0, "", IF(B218="", "", VLOOKUP(B218,'API Data Dictionary'!C:F,4,FALSE)))</f>
        <v/>
      </c>
      <c r="G218" s="62" t="str">
        <f>IF(IF(B218="", "", VLOOKUP(B218,'API Data Dictionary'!C:G,5,FALSE))=0, "", IF(B218="", "", VLOOKUP(B218,'API Data Dictionary'!C:G,5,FALSE)))</f>
        <v/>
      </c>
    </row>
    <row r="220" spans="1:7" ht="15" customHeight="1" x14ac:dyDescent="0.35">
      <c r="A220" s="219" t="s">
        <v>1625</v>
      </c>
      <c r="B220" s="220"/>
      <c r="C220" s="220"/>
      <c r="D220" s="220"/>
      <c r="E220" s="220"/>
      <c r="F220" s="220"/>
      <c r="G220" s="220"/>
    </row>
    <row r="221" spans="1:7" ht="15" customHeight="1" x14ac:dyDescent="0.35">
      <c r="A221" s="88" t="s">
        <v>1561</v>
      </c>
      <c r="B221" s="62" t="s">
        <v>1359</v>
      </c>
      <c r="C221" s="89" t="s">
        <v>1359</v>
      </c>
      <c r="D221" s="62" t="s">
        <v>64</v>
      </c>
      <c r="E221" s="89">
        <v>100</v>
      </c>
      <c r="F221" s="89"/>
      <c r="G221" s="89" t="s">
        <v>1562</v>
      </c>
    </row>
    <row r="223" spans="1:7" ht="15" customHeight="1" x14ac:dyDescent="0.35">
      <c r="A223" s="219" t="s">
        <v>1764</v>
      </c>
      <c r="B223" s="220"/>
      <c r="C223" s="220"/>
      <c r="D223" s="220"/>
      <c r="E223" s="220"/>
      <c r="F223" s="220"/>
      <c r="G223" s="220"/>
    </row>
    <row r="224" spans="1:7" ht="15" customHeight="1" x14ac:dyDescent="0.35">
      <c r="A224" s="88" t="s">
        <v>1763</v>
      </c>
      <c r="B224" s="62" t="s">
        <v>1359</v>
      </c>
      <c r="C224" s="89" t="s">
        <v>1359</v>
      </c>
      <c r="D224" s="62" t="s">
        <v>64</v>
      </c>
      <c r="E224" s="89">
        <v>100</v>
      </c>
      <c r="F224" s="89"/>
      <c r="G224" s="89" t="s">
        <v>1765</v>
      </c>
    </row>
    <row r="225" spans="1:7" ht="15" customHeight="1" x14ac:dyDescent="0.35">
      <c r="A225" s="62" t="str">
        <f t="shared" ref="A225" si="4">IF(OR(ISNUMBER( SEARCH("{",#REF!)),ISNUMBER( SEARCH("[",#REF!))), "", IFERROR(MID(#REF!, SEARCH("""",#REF!) +1, SEARCH("""",#REF!, SEARCH( """",#REF!) +1) - SEARCH("""",#REF!) -1), ""))</f>
        <v/>
      </c>
      <c r="B225" s="62" t="str">
        <f>IF(OR(ISNUMBER(SEARCH("{", A225)),ISNUMBER(SEARCH("[", A225))), "", IFERROR(MID(A225, SEARCH("""", A225) +1, SEARCH("""", A225, SEARCH("""",A225) +1) - SEARCH("""", A225) -1), ""))</f>
        <v/>
      </c>
      <c r="C225" s="62" t="str">
        <f>IF(B225="", "", VLOOKUP(B225,'API Data Dictionary'!C:J,8,FALSE))</f>
        <v/>
      </c>
      <c r="D225" s="62" t="str">
        <f>IF(B225="", "", VLOOKUP(B225,'API Data Dictionary'!C:D,2,FALSE))</f>
        <v/>
      </c>
      <c r="E225" s="62" t="str">
        <f>IF(IF(B225="", "", VLOOKUP(B225,'API Data Dictionary'!C:E,3,FALSE))=0, "", IF(B225="", "", VLOOKUP(B225,'API Data Dictionary'!C:E,3,FALSE)))</f>
        <v/>
      </c>
      <c r="F225" s="62" t="str">
        <f>IF(IF(B225="", "", VLOOKUP(B225,'API Data Dictionary'!C:F,4,FALSE))=0, "", IF(B225="", "", VLOOKUP(B225,'API Data Dictionary'!C:F,4,FALSE)))</f>
        <v/>
      </c>
      <c r="G225" s="62" t="str">
        <f>IF(IF(B225="", "", VLOOKUP(B225,'API Data Dictionary'!C:G,5,FALSE))=0, "", IF(B225="", "", VLOOKUP(B225,'API Data Dictionary'!C:G,5,FALSE)))</f>
        <v/>
      </c>
    </row>
    <row r="226" spans="1:7" ht="15" customHeight="1" x14ac:dyDescent="0.35">
      <c r="A226" s="220" t="s">
        <v>1747</v>
      </c>
      <c r="B226" s="220"/>
      <c r="C226" s="220"/>
      <c r="D226" s="220"/>
      <c r="E226" s="220"/>
      <c r="F226" s="220"/>
      <c r="G226" s="220"/>
    </row>
    <row r="227" spans="1:7" ht="15" customHeight="1" x14ac:dyDescent="0.35">
      <c r="A227" s="108" t="s">
        <v>1094</v>
      </c>
      <c r="B227" s="89" t="str">
        <f>IF(OR(ISNUMBER(SEARCH("{", A227)),ISNUMBER(SEARCH("[", A227))), "", IFERROR(MID(A227, SEARCH("""", A227) +1, SEARCH("""", A227, SEARCH("""",A227) +1) - SEARCH("""", A227) -1), ""))</f>
        <v/>
      </c>
      <c r="C227" s="89" t="str">
        <f>IF(B227="", "", VLOOKUP(B227,'API Data Dictionary'!C:J,8,FALSE))</f>
        <v/>
      </c>
      <c r="D227" s="89" t="str">
        <f>IF(B227="", "", VLOOKUP(B227,'API Data Dictionary'!C:D,2,FALSE))</f>
        <v/>
      </c>
      <c r="E227" s="89" t="str">
        <f>IF(IF(B227="", "", VLOOKUP(B227,'API Data Dictionary'!C:E,3,FALSE))=0, "", IF(B227="", "", VLOOKUP(B227,'API Data Dictionary'!C:E,3,FALSE)))</f>
        <v/>
      </c>
      <c r="F227" s="89" t="str">
        <f>IF(IF(B227="", "", VLOOKUP(B227,'API Data Dictionary'!C:F,4,FALSE))=0, "", IF(B227="", "", VLOOKUP(B227,'API Data Dictionary'!C:F,4,FALSE)))</f>
        <v/>
      </c>
      <c r="G227" s="89" t="str">
        <f>IF(IF(B227="", "", VLOOKUP(B227,'API Data Dictionary'!C:G,5,FALSE))=0, "", IF(B227="", "", VLOOKUP(B227,'API Data Dictionary'!C:G,5,FALSE)))</f>
        <v/>
      </c>
    </row>
    <row r="228" spans="1:7" ht="15" customHeight="1" x14ac:dyDescent="0.35">
      <c r="A228" s="108" t="s">
        <v>1574</v>
      </c>
      <c r="B228" s="89" t="str">
        <f>IF(OR(ISNUMBER(SEARCH("{", A228)),ISNUMBER(SEARCH("[", A228))), "", IFERROR(MID(A228, SEARCH("""", A228) +1, SEARCH("""", A228, SEARCH("""",A228) +1) - SEARCH("""", A228) -1), ""))</f>
        <v>success</v>
      </c>
      <c r="C228" s="89" t="s">
        <v>68</v>
      </c>
      <c r="D228" s="89" t="str">
        <f>IF(B228="", "", VLOOKUP(B228,'API Data Dictionary'!C:D,2,FALSE))</f>
        <v>string - Boolean</v>
      </c>
      <c r="E228" s="89">
        <f>IF(IF(B228="", "", VLOOKUP(B228,'API Data Dictionary'!C:E,3,FALSE))=0, "", IF(B228="", "", VLOOKUP(B228,'API Data Dictionary'!C:E,3,FALSE)))</f>
        <v>100</v>
      </c>
      <c r="F228" s="89" t="str">
        <f>IF(IF(B228="", "", VLOOKUP(B228,'API Data Dictionary'!C:F,4,FALSE))=0, "", IF(B228="", "", VLOOKUP(B228,'API Data Dictionary'!C:F,4,FALSE)))</f>
        <v/>
      </c>
      <c r="G228" s="89" t="str">
        <f>IF(IF(B228="", "", VLOOKUP(B228,'API Data Dictionary'!C:G,5,FALSE))=0, "", IF(B228="", "", VLOOKUP(B228,'API Data Dictionary'!C:G,5,FALSE)))</f>
        <v>Returns true when successful call/connection</v>
      </c>
    </row>
    <row r="229" spans="1:7" ht="15" customHeight="1" x14ac:dyDescent="0.35">
      <c r="A229" s="108" t="s">
        <v>1377</v>
      </c>
      <c r="B229" s="89" t="str">
        <f>IF(OR(ISNUMBER(SEARCH("{", A229)),ISNUMBER(SEARCH("[", A229))), "", IFERROR(MID(A229, SEARCH("""", A229) +1, SEARCH("""", A229, SEARCH("""",A229) +1) - SEARCH("""", A229) -1), ""))</f>
        <v/>
      </c>
      <c r="C229" s="89" t="str">
        <f>IF(B229="", "", VLOOKUP(B229,'API Data Dictionary'!C:J,8,FALSE))</f>
        <v/>
      </c>
      <c r="D229" s="89" t="str">
        <f>IF(B229="", "", VLOOKUP(B229,'API Data Dictionary'!C:D,2,FALSE))</f>
        <v/>
      </c>
      <c r="E229" s="89" t="str">
        <f>IF(IF(B229="", "", VLOOKUP(B229,'API Data Dictionary'!C:E,3,FALSE))=0, "", IF(B229="", "", VLOOKUP(B229,'API Data Dictionary'!C:E,3,FALSE)))</f>
        <v/>
      </c>
      <c r="F229" s="89" t="str">
        <f>IF(IF(B229="", "", VLOOKUP(B229,'API Data Dictionary'!C:F,4,FALSE))=0, "", IF(B229="", "", VLOOKUP(B229,'API Data Dictionary'!C:F,4,FALSE)))</f>
        <v/>
      </c>
      <c r="G229" s="89" t="str">
        <f>IF(IF(B229="", "", VLOOKUP(B229,'API Data Dictionary'!C:G,5,FALSE))=0, "", IF(B229="", "", VLOOKUP(B229,'API Data Dictionary'!C:G,5,FALSE)))</f>
        <v/>
      </c>
    </row>
    <row r="230" spans="1:7" ht="15" customHeight="1" x14ac:dyDescent="0.35">
      <c r="A230" s="108" t="s">
        <v>1564</v>
      </c>
      <c r="B230" s="89" t="s">
        <v>1589</v>
      </c>
      <c r="C230" s="89" t="s">
        <v>68</v>
      </c>
      <c r="D230" s="89" t="s">
        <v>1593</v>
      </c>
      <c r="E230" s="89"/>
      <c r="F230" s="89"/>
      <c r="G230" s="89"/>
    </row>
    <row r="231" spans="1:7" ht="15" customHeight="1" x14ac:dyDescent="0.35">
      <c r="A231" s="108" t="s">
        <v>1565</v>
      </c>
      <c r="B231" s="89" t="s">
        <v>1590</v>
      </c>
      <c r="C231" s="89" t="s">
        <v>68</v>
      </c>
      <c r="D231" s="89" t="s">
        <v>64</v>
      </c>
      <c r="E231" s="109" t="s">
        <v>1594</v>
      </c>
      <c r="F231" s="89"/>
      <c r="G231" s="89"/>
    </row>
    <row r="232" spans="1:7" ht="15" customHeight="1" x14ac:dyDescent="0.35">
      <c r="A232" s="108" t="s">
        <v>1605</v>
      </c>
      <c r="B232" s="89" t="s">
        <v>1591</v>
      </c>
      <c r="C232" s="89" t="s">
        <v>68</v>
      </c>
      <c r="D232" s="89" t="s">
        <v>64</v>
      </c>
      <c r="E232" s="109" t="s">
        <v>1594</v>
      </c>
      <c r="F232" s="89"/>
      <c r="G232" s="89"/>
    </row>
    <row r="233" spans="1:7" ht="15" customHeight="1" x14ac:dyDescent="0.35">
      <c r="A233" s="108" t="s">
        <v>1116</v>
      </c>
      <c r="B233" s="89"/>
      <c r="C233" s="89"/>
      <c r="D233" s="89"/>
      <c r="E233" s="109"/>
      <c r="F233" s="89" t="str">
        <f>IF(IF(B233="", "", VLOOKUP(B233,'API Data Dictionary'!C:F,4,FALSE))=0, "", IF(B233="", "", VLOOKUP(B233,'API Data Dictionary'!C:F,4,FALSE)))</f>
        <v/>
      </c>
      <c r="G233" s="89"/>
    </row>
    <row r="234" spans="1:7" ht="15" customHeight="1" x14ac:dyDescent="0.35">
      <c r="A234" s="108" t="s">
        <v>1599</v>
      </c>
      <c r="B234" s="89" t="s">
        <v>1590</v>
      </c>
      <c r="C234" s="89" t="s">
        <v>68</v>
      </c>
      <c r="D234" s="89" t="s">
        <v>64</v>
      </c>
      <c r="E234" s="109" t="s">
        <v>1594</v>
      </c>
      <c r="F234" s="89"/>
      <c r="G234" s="89"/>
    </row>
    <row r="235" spans="1:7" ht="15" customHeight="1" x14ac:dyDescent="0.35">
      <c r="A235" s="108" t="s">
        <v>1600</v>
      </c>
      <c r="B235" s="89" t="s">
        <v>1591</v>
      </c>
      <c r="C235" s="89" t="s">
        <v>68</v>
      </c>
      <c r="D235" s="89" t="s">
        <v>64</v>
      </c>
      <c r="E235" s="109" t="s">
        <v>1594</v>
      </c>
      <c r="F235" s="89"/>
      <c r="G235" s="89"/>
    </row>
    <row r="236" spans="1:7" ht="15" customHeight="1" x14ac:dyDescent="0.35">
      <c r="A236" s="108" t="s">
        <v>1116</v>
      </c>
      <c r="B236" s="89"/>
      <c r="C236" s="89"/>
      <c r="D236" s="89"/>
      <c r="E236" s="109"/>
      <c r="F236" s="89" t="str">
        <f>IF(IF(B236="", "", VLOOKUP(B236,'API Data Dictionary'!C:F,4,FALSE))=0, "", IF(B236="", "", VLOOKUP(B236,'API Data Dictionary'!C:F,4,FALSE)))</f>
        <v/>
      </c>
      <c r="G236" s="89"/>
    </row>
    <row r="237" spans="1:7" ht="15" customHeight="1" x14ac:dyDescent="0.35">
      <c r="A237" s="108" t="s">
        <v>1601</v>
      </c>
      <c r="B237" s="89" t="s">
        <v>1590</v>
      </c>
      <c r="C237" s="89" t="s">
        <v>68</v>
      </c>
      <c r="D237" s="89" t="s">
        <v>64</v>
      </c>
      <c r="E237" s="109" t="s">
        <v>1594</v>
      </c>
      <c r="F237" s="89"/>
      <c r="G237" s="89"/>
    </row>
    <row r="238" spans="1:7" ht="15" customHeight="1" x14ac:dyDescent="0.35">
      <c r="A238" s="108" t="s">
        <v>1602</v>
      </c>
      <c r="B238" s="89" t="s">
        <v>1591</v>
      </c>
      <c r="C238" s="89" t="s">
        <v>68</v>
      </c>
      <c r="D238" s="89" t="s">
        <v>64</v>
      </c>
      <c r="E238" s="109" t="s">
        <v>1594</v>
      </c>
      <c r="F238" s="89"/>
    </row>
    <row r="239" spans="1:7" ht="15" customHeight="1" x14ac:dyDescent="0.35">
      <c r="A239" s="108" t="s">
        <v>1566</v>
      </c>
      <c r="B239" s="89"/>
      <c r="C239" s="89"/>
      <c r="D239" s="89"/>
      <c r="E239" s="109"/>
      <c r="F239" s="89"/>
      <c r="G239" s="89"/>
    </row>
    <row r="240" spans="1:7" ht="15" customHeight="1" x14ac:dyDescent="0.35">
      <c r="A240" s="108" t="s">
        <v>1413</v>
      </c>
      <c r="B240" s="89"/>
      <c r="C240" s="89"/>
      <c r="D240" s="89"/>
      <c r="E240" s="109"/>
      <c r="F240" s="89" t="str">
        <f>IF(IF(B240="", "", VLOOKUP(B240,'API Data Dictionary'!C:F,4,FALSE))=0, "", IF(B240="", "", VLOOKUP(B240,'API Data Dictionary'!C:F,4,FALSE)))</f>
        <v/>
      </c>
      <c r="G240" s="89"/>
    </row>
    <row r="241" spans="1:7" ht="15" customHeight="1" x14ac:dyDescent="0.35">
      <c r="A241" s="108" t="s">
        <v>1603</v>
      </c>
      <c r="B241" s="89" t="s">
        <v>1579</v>
      </c>
      <c r="C241" s="89" t="s">
        <v>68</v>
      </c>
      <c r="D241" s="89" t="s">
        <v>64</v>
      </c>
      <c r="E241" s="109" t="s">
        <v>1594</v>
      </c>
      <c r="F241" s="89"/>
      <c r="G241" s="89"/>
    </row>
    <row r="242" spans="1:7" ht="15" customHeight="1" x14ac:dyDescent="0.35">
      <c r="A242" s="108" t="s">
        <v>1577</v>
      </c>
      <c r="B242" s="89" t="s">
        <v>1580</v>
      </c>
      <c r="C242" s="89" t="s">
        <v>68</v>
      </c>
      <c r="D242" s="89" t="s">
        <v>64</v>
      </c>
      <c r="E242" s="109" t="s">
        <v>1594</v>
      </c>
      <c r="F242" s="89"/>
      <c r="G242" s="89"/>
    </row>
    <row r="243" spans="1:7" ht="15" customHeight="1" x14ac:dyDescent="0.35">
      <c r="A243" s="108" t="s">
        <v>1105</v>
      </c>
      <c r="B243" s="89"/>
      <c r="C243" s="89"/>
      <c r="D243" s="89"/>
      <c r="E243" s="109"/>
      <c r="F243" s="89"/>
      <c r="G243" s="89"/>
    </row>
    <row r="244" spans="1:7" ht="15" customHeight="1" x14ac:dyDescent="0.35">
      <c r="A244" s="108" t="s">
        <v>1604</v>
      </c>
      <c r="B244" s="89" t="s">
        <v>1592</v>
      </c>
      <c r="C244" s="89" t="s">
        <v>68</v>
      </c>
      <c r="D244" s="89" t="s">
        <v>64</v>
      </c>
      <c r="E244" s="109" t="s">
        <v>1594</v>
      </c>
      <c r="F244" s="89"/>
      <c r="G244" s="89"/>
    </row>
    <row r="245" spans="1:7" ht="15" customHeight="1" x14ac:dyDescent="0.35">
      <c r="A245" s="108" t="s">
        <v>1120</v>
      </c>
      <c r="B245" s="89"/>
      <c r="C245" s="89"/>
      <c r="D245" s="89"/>
      <c r="E245" s="109"/>
      <c r="F245" s="89"/>
      <c r="G245" s="89"/>
    </row>
    <row r="246" spans="1:7" ht="15" customHeight="1" x14ac:dyDescent="0.35">
      <c r="A246" s="103"/>
    </row>
    <row r="247" spans="1:7" ht="15" customHeight="1" x14ac:dyDescent="0.35">
      <c r="A247" s="220" t="s">
        <v>1598</v>
      </c>
      <c r="B247" s="220"/>
      <c r="C247" s="220"/>
      <c r="D247" s="220"/>
      <c r="E247" s="220"/>
      <c r="F247" s="220"/>
      <c r="G247" s="220"/>
    </row>
    <row r="248" spans="1:7" ht="15" customHeight="1" x14ac:dyDescent="0.35">
      <c r="A248" s="110" t="s">
        <v>1094</v>
      </c>
      <c r="B248" s="89" t="str">
        <f>IF(OR(ISNUMBER(SEARCH("{", A248)),ISNUMBER(SEARCH("[", A248))), "", IFERROR(MID(A248, SEARCH("""", A248) +1, SEARCH("""", A248, SEARCH("""",A248) +1) - SEARCH("""", A248) -1), ""))</f>
        <v/>
      </c>
      <c r="C248" s="89" t="str">
        <f>IF(B248="", "", VLOOKUP(B248,'API Data Dictionary'!C:J,8,FALSE))</f>
        <v/>
      </c>
      <c r="D248" s="89" t="str">
        <f>IF(B248="", "", VLOOKUP(B248,'API Data Dictionary'!C:D,2,FALSE))</f>
        <v/>
      </c>
      <c r="E248" s="89" t="str">
        <f>IF(IF(B248="", "", VLOOKUP(B248,'API Data Dictionary'!C:E,3,FALSE))=0, "", IF(B248="", "", VLOOKUP(B248,'API Data Dictionary'!C:E,3,FALSE)))</f>
        <v/>
      </c>
      <c r="F248" s="89" t="str">
        <f>IF(IF(B248="", "", VLOOKUP(B248,'API Data Dictionary'!C:F,4,FALSE))=0, "", IF(B248="", "", VLOOKUP(B248,'API Data Dictionary'!C:F,4,FALSE)))</f>
        <v/>
      </c>
      <c r="G248" s="89" t="str">
        <f>IF(IF(B248="", "", VLOOKUP(B248,'API Data Dictionary'!C:G,5,FALSE))=0, "", IF(B248="", "", VLOOKUP(B248,'API Data Dictionary'!C:G,5,FALSE)))</f>
        <v/>
      </c>
    </row>
    <row r="249" spans="1:7" ht="15" customHeight="1" x14ac:dyDescent="0.35">
      <c r="A249" s="110" t="s">
        <v>1567</v>
      </c>
      <c r="B249" s="89" t="str">
        <f>IF(OR(ISNUMBER(SEARCH("{", A249)),ISNUMBER(SEARCH("[", A249))), "", IFERROR(MID(A249, SEARCH("""", A249) +1, SEARCH("""", A249, SEARCH("""",A249) +1) - SEARCH("""", A249) -1), ""))</f>
        <v>success</v>
      </c>
      <c r="C249" s="89" t="s">
        <v>68</v>
      </c>
      <c r="D249" s="89" t="str">
        <f>IF(B249="", "", VLOOKUP(B249,'API Data Dictionary'!C:D,2,FALSE))</f>
        <v>string - Boolean</v>
      </c>
      <c r="E249" s="89">
        <f>IF(IF(B249="", "", VLOOKUP(B249,'API Data Dictionary'!C:E,3,FALSE))=0, "", IF(B249="", "", VLOOKUP(B249,'API Data Dictionary'!C:E,3,FALSE)))</f>
        <v>100</v>
      </c>
      <c r="F249" s="89" t="str">
        <f>IF(IF(B249="", "", VLOOKUP(B249,'API Data Dictionary'!C:F,4,FALSE))=0, "", IF(B249="", "", VLOOKUP(B249,'API Data Dictionary'!C:F,4,FALSE)))</f>
        <v/>
      </c>
      <c r="G249" s="89" t="str">
        <f>IF(IF(B249="", "", VLOOKUP(B249,'API Data Dictionary'!C:G,5,FALSE))=0, "", IF(B249="", "", VLOOKUP(B249,'API Data Dictionary'!C:G,5,FALSE)))</f>
        <v>Returns true when successful call/connection</v>
      </c>
    </row>
    <row r="250" spans="1:7" ht="15" customHeight="1" x14ac:dyDescent="0.35">
      <c r="A250" s="110" t="s">
        <v>1596</v>
      </c>
      <c r="B250" s="89" t="str">
        <f>IF(OR(ISNUMBER(SEARCH("{", A250)),ISNUMBER(SEARCH("[", A250))), "", IFERROR(MID(A250, SEARCH("""", A250) +1, SEARCH("""", A250, SEARCH("""",A250) +1) - SEARCH("""", A250) -1), ""))</f>
        <v>payload</v>
      </c>
      <c r="C250" s="89" t="s">
        <v>68</v>
      </c>
      <c r="D250" s="89" t="str">
        <f>IF(B250="", "", VLOOKUP(B250,'API Data Dictionary'!C:D,2,FALSE))</f>
        <v>string</v>
      </c>
      <c r="E250" s="89">
        <f>IF(IF(B250="", "", VLOOKUP(B250,'API Data Dictionary'!C:E,3,FALSE))=0, "", IF(B250="", "", VLOOKUP(B250,'API Data Dictionary'!C:E,3,FALSE)))</f>
        <v>100</v>
      </c>
      <c r="F250" s="89" t="str">
        <f>IF(IF(B250="", "", VLOOKUP(B250,'API Data Dictionary'!C:F,4,FALSE))=0, "", IF(B250="", "", VLOOKUP(B250,'API Data Dictionary'!C:F,4,FALSE)))</f>
        <v/>
      </c>
      <c r="G250" s="89" t="str">
        <f>IF(IF(B250="", "", VLOOKUP(B250,'API Data Dictionary'!C:G,5,FALSE))=0, "", IF(B250="", "", VLOOKUP(B250,'API Data Dictionary'!C:G,5,FALSE)))</f>
        <v>Returns healthy when connection has worked properly</v>
      </c>
    </row>
    <row r="251" spans="1:7" ht="15" customHeight="1" x14ac:dyDescent="0.35">
      <c r="A251" s="110" t="s">
        <v>1597</v>
      </c>
      <c r="B251" s="89" t="str">
        <f>IF(OR(ISNUMBER(SEARCH("{", A251)),ISNUMBER(SEARCH("[", A251))), "", IFERROR(MID(A251, SEARCH("""", A251) +1, SEARCH("""", A251, SEARCH("""",A251) +1) - SEARCH("""", A251) -1), ""))</f>
        <v>message</v>
      </c>
      <c r="C251" s="89" t="s">
        <v>68</v>
      </c>
      <c r="D251" s="89" t="str">
        <f>IF(B251="", "", VLOOKUP(B251,'API Data Dictionary'!C:D,2,FALSE))</f>
        <v>string</v>
      </c>
      <c r="E251" s="89">
        <f>IF(IF(B251="", "", VLOOKUP(B251,'API Data Dictionary'!C:E,3,FALSE))=0, "", IF(B251="", "", VLOOKUP(B251,'API Data Dictionary'!C:E,3,FALSE)))</f>
        <v>100</v>
      </c>
      <c r="F251" s="89" t="str">
        <f>IF(IF(B251="", "", VLOOKUP(B251,'API Data Dictionary'!C:F,4,FALSE))=0, "", IF(B251="", "", VLOOKUP(B251,'API Data Dictionary'!C:F,4,FALSE)))</f>
        <v/>
      </c>
      <c r="G251" s="89" t="str">
        <f>IF(IF(B251="", "", VLOOKUP(B251,'API Data Dictionary'!C:G,5,FALSE))=0, "", IF(B251="", "", VLOOKUP(B251,'API Data Dictionary'!C:G,5,FALSE)))</f>
        <v>return value, null or success, unless there has been error</v>
      </c>
    </row>
  </sheetData>
  <mergeCells count="6">
    <mergeCell ref="A2:G2"/>
    <mergeCell ref="A204:G204"/>
    <mergeCell ref="A226:G226"/>
    <mergeCell ref="A247:G247"/>
    <mergeCell ref="A220:G220"/>
    <mergeCell ref="A223:G2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C206-97E4-4A83-B65F-F0BE217B495E}">
  <sheetPr>
    <tabColor rgb="FF4472C4"/>
  </sheetPr>
  <dimension ref="A1:G89"/>
  <sheetViews>
    <sheetView topLeftCell="A22" zoomScale="70" zoomScaleNormal="70" workbookViewId="0">
      <selection activeCell="B53" sqref="B53:G53"/>
    </sheetView>
  </sheetViews>
  <sheetFormatPr defaultRowHeight="14.5" x14ac:dyDescent="0.35"/>
  <cols>
    <col min="1" max="1" width="119.453125" bestFit="1" customWidth="1"/>
    <col min="2" max="2" width="26.1796875" bestFit="1" customWidth="1"/>
    <col min="3" max="3" width="11.81640625" customWidth="1"/>
    <col min="4" max="4" width="34.1796875" bestFit="1" customWidth="1"/>
    <col min="6" max="6" width="45.453125" bestFit="1" customWidth="1"/>
    <col min="7" max="7" width="205.26953125" bestFit="1" customWidth="1"/>
  </cols>
  <sheetData>
    <row r="1" spans="1:7" ht="43.5" x14ac:dyDescent="0.35">
      <c r="A1" s="63" t="s">
        <v>1781</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B58" si="0">IF(OR(ISNUMBER(SEARCH("{", A3)),ISNUMBER(SEARCH("[", A3))), "", IFERROR(MID(A3, SEARCH("""", A3) +1, SEARCH("""", A3, SEARCH("""",A3) +1) - SEARCH("""", A3) -1), ""))</f>
        <v/>
      </c>
      <c r="C3" s="62" t="str">
        <f>IF(B3="", "", VLOOKUP(B3,'API Data Dictionary'!C:L,10,FALSE))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1292</v>
      </c>
      <c r="B4" s="62" t="str">
        <f t="shared" si="0"/>
        <v>agentCode</v>
      </c>
      <c r="C4" s="62" t="str">
        <f>IF(B4="", "", VLOOKUP(B4,'API Data Dictionary'!C:L,10,FALSE))</f>
        <v>M</v>
      </c>
      <c r="D4" s="62" t="str">
        <f>IF(B4="", "", VLOOKUP(B4,'API Data Dictionary'!C:D,2,FALSE))</f>
        <v>string</v>
      </c>
      <c r="E4" s="62">
        <f>IF(IF(B4="", "", VLOOKUP(B4,'API Data Dictionary'!C:E,3,FALSE))=0, "", IF(B4="", "", VLOOKUP(B4,'API Data Dictionary'!C:E,3,FALSE)))</f>
        <v>50</v>
      </c>
      <c r="F4" s="62" t="str">
        <f>IF(IF(B4="", "", VLOOKUP(B4,'API Data Dictionary'!C:F,4,FALSE))=0, "", IF(B4="", "", VLOOKUP(B4,'API Data Dictionary'!C:F,4,FALSE)))</f>
        <v/>
      </c>
      <c r="G4" s="62"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x14ac:dyDescent="0.35">
      <c r="A5" s="64" t="s">
        <v>1752</v>
      </c>
      <c r="B5" s="62" t="str">
        <f t="shared" si="0"/>
        <v>rentGuarantee</v>
      </c>
      <c r="C5" s="62" t="str">
        <f>IF(B5="", "", VLOOKUP(B5,'API Data Dictionary'!C:L,10,FALSE))</f>
        <v>M</v>
      </c>
      <c r="D5" s="62" t="str">
        <f>IF(B5="", "", VLOOKUP(B5,'API Data Dictionary'!C:D,2,FALSE))</f>
        <v>enum - Rent Guarantee</v>
      </c>
      <c r="E5" s="62" t="str">
        <f>IF(IF(B5="", "", VLOOKUP(B5,'API Data Dictionary'!C:E,3,FALSE))=0, "", IF(B5="", "", VLOOKUP(B5,'API Data Dictionary'!C:E,3,FALSE)))</f>
        <v/>
      </c>
      <c r="F5" s="62" t="str">
        <f>IF(IF(B5="", "", VLOOKUP(B5,'API Data Dictionary'!C:F,4,FALSE))=0, "", IF(B5="", "", VLOOKUP(B5,'API Data Dictionary'!C:F,4,FALSE)))</f>
        <v>Valid Values 1-4 (See enum definition)</v>
      </c>
      <c r="G5" s="62" t="str">
        <f>IF(IF(B5="", "", VLOOKUP(B5,'API Data Dictionary'!C:G,5,FALSE))=0, "", IF(B5="", "", VLOOKUP(B5,'API Data Dictionary'!C:G,5,FALSE)))</f>
        <v xml:space="preserve">Rent guarantee is an indicator that determines which RG option if any  the agent requires </v>
      </c>
    </row>
    <row r="6" spans="1:7" x14ac:dyDescent="0.35">
      <c r="A6" s="64" t="s">
        <v>1368</v>
      </c>
      <c r="B6" s="62" t="str">
        <f t="shared" si="0"/>
        <v>tenancyTermMonths</v>
      </c>
      <c r="C6" s="62" t="str">
        <f>IF(B6="", "", VLOOKUP(B6,'API Data Dictionary'!C:L,10,FALSE))</f>
        <v>M</v>
      </c>
      <c r="D6" s="62" t="str">
        <f>IF(B6="", "", VLOOKUP(B6,'API Data Dictionary'!C:D,2,FALSE))</f>
        <v>integer</v>
      </c>
      <c r="E6" s="62" t="str">
        <f>IF(IF(B6="", "", VLOOKUP(B6,'API Data Dictionary'!C:E,3,FALSE))=0, "", IF(B6="", "", VLOOKUP(B6,'API Data Dictionary'!C:E,3,FALSE)))</f>
        <v/>
      </c>
      <c r="F6" s="62" t="str">
        <f>IF(IF(B6="", "", VLOOKUP(B6,'API Data Dictionary'!C:F,4,FALSE))=0, "", IF(B6="", "", VLOOKUP(B6,'API Data Dictionary'!C:F,4,FALSE)))</f>
        <v/>
      </c>
      <c r="G6" s="62" t="str">
        <f>IF(IF(B6="", "", VLOOKUP(B6,'API Data Dictionary'!C:G,5,FALSE))=0, "", IF(B6="", "", VLOOKUP(B6,'API Data Dictionary'!C:G,5,FALSE)))</f>
        <v>The term of the Tenancy in months (whole months only)</v>
      </c>
    </row>
    <row r="7" spans="1:7" x14ac:dyDescent="0.35">
      <c r="A7" s="64" t="s">
        <v>1387</v>
      </c>
      <c r="B7" s="62" t="str">
        <f t="shared" si="0"/>
        <v>monthlyRental</v>
      </c>
      <c r="C7" s="62" t="str">
        <f>IF(B7="", "", VLOOKUP(B7,'API Data Dictionary'!C:L,10,FALSE))</f>
        <v>M</v>
      </c>
      <c r="D7" s="62" t="str">
        <f>IF(B7="", "", VLOOKUP(B7,'API Data Dictionary'!C:D,2,FALSE))</f>
        <v>number (double)</v>
      </c>
      <c r="E7" s="62" t="str">
        <f>IF(IF(B7="", "", VLOOKUP(B7,'API Data Dictionary'!C:E,3,FALSE))=0, "", IF(B7="", "", VLOOKUP(B7,'API Data Dictionary'!C:E,3,FALSE)))</f>
        <v/>
      </c>
      <c r="F7" s="62" t="str">
        <f>IF(IF(B7="", "", VLOOKUP(B7,'API Data Dictionary'!C:F,4,FALSE))=0, "", IF(B7="", "", VLOOKUP(B7,'API Data Dictionary'!C:F,4,FALSE)))</f>
        <v xml:space="preserve">	number($double)
pattern: ^\d*.\d{0,2}$</v>
      </c>
      <c r="G7" s="62" t="str">
        <f>IF(IF(B7="", "", VLOOKUP(B7,'API Data Dictionary'!C:G,5,FALSE))=0, "", IF(B7="", "", VLOOKUP(B7,'API Data Dictionary'!C:G,5,FALSE)))</f>
        <v>The monthly rental cost</v>
      </c>
    </row>
    <row r="8" spans="1:7" x14ac:dyDescent="0.35">
      <c r="A8" s="64" t="s">
        <v>1098</v>
      </c>
      <c r="B8" s="62" t="str">
        <f t="shared" si="0"/>
        <v>lettingType</v>
      </c>
      <c r="C8" s="62" t="str">
        <f>IF(B8="", "", VLOOKUP(B8,'API Data Dictionary'!C:L,10,FALSE))</f>
        <v>M</v>
      </c>
      <c r="D8" s="62" t="str">
        <f>IF(B8="", "", VLOOKUP(B8,'API Data Dictionary'!C:D,2,FALSE))</f>
        <v>enum - Letting Type</v>
      </c>
      <c r="E8" s="62" t="str">
        <f>IF(IF(B8="", "", VLOOKUP(B8,'API Data Dictionary'!C:E,3,FALSE))=0, "", IF(B8="", "", VLOOKUP(B8,'API Data Dictionary'!C:E,3,FALSE)))</f>
        <v/>
      </c>
      <c r="F8" s="62" t="str">
        <f>IF(IF(B8="", "", VLOOKUP(B8,'API Data Dictionary'!C:F,4,FALSE))=0, "", IF(B8="", "", VLOOKUP(B8,'API Data Dictionary'!C:F,4,FALSE)))</f>
        <v>Valid Values 1-3 (See enum definition)</v>
      </c>
      <c r="G8" s="62" t="str">
        <f>IF(IF(B8="", "", VLOOKUP(B8,'API Data Dictionary'!C:G,5,FALSE))=0, "", IF(B8="", "", VLOOKUP(B8,'API Data Dictionary'!C:G,5,FALSE)))</f>
        <v>The type of the letting, i.e. rent only or fully managed</v>
      </c>
    </row>
    <row r="9" spans="1:7" x14ac:dyDescent="0.35">
      <c r="A9" s="64" t="s">
        <v>1753</v>
      </c>
      <c r="B9" s="62" t="str">
        <f t="shared" si="0"/>
        <v>estimatedMoveInDate</v>
      </c>
      <c r="C9" s="62" t="str">
        <f>IF(B9="", "", VLOOKUP(B9,'API Data Dictionary'!C:L,10,FALSE))</f>
        <v>M</v>
      </c>
      <c r="D9" s="62" t="str">
        <f>IF(B9="", "", VLOOKUP(B9,'API Data Dictionary'!C:D,2,FALSE))</f>
        <v>string ($date-time)</v>
      </c>
      <c r="E9" s="62" t="str">
        <f>IF(IF(B9="", "", VLOOKUP(B9,'API Data Dictionary'!C:E,3,FALSE))=0, "", IF(B9="", "", VLOOKUP(B9,'API Data Dictionary'!C:E,3,FALSE)))</f>
        <v/>
      </c>
      <c r="F9" s="62" t="str">
        <f>IF(IF(B9="", "", VLOOKUP(B9,'API Data Dictionary'!C:F,4,FALSE))=0, "", IF(B9="", "", VLOOKUP(B9,'API Data Dictionary'!C:F,4,FALSE)))</f>
        <v>DD/MM/YYYY</v>
      </c>
      <c r="G9" s="62" t="str">
        <f>IF(IF(B9="", "", VLOOKUP(B9,'API Data Dictionary'!C:G,5,FALSE))=0, "", IF(B9="", "", VLOOKUP(B9,'API Data Dictionary'!C:G,5,FALSE)))</f>
        <v>Estimated date of tenancy start (move in)</v>
      </c>
    </row>
    <row r="10" spans="1:7" x14ac:dyDescent="0.35">
      <c r="A10" s="64" t="s">
        <v>1099</v>
      </c>
      <c r="B10" s="62" t="str">
        <f t="shared" si="0"/>
        <v>propertyType</v>
      </c>
      <c r="C10" s="62" t="s">
        <v>68</v>
      </c>
      <c r="D10" s="62" t="str">
        <f>IF(B10="", "", VLOOKUP(B10,'API Data Dictionary'!C:D,2,FALSE))</f>
        <v>enum - Property Type</v>
      </c>
      <c r="E10" s="62" t="str">
        <f>IF(IF(B10="", "", VLOOKUP(B10,'API Data Dictionary'!C:E,3,FALSE))=0, "", IF(B10="", "", VLOOKUP(B10,'API Data Dictionary'!C:E,3,FALSE)))</f>
        <v/>
      </c>
      <c r="F10" s="62" t="str">
        <f>IF(IF(B10="", "", VLOOKUP(B10,'API Data Dictionary'!C:F,4,FALSE))=0, "", IF(B10="", "", VLOOKUP(B10,'API Data Dictionary'!C:F,4,FALSE)))</f>
        <v>Valid Values 1-6 (See enum definition)</v>
      </c>
      <c r="G10" s="62" t="str">
        <f>IF(IF(B10="", "", VLOOKUP(B10,'API Data Dictionary'!C:G,5,FALSE))=0, "", IF(B10="", "", VLOOKUP(B10,'API Data Dictionary'!C:G,5,FALSE)))</f>
        <v xml:space="preserve">The Type of property </v>
      </c>
    </row>
    <row r="11" spans="1:7" x14ac:dyDescent="0.35">
      <c r="A11" s="96" t="s">
        <v>1388</v>
      </c>
      <c r="B11" s="248" t="str">
        <f t="shared" si="0"/>
        <v>propertyConstructionPeriod</v>
      </c>
      <c r="C11" s="248" t="s">
        <v>66</v>
      </c>
      <c r="D11" s="248" t="str">
        <f>IF(B11="", "", VLOOKUP(B11,'API Data Dictionary'!C:D,2,FALSE))</f>
        <v>enum - Property Construction Period</v>
      </c>
      <c r="E11" s="248" t="str">
        <f>IF(IF(B11="", "", VLOOKUP(B11,'API Data Dictionary'!C:E,3,FALSE))=0, "", IF(B11="", "", VLOOKUP(B11,'API Data Dictionary'!C:E,3,FALSE)))</f>
        <v/>
      </c>
      <c r="F11" s="248" t="str">
        <f>IF(IF(B11="", "", VLOOKUP(B11,'API Data Dictionary'!C:F,4,FALSE))=0, "", IF(B11="", "", VLOOKUP(B11,'API Data Dictionary'!C:F,4,FALSE)))</f>
        <v>Valid Values 1-9 (See enum definition)</v>
      </c>
      <c r="G11" s="62" t="str">
        <f>IF(IF(B11="", "", VLOOKUP(B11,'API Data Dictionary'!C:G,5,FALSE))=0, "", IF(B11="", "", VLOOKUP(B11,'API Data Dictionary'!C:G,5,FALSE)))</f>
        <v>The time period in which the property was built</v>
      </c>
    </row>
    <row r="12" spans="1:7" x14ac:dyDescent="0.35">
      <c r="A12" s="96" t="s">
        <v>1370</v>
      </c>
      <c r="B12" s="248" t="str">
        <f t="shared" si="0"/>
        <v>numberOfBedrooms</v>
      </c>
      <c r="C12" s="248" t="s">
        <v>66</v>
      </c>
      <c r="D12" s="248" t="str">
        <f>IF(B12="", "", VLOOKUP(B12,'API Data Dictionary'!C:D,2,FALSE))</f>
        <v>integer</v>
      </c>
      <c r="E12" s="248" t="str">
        <f>IF(IF(B12="", "", VLOOKUP(B12,'API Data Dictionary'!C:E,3,FALSE))=0, "", IF(B12="", "", VLOOKUP(B12,'API Data Dictionary'!C:E,3,FALSE)))</f>
        <v/>
      </c>
      <c r="F12" s="248" t="str">
        <f>IF(IF(B12="", "", VLOOKUP(B12,'API Data Dictionary'!C:F,4,FALSE))=0, "", IF(B12="", "", VLOOKUP(B12,'API Data Dictionary'!C:F,4,FALSE)))</f>
        <v/>
      </c>
      <c r="G12" s="62" t="str">
        <f>IF(IF(B12="", "", VLOOKUP(B12,'API Data Dictionary'!C:G,5,FALSE))=0, "", IF(B12="", "", VLOOKUP(B12,'API Data Dictionary'!C:G,5,FALSE)))</f>
        <v>The count of bedrooms in the property</v>
      </c>
    </row>
    <row r="13" spans="1:7" x14ac:dyDescent="0.35">
      <c r="A13" s="96" t="s">
        <v>1371</v>
      </c>
      <c r="B13" s="248" t="str">
        <f t="shared" si="0"/>
        <v>noOfAdultOccupants</v>
      </c>
      <c r="C13" s="248" t="s">
        <v>66</v>
      </c>
      <c r="D13" s="248" t="str">
        <f>IF(B13="", "", VLOOKUP(B13,'API Data Dictionary'!C:D,2,FALSE))</f>
        <v>integer</v>
      </c>
      <c r="E13" s="248" t="str">
        <f>IF(IF(B13="", "", VLOOKUP(B13,'API Data Dictionary'!C:E,3,FALSE))=0, "", IF(B13="", "", VLOOKUP(B13,'API Data Dictionary'!C:E,3,FALSE)))</f>
        <v/>
      </c>
      <c r="F13" s="248" t="str">
        <f>IF(IF(B13="", "", VLOOKUP(B13,'API Data Dictionary'!C:F,4,FALSE))=0, "", IF(B13="", "", VLOOKUP(B13,'API Data Dictionary'!C:F,4,FALSE)))</f>
        <v/>
      </c>
      <c r="G13" s="62" t="str">
        <f>IF(IF(B13="", "", VLOOKUP(B13,'API Data Dictionary'!C:G,5,FALSE))=0, "", IF(B13="", "", VLOOKUP(B13,'API Data Dictionary'!C:G,5,FALSE)))</f>
        <v>Number of Adult occupants (18 or over)</v>
      </c>
    </row>
    <row r="14" spans="1:7" x14ac:dyDescent="0.35">
      <c r="A14" s="96" t="s">
        <v>1372</v>
      </c>
      <c r="B14" s="248" t="str">
        <f t="shared" si="0"/>
        <v>noOfChildOccupants</v>
      </c>
      <c r="C14" s="248" t="s">
        <v>66</v>
      </c>
      <c r="D14" s="248" t="str">
        <f>IF(B14="", "", VLOOKUP(B14,'API Data Dictionary'!C:D,2,FALSE))</f>
        <v>integer</v>
      </c>
      <c r="E14" s="248" t="str">
        <f>IF(IF(B14="", "", VLOOKUP(B14,'API Data Dictionary'!C:E,3,FALSE))=0, "", IF(B14="", "", VLOOKUP(B14,'API Data Dictionary'!C:E,3,FALSE)))</f>
        <v/>
      </c>
      <c r="F14" s="248" t="str">
        <f>IF(IF(B14="", "", VLOOKUP(B14,'API Data Dictionary'!C:F,4,FALSE))=0, "", IF(B14="", "", VLOOKUP(B14,'API Data Dictionary'!C:F,4,FALSE)))</f>
        <v/>
      </c>
      <c r="G14" s="62" t="str">
        <f>IF(IF(B14="", "", VLOOKUP(B14,'API Data Dictionary'!C:G,5,FALSE))=0, "", IF(B14="", "", VLOOKUP(B14,'API Data Dictionary'!C:G,5,FALSE)))</f>
        <v>Number of Child Occupants (under 18)</v>
      </c>
    </row>
    <row r="15" spans="1:7" x14ac:dyDescent="0.35">
      <c r="A15" s="64" t="s">
        <v>1373</v>
      </c>
      <c r="B15" s="250" t="str">
        <f t="shared" si="0"/>
        <v>isAdvanceRent</v>
      </c>
      <c r="C15" s="250" t="s">
        <v>68</v>
      </c>
      <c r="D15" s="250" t="str">
        <f>IF(B15="", "", VLOOKUP(B15,'API Data Dictionary'!C:D,2,FALSE))</f>
        <v>boolean</v>
      </c>
      <c r="E15" s="250" t="str">
        <f>IF(IF(B15="", "", VLOOKUP(B15,'API Data Dictionary'!C:E,3,FALSE))=0, "", IF(B15="", "", VLOOKUP(B15,'API Data Dictionary'!C:E,3,FALSE)))</f>
        <v/>
      </c>
      <c r="F15" s="250" t="str">
        <f>IF(IF(B15="", "", VLOOKUP(B15,'API Data Dictionary'!C:F,4,FALSE))=0, "", IF(B15="", "", VLOOKUP(B15,'API Data Dictionary'!C:F,4,FALSE)))</f>
        <v/>
      </c>
      <c r="G15" s="62" t="str">
        <f>IF(IF(B15="", "", VLOOKUP(B15,'API Data Dictionary'!C:G,5,FALSE))=0, "", IF(B15="", "", VLOOKUP(B15,'API Data Dictionary'!C:G,5,FALSE)))</f>
        <v>Denotes whether rent is paid in advance</v>
      </c>
    </row>
    <row r="16" spans="1:7" x14ac:dyDescent="0.35">
      <c r="A16" s="64" t="s">
        <v>1103</v>
      </c>
      <c r="B16" s="62" t="str">
        <f t="shared" si="0"/>
        <v/>
      </c>
      <c r="C16" s="62" t="str">
        <f>IF(B16="", "", VLOOKUP(B16,'API Data Dictionary'!C:L,10,FALSE))</f>
        <v/>
      </c>
      <c r="D16" s="62" t="str">
        <f>IF(B16="", "", VLOOKUP(B16,'API Data Dictionary'!C:D,2,FALSE))</f>
        <v/>
      </c>
      <c r="E16" s="62" t="str">
        <f>IF(IF(B16="", "", VLOOKUP(B16,'API Data Dictionary'!C:E,3,FALSE))=0, "", IF(B16="", "", VLOOKUP(B16,'API Data Dictionary'!C:E,3,FALSE)))</f>
        <v/>
      </c>
      <c r="F16" s="62" t="str">
        <f>IF(IF(B16="", "", VLOOKUP(B16,'API Data Dictionary'!C:F,4,FALSE))=0, "", IF(B16="", "", VLOOKUP(B16,'API Data Dictionary'!C:F,4,FALSE)))</f>
        <v/>
      </c>
      <c r="G16" s="62" t="str">
        <f>IF(IF(B16="", "", VLOOKUP(B16,'API Data Dictionary'!C:G,5,FALSE))=0, "", IF(B16="", "", VLOOKUP(B16,'API Data Dictionary'!C:G,5,FALSE)))</f>
        <v/>
      </c>
    </row>
    <row r="17" spans="1:7" x14ac:dyDescent="0.35">
      <c r="A17" s="64" t="s">
        <v>1389</v>
      </c>
      <c r="B17" s="62" t="str">
        <f t="shared" si="0"/>
        <v>houseNumber</v>
      </c>
      <c r="C17" s="62" t="str">
        <f>IF(B17="", "", VLOOKUP(B17,'API Data Dictionary'!C:L,10,FALSE))</f>
        <v>X</v>
      </c>
      <c r="D17" s="62" t="str">
        <f>IF(B17="", "", VLOOKUP(B17,'API Data Dictionary'!C:D,2,FALSE))</f>
        <v>string</v>
      </c>
      <c r="E17" s="62">
        <f>IF(IF(B17="", "", VLOOKUP(B17,'API Data Dictionary'!C:E,3,FALSE))=0, "", IF(B17="", "", VLOOKUP(B17,'API Data Dictionary'!C:E,3,FALSE)))</f>
        <v>100</v>
      </c>
      <c r="F17" s="62" t="str">
        <f>IF(IF(B17="", "", VLOOKUP(B17,'API Data Dictionary'!C:F,4,FALSE))=0, "", IF(B17="", "", VLOOKUP(B17,'API Data Dictionary'!C:F,4,FALSE)))</f>
        <v/>
      </c>
      <c r="G17" s="62" t="str">
        <f>IF(IF(B17="", "", VLOOKUP(B17,'API Data Dictionary'!C:G,5,FALSE))=0, "", IF(B17="", "", VLOOKUP(B17,'API Data Dictionary'!C:G,5,FALSE)))</f>
        <v xml:space="preserve">The number of the property, mandatory OR pair with House name field </v>
      </c>
    </row>
    <row r="18" spans="1:7" x14ac:dyDescent="0.35">
      <c r="A18" s="64" t="s">
        <v>1390</v>
      </c>
      <c r="B18" s="62" t="str">
        <f t="shared" si="0"/>
        <v>houseName</v>
      </c>
      <c r="C18" s="62" t="str">
        <f>IF(B18="", "", VLOOKUP(B18,'API Data Dictionary'!C:L,10,FALSE))</f>
        <v>X</v>
      </c>
      <c r="D18" s="62" t="str">
        <f>IF(B18="", "", VLOOKUP(B18,'API Data Dictionary'!C:D,2,FALSE))</f>
        <v>string</v>
      </c>
      <c r="E18" s="62">
        <f>IF(IF(B18="", "", VLOOKUP(B18,'API Data Dictionary'!C:E,3,FALSE))=0, "", IF(B18="", "", VLOOKUP(B18,'API Data Dictionary'!C:E,3,FALSE)))</f>
        <v>100</v>
      </c>
      <c r="F18" s="62" t="str">
        <f>IF(IF(B18="", "", VLOOKUP(B18,'API Data Dictionary'!C:F,4,FALSE))=0, "", IF(B18="", "", VLOOKUP(B18,'API Data Dictionary'!C:F,4,FALSE)))</f>
        <v/>
      </c>
      <c r="G18" s="62" t="str">
        <f>IF(IF(B18="", "", VLOOKUP(B18,'API Data Dictionary'!C:G,5,FALSE))=0, "", IF(B18="", "", VLOOKUP(B18,'API Data Dictionary'!C:G,5,FALSE)))</f>
        <v xml:space="preserve">The name of the property, mandatory OR pair with House number field </v>
      </c>
    </row>
    <row r="19" spans="1:7" x14ac:dyDescent="0.35">
      <c r="A19" s="64" t="s">
        <v>1391</v>
      </c>
      <c r="B19" s="62" t="str">
        <f t="shared" si="0"/>
        <v>addressLine1</v>
      </c>
      <c r="C19" s="62" t="str">
        <f>IF(B19="", "", VLOOKUP(B19,'API Data Dictionary'!C:L,10,FALSE))</f>
        <v>M</v>
      </c>
      <c r="D19" s="62" t="str">
        <f>IF(B19="", "", VLOOKUP(B19,'API Data Dictionary'!C:D,2,FALSE))</f>
        <v>string</v>
      </c>
      <c r="E19" s="62">
        <f>IF(IF(B19="", "", VLOOKUP(B19,'API Data Dictionary'!C:E,3,FALSE))=0, "", IF(B19="", "", VLOOKUP(B19,'API Data Dictionary'!C:E,3,FALSE)))</f>
        <v>100</v>
      </c>
      <c r="F19" s="62" t="str">
        <f>IF(IF(B19="", "", VLOOKUP(B19,'API Data Dictionary'!C:F,4,FALSE))=0, "", IF(B19="", "", VLOOKUP(B19,'API Data Dictionary'!C:F,4,FALSE)))</f>
        <v/>
      </c>
      <c r="G19" s="62" t="str">
        <f>IF(IF(B19="", "", VLOOKUP(B19,'API Data Dictionary'!C:G,5,FALSE))=0, "", IF(B19="", "", VLOOKUP(B19,'API Data Dictionary'!C:G,5,FALSE)))</f>
        <v>The first line of the property address</v>
      </c>
    </row>
    <row r="20" spans="1:7" x14ac:dyDescent="0.35">
      <c r="A20" s="64" t="s">
        <v>1392</v>
      </c>
      <c r="B20" s="62" t="str">
        <f t="shared" si="0"/>
        <v>addressLine2</v>
      </c>
      <c r="C20" s="62" t="s">
        <v>66</v>
      </c>
      <c r="D20" s="62" t="str">
        <f>IF(B20="", "", VLOOKUP(B20,'API Data Dictionary'!C:D,2,FALSE))</f>
        <v>string</v>
      </c>
      <c r="E20" s="62">
        <f>IF(IF(B20="", "", VLOOKUP(B20,'API Data Dictionary'!C:E,3,FALSE))=0, "", IF(B20="", "", VLOOKUP(B20,'API Data Dictionary'!C:E,3,FALSE)))</f>
        <v>100</v>
      </c>
      <c r="F20" s="62" t="str">
        <f>IF(IF(B20="", "", VLOOKUP(B20,'API Data Dictionary'!C:F,4,FALSE))=0, "", IF(B20="", "", VLOOKUP(B20,'API Data Dictionary'!C:F,4,FALSE)))</f>
        <v/>
      </c>
      <c r="G20" s="62" t="str">
        <f>IF(IF(B20="", "", VLOOKUP(B20,'API Data Dictionary'!C:G,5,FALSE))=0, "", IF(B20="", "", VLOOKUP(B20,'API Data Dictionary'!C:G,5,FALSE)))</f>
        <v>The second line of the property address</v>
      </c>
    </row>
    <row r="21" spans="1:7" x14ac:dyDescent="0.35">
      <c r="A21" s="64" t="s">
        <v>1393</v>
      </c>
      <c r="B21" s="62" t="str">
        <f t="shared" si="0"/>
        <v>town</v>
      </c>
      <c r="C21" s="62" t="str">
        <f>IF(B21="", "", VLOOKUP(B21,'API Data Dictionary'!C:L,10,FALSE))</f>
        <v>M</v>
      </c>
      <c r="D21" s="62" t="str">
        <f>IF(B21="", "", VLOOKUP(B21,'API Data Dictionary'!C:D,2,FALSE))</f>
        <v>string</v>
      </c>
      <c r="E21" s="62">
        <f>IF(IF(B21="", "", VLOOKUP(B21,'API Data Dictionary'!C:E,3,FALSE))=0, "", IF(B21="", "", VLOOKUP(B21,'API Data Dictionary'!C:E,3,FALSE)))</f>
        <v>50</v>
      </c>
      <c r="F21" s="62" t="str">
        <f>IF(IF(B21="", "", VLOOKUP(B21,'API Data Dictionary'!C:F,4,FALSE))=0, "", IF(B21="", "", VLOOKUP(B21,'API Data Dictionary'!C:F,4,FALSE)))</f>
        <v/>
      </c>
      <c r="G21" s="62" t="str">
        <f>IF(IF(B21="", "", VLOOKUP(B21,'API Data Dictionary'!C:G,5,FALSE))=0, "", IF(B21="", "", VLOOKUP(B21,'API Data Dictionary'!C:G,5,FALSE)))</f>
        <v>The town in which the property exists</v>
      </c>
    </row>
    <row r="22" spans="1:7" x14ac:dyDescent="0.35">
      <c r="A22" s="64" t="s">
        <v>1394</v>
      </c>
      <c r="B22" s="62" t="str">
        <f t="shared" si="0"/>
        <v>postcode</v>
      </c>
      <c r="C22" s="62" t="str">
        <f>IF(B22="", "", VLOOKUP(B22,'API Data Dictionary'!C:L,10,FALSE))</f>
        <v>M</v>
      </c>
      <c r="D22" s="62" t="str">
        <f>IF(B22="", "", VLOOKUP(B22,'API Data Dictionary'!C:D,2,FALSE))</f>
        <v>string</v>
      </c>
      <c r="E22" s="62">
        <f>IF(IF(B22="", "", VLOOKUP(B22,'API Data Dictionary'!C:E,3,FALSE))=0, "", IF(B22="", "", VLOOKUP(B22,'API Data Dictionary'!C:E,3,FALSE)))</f>
        <v>50</v>
      </c>
      <c r="F22" s="62" t="str">
        <f>IF(IF(B22="", "", VLOOKUP(B22,'API Data Dictionary'!C:F,4,FALSE))=0, "", IF(B22="", "", VLOOKUP(B22,'API Data Dictionary'!C:F,4,FALSE)))</f>
        <v/>
      </c>
      <c r="G22" s="62" t="str">
        <f>IF(IF(B22="", "", VLOOKUP(B22,'API Data Dictionary'!C:G,5,FALSE))=0, "", IF(B22="", "", VLOOKUP(B22,'API Data Dictionary'!C:G,5,FALSE)))</f>
        <v>the postcode of the property</v>
      </c>
    </row>
    <row r="23" spans="1:7" x14ac:dyDescent="0.35">
      <c r="A23" s="64" t="s">
        <v>1395</v>
      </c>
      <c r="B23" s="62" t="str">
        <f t="shared" si="0"/>
        <v>ukCountryCode</v>
      </c>
      <c r="C23" s="62" t="str">
        <f>IF(B23="", "", VLOOKUP(B23,'API Data Dictionary'!C:L,10,FALSE))</f>
        <v>M</v>
      </c>
      <c r="D23" s="62" t="str">
        <f>IF(B23="", "", VLOOKUP(B23,'API Data Dictionary'!C:D,2,FALSE))</f>
        <v>enum - UK Country List</v>
      </c>
      <c r="E23" s="62" t="str">
        <f>IF(IF(B23="", "", VLOOKUP(B23,'API Data Dictionary'!C:E,3,FALSE))=0, "", IF(B23="", "", VLOOKUP(B23,'API Data Dictionary'!C:E,3,FALSE)))</f>
        <v/>
      </c>
      <c r="F23" s="62" t="str">
        <f>IF(IF(B23="", "", VLOOKUP(B23,'API Data Dictionary'!C:F,4,FALSE))=0, "", IF(B23="", "", VLOOKUP(B23,'API Data Dictionary'!C:F,4,FALSE)))</f>
        <v>Valid Values 1-4 (See enum definition)</v>
      </c>
      <c r="G23" s="62" t="str">
        <f>IF(IF(B23="", "", VLOOKUP(B23,'API Data Dictionary'!C:G,5,FALSE))=0, "", IF(B23="", "", VLOOKUP(B23,'API Data Dictionary'!C:G,5,FALSE)))</f>
        <v xml:space="preserve">The UK country Code </v>
      </c>
    </row>
    <row r="24" spans="1:7" x14ac:dyDescent="0.35">
      <c r="A24" s="64" t="s">
        <v>1105</v>
      </c>
      <c r="B24" s="62" t="str">
        <f t="shared" si="0"/>
        <v/>
      </c>
      <c r="C24" s="62" t="str">
        <f>IF(B24="", "", VLOOKUP(B24,'API Data Dictionary'!C:L,10,FALSE))</f>
        <v/>
      </c>
      <c r="D24" s="62" t="str">
        <f>IF(B24="", "", VLOOKUP(B24,'API Data Dictionary'!C:D,2,FALSE))</f>
        <v/>
      </c>
      <c r="E24" s="62" t="str">
        <f>IF(IF(B24="", "", VLOOKUP(B24,'API Data Dictionary'!C:E,3,FALSE))=0, "", IF(B24="", "", VLOOKUP(B24,'API Data Dictionary'!C:E,3,FALSE)))</f>
        <v/>
      </c>
      <c r="F24" s="62" t="str">
        <f>IF(IF(B24="", "", VLOOKUP(B24,'API Data Dictionary'!C:F,4,FALSE))=0, "", IF(B24="", "", VLOOKUP(B24,'API Data Dictionary'!C:F,4,FALSE)))</f>
        <v/>
      </c>
      <c r="G24" s="62" t="str">
        <f>IF(IF(B24="", "", VLOOKUP(B24,'API Data Dictionary'!C:G,5,FALSE))=0, "", IF(B24="", "", VLOOKUP(B24,'API Data Dictionary'!C:G,5,FALSE)))</f>
        <v/>
      </c>
    </row>
    <row r="25" spans="1:7" x14ac:dyDescent="0.35">
      <c r="A25" s="64" t="s">
        <v>1106</v>
      </c>
      <c r="B25" s="62" t="str">
        <f t="shared" si="0"/>
        <v/>
      </c>
      <c r="C25" s="62" t="str">
        <f>IF(B25="", "", VLOOKUP(B25,'API Data Dictionary'!C:L,10,FALSE))</f>
        <v/>
      </c>
      <c r="D25" s="62" t="str">
        <f>IF(B25="", "", VLOOKUP(B25,'API Data Dictionary'!C:D,2,FALSE))</f>
        <v/>
      </c>
      <c r="E25" s="62" t="str">
        <f>IF(IF(B25="", "", VLOOKUP(B25,'API Data Dictionary'!C:E,3,FALSE))=0, "", IF(B25="", "", VLOOKUP(B25,'API Data Dictionary'!C:E,3,FALSE)))</f>
        <v/>
      </c>
      <c r="F25" s="62" t="str">
        <f>IF(IF(B25="", "", VLOOKUP(B25,'API Data Dictionary'!C:F,4,FALSE))=0, "", IF(B25="", "", VLOOKUP(B25,'API Data Dictionary'!C:F,4,FALSE)))</f>
        <v/>
      </c>
      <c r="G25" s="62" t="str">
        <f>IF(IF(B25="", "", VLOOKUP(B25,'API Data Dictionary'!C:G,5,FALSE))=0, "", IF(B25="", "", VLOOKUP(B25,'API Data Dictionary'!C:G,5,FALSE)))</f>
        <v/>
      </c>
    </row>
    <row r="26" spans="1:7" x14ac:dyDescent="0.35">
      <c r="A26" s="64" t="s">
        <v>1107</v>
      </c>
      <c r="B26" s="62" t="str">
        <f t="shared" si="0"/>
        <v/>
      </c>
      <c r="C26" s="62" t="str">
        <f>IF(B26="", "", VLOOKUP(B26,'API Data Dictionary'!C:L,10,FALSE))</f>
        <v/>
      </c>
      <c r="D26" s="62" t="str">
        <f>IF(B26="", "", VLOOKUP(B26,'API Data Dictionary'!C:D,2,FALSE))</f>
        <v/>
      </c>
      <c r="E26" s="62" t="str">
        <f>IF(IF(B26="", "", VLOOKUP(B26,'API Data Dictionary'!C:E,3,FALSE))=0, "", IF(B26="", "", VLOOKUP(B26,'API Data Dictionary'!C:E,3,FALSE)))</f>
        <v/>
      </c>
      <c r="F26" s="62" t="str">
        <f>IF(IF(B26="", "", VLOOKUP(B26,'API Data Dictionary'!C:F,4,FALSE))=0, "", IF(B26="", "", VLOOKUP(B26,'API Data Dictionary'!C:F,4,FALSE)))</f>
        <v/>
      </c>
      <c r="G26" s="62" t="str">
        <f>IF(IF(B26="", "", VLOOKUP(B26,'API Data Dictionary'!C:G,5,FALSE))=0, "", IF(B26="", "", VLOOKUP(B26,'API Data Dictionary'!C:G,5,FALSE)))</f>
        <v/>
      </c>
    </row>
    <row r="27" spans="1:7" x14ac:dyDescent="0.35">
      <c r="A27" s="64" t="s">
        <v>1108</v>
      </c>
      <c r="B27" s="62" t="str">
        <f t="shared" si="0"/>
        <v>tenantTypeId</v>
      </c>
      <c r="C27" s="62" t="str">
        <f>IF(B27="", "", VLOOKUP(B27,'API Data Dictionary'!C:L,10,FALSE))</f>
        <v>M</v>
      </c>
      <c r="D27" s="62" t="str">
        <f>IF(B27="", "", VLOOKUP(B27,'API Data Dictionary'!C:D,2,FALSE))</f>
        <v>enum - Tenant Type</v>
      </c>
      <c r="E27" s="62" t="str">
        <f>IF(IF(B27="", "", VLOOKUP(B27,'API Data Dictionary'!C:E,3,FALSE))=0, "", IF(B27="", "", VLOOKUP(B27,'API Data Dictionary'!C:E,3,FALSE)))</f>
        <v/>
      </c>
      <c r="F27" s="62" t="str">
        <f>IF(IF(B27="", "", VLOOKUP(B27,'API Data Dictionary'!C:F,4,FALSE))=0, "", IF(B27="", "", VLOOKUP(B27,'API Data Dictionary'!C:F,4,FALSE)))</f>
        <v>Valid Values 1-4 (See enum definition)</v>
      </c>
      <c r="G27" s="62" t="str">
        <f>IF(IF(B27="", "", VLOOKUP(B27,'API Data Dictionary'!C:G,5,FALSE))=0, "", IF(B27="", "", VLOOKUP(B27,'API Data Dictionary'!C:G,5,FALSE)))</f>
        <v>The Type of the Tenant, e.g. lead or Guarantor</v>
      </c>
    </row>
    <row r="28" spans="1:7" x14ac:dyDescent="0.35">
      <c r="A28" s="64" t="s">
        <v>1109</v>
      </c>
      <c r="B28" s="62" t="str">
        <f t="shared" si="0"/>
        <v>referenceType</v>
      </c>
      <c r="C28" s="62" t="str">
        <f>IF(B28="", "", VLOOKUP(B28,'API Data Dictionary'!C:L,10,FALSE))</f>
        <v>M</v>
      </c>
      <c r="D28" s="62" t="str">
        <f>IF(B28="", "", VLOOKUP(B28,'API Data Dictionary'!C:D,2,FALSE))</f>
        <v>enum - Reference Type</v>
      </c>
      <c r="E28" s="62" t="str">
        <f>IF(IF(B28="", "", VLOOKUP(B28,'API Data Dictionary'!C:E,3,FALSE))=0, "", IF(B28="", "", VLOOKUP(B28,'API Data Dictionary'!C:E,3,FALSE)))</f>
        <v/>
      </c>
      <c r="F28" s="62" t="str">
        <f>IF(IF(B28="", "", VLOOKUP(B28,'API Data Dictionary'!C:F,4,FALSE))=0, "", IF(B28="", "", VLOOKUP(B28,'API Data Dictionary'!C:F,4,FALSE)))</f>
        <v>Valid Values 1-2 (See enum definition)</v>
      </c>
      <c r="G28" s="62" t="str">
        <f>IF(IF(B28="", "", VLOOKUP(B28,'API Data Dictionary'!C:G,5,FALSE))=0, "", IF(B28="", "", VLOOKUP(B28,'API Data Dictionary'!C:G,5,FALSE)))</f>
        <v>The Type of reference, e.g Full or Express</v>
      </c>
    </row>
    <row r="29" spans="1:7" x14ac:dyDescent="0.35">
      <c r="A29" s="64" t="s">
        <v>1110</v>
      </c>
      <c r="B29" s="62" t="str">
        <f t="shared" si="0"/>
        <v>rightToRent</v>
      </c>
      <c r="C29" s="62" t="str">
        <f>IF(B29="", "", VLOOKUP(B29,'API Data Dictionary'!C:L,10,FALSE))</f>
        <v>M</v>
      </c>
      <c r="D29" s="62" t="str">
        <f>IF(B29="", "", VLOOKUP(B29,'API Data Dictionary'!C:D,2,FALSE))</f>
        <v>boolean</v>
      </c>
      <c r="E29" s="62" t="str">
        <f>IF(IF(B29="", "", VLOOKUP(B29,'API Data Dictionary'!C:E,3,FALSE))=0, "", IF(B29="", "", VLOOKUP(B29,'API Data Dictionary'!C:E,3,FALSE)))</f>
        <v/>
      </c>
      <c r="F29" s="62" t="str">
        <f>IF(IF(B29="", "", VLOOKUP(B29,'API Data Dictionary'!C:F,4,FALSE))=0, "", IF(B29="", "", VLOOKUP(B29,'API Data Dictionary'!C:F,4,FALSE)))</f>
        <v/>
      </c>
      <c r="G29" s="62" t="str">
        <f>IF(IF(B29="", "", VLOOKUP(B29,'API Data Dictionary'!C:G,5,FALSE))=0, "", IF(B29="", "", VLOOKUP(B29,'API Data Dictionary'!C:G,5,FALSE)))</f>
        <v>Use Right to rent product for this reference</v>
      </c>
    </row>
    <row r="30" spans="1:7" x14ac:dyDescent="0.35">
      <c r="A30" s="64" t="s">
        <v>1111</v>
      </c>
      <c r="B30" s="62" t="str">
        <f t="shared" si="0"/>
        <v>title</v>
      </c>
      <c r="C30" s="62" t="str">
        <f>IF(B30="", "", VLOOKUP(B30,'API Data Dictionary'!C:L,10,FALSE))</f>
        <v>M</v>
      </c>
      <c r="D30" s="62" t="str">
        <f>IF(B30="", "", VLOOKUP(B30,'API Data Dictionary'!C:D,2,FALSE))</f>
        <v>enum - Title</v>
      </c>
      <c r="E30" s="62" t="str">
        <f>IF(IF(B30="", "", VLOOKUP(B30,'API Data Dictionary'!C:E,3,FALSE))=0, "", IF(B30="", "", VLOOKUP(B30,'API Data Dictionary'!C:E,3,FALSE)))</f>
        <v/>
      </c>
      <c r="F30" s="62" t="str">
        <f>IF(IF(B30="", "", VLOOKUP(B30,'API Data Dictionary'!C:F,4,FALSE))=0, "", IF(B30="", "", VLOOKUP(B30,'API Data Dictionary'!C:F,4,FALSE)))</f>
        <v>Valid Values 1-7 (See enum definition)</v>
      </c>
      <c r="G30" s="62" t="str">
        <f>IF(IF(B30="", "", VLOOKUP(B30,'API Data Dictionary'!C:G,5,FALSE))=0, "", IF(B30="", "", VLOOKUP(B30,'API Data Dictionary'!C:G,5,FALSE)))</f>
        <v>The persons title, e.g. Mr, Mrs, etc.</v>
      </c>
    </row>
    <row r="31" spans="1:7" x14ac:dyDescent="0.35">
      <c r="A31" s="64" t="s">
        <v>1396</v>
      </c>
      <c r="B31" s="62" t="str">
        <f t="shared" si="0"/>
        <v>otherTitle</v>
      </c>
      <c r="C31" s="62" t="str">
        <f>IF(B31="", "", VLOOKUP(B31,'API Data Dictionary'!C:L,10,FALSE))</f>
        <v>X</v>
      </c>
      <c r="D31" s="62" t="str">
        <f>IF(B31="", "", VLOOKUP(B31,'API Data Dictionary'!C:D,2,FALSE))</f>
        <v>string</v>
      </c>
      <c r="E31" s="62">
        <f>IF(IF(B31="", "", VLOOKUP(B31,'API Data Dictionary'!C:E,3,FALSE))=0, "", IF(B31="", "", VLOOKUP(B31,'API Data Dictionary'!C:E,3,FALSE)))</f>
        <v>100</v>
      </c>
      <c r="F31" s="62" t="str">
        <f>IF(IF(B31="", "", VLOOKUP(B31,'API Data Dictionary'!C:F,4,FALSE))=0, "", IF(B31="", "", VLOOKUP(B31,'API Data Dictionary'!C:F,4,FALSE)))</f>
        <v/>
      </c>
      <c r="G31" s="62" t="str">
        <f>IF(IF(B31="", "", VLOOKUP(B31,'API Data Dictionary'!C:G,5,FALSE))=0, "", IF(B31="", "", VLOOKUP(B31,'API Data Dictionary'!C:G,5,FALSE)))</f>
        <v>If other is chosen for title, this is a text field to enter the specific title</v>
      </c>
    </row>
    <row r="32" spans="1:7" x14ac:dyDescent="0.35">
      <c r="A32" s="64" t="s">
        <v>1397</v>
      </c>
      <c r="B32" s="62" t="str">
        <f t="shared" si="0"/>
        <v>firstName</v>
      </c>
      <c r="C32" s="62" t="str">
        <f>IF(B32="", "", VLOOKUP(B32,'API Data Dictionary'!C:L,10,FALSE))</f>
        <v>M</v>
      </c>
      <c r="D32" s="62" t="str">
        <f>IF(B32="", "", VLOOKUP(B32,'API Data Dictionary'!C:D,2,FALSE))</f>
        <v>string</v>
      </c>
      <c r="E32" s="62">
        <f>IF(IF(B32="", "", VLOOKUP(B32,'API Data Dictionary'!C:E,3,FALSE))=0, "", IF(B32="", "", VLOOKUP(B32,'API Data Dictionary'!C:E,3,FALSE)))</f>
        <v>100</v>
      </c>
      <c r="F32" s="62" t="str">
        <f>IF(IF(B32="", "", VLOOKUP(B32,'API Data Dictionary'!C:F,4,FALSE))=0, "", IF(B32="", "", VLOOKUP(B32,'API Data Dictionary'!C:F,4,FALSE)))</f>
        <v>pattern: ^[a-zA-Z0-9\-' ]*$</v>
      </c>
      <c r="G32" s="62" t="str">
        <f>IF(IF(B32="", "", VLOOKUP(B32,'API Data Dictionary'!C:G,5,FALSE))=0, "", IF(B32="", "", VLOOKUP(B32,'API Data Dictionary'!C:G,5,FALSE)))</f>
        <v>First name, validated against the RegEx pattern</v>
      </c>
    </row>
    <row r="33" spans="1:7" x14ac:dyDescent="0.35">
      <c r="A33" s="64" t="s">
        <v>1398</v>
      </c>
      <c r="B33" s="62" t="str">
        <f t="shared" si="0"/>
        <v>middleName</v>
      </c>
      <c r="C33" s="62" t="str">
        <f>IF(B33="", "", VLOOKUP(B33,'API Data Dictionary'!C:L,10,FALSE))</f>
        <v>X</v>
      </c>
      <c r="D33" s="62" t="str">
        <f>IF(B33="", "", VLOOKUP(B33,'API Data Dictionary'!C:D,2,FALSE))</f>
        <v>string</v>
      </c>
      <c r="E33" s="62">
        <f>IF(IF(B33="", "", VLOOKUP(B33,'API Data Dictionary'!C:E,3,FALSE))=0, "", IF(B33="", "", VLOOKUP(B33,'API Data Dictionary'!C:E,3,FALSE)))</f>
        <v>50</v>
      </c>
      <c r="F33" s="62" t="str">
        <f>IF(IF(B33="", "", VLOOKUP(B33,'API Data Dictionary'!C:F,4,FALSE))=0, "", IF(B33="", "", VLOOKUP(B33,'API Data Dictionary'!C:F,4,FALSE)))</f>
        <v>pattern: ^[a-zA-Z0-9\-' ]*$</v>
      </c>
      <c r="G33" s="62" t="str">
        <f>IF(IF(B33="", "", VLOOKUP(B33,'API Data Dictionary'!C:G,5,FALSE))=0, "", IF(B33="", "", VLOOKUP(B33,'API Data Dictionary'!C:G,5,FALSE)))</f>
        <v>Middle name, validated against the RegEx pattern</v>
      </c>
    </row>
    <row r="34" spans="1:7" x14ac:dyDescent="0.35">
      <c r="A34" s="64" t="s">
        <v>1399</v>
      </c>
      <c r="B34" s="62" t="str">
        <f t="shared" si="0"/>
        <v>surname</v>
      </c>
      <c r="C34" s="62" t="str">
        <f>IF(B34="", "", VLOOKUP(B34,'API Data Dictionary'!C:L,10,FALSE))</f>
        <v>M</v>
      </c>
      <c r="D34" s="62" t="str">
        <f>IF(B34="", "", VLOOKUP(B34,'API Data Dictionary'!C:D,2,FALSE))</f>
        <v>string</v>
      </c>
      <c r="E34" s="62">
        <f>IF(IF(B34="", "", VLOOKUP(B34,'API Data Dictionary'!C:E,3,FALSE))=0, "", IF(B34="", "", VLOOKUP(B34,'API Data Dictionary'!C:E,3,FALSE)))</f>
        <v>100</v>
      </c>
      <c r="F34" s="62" t="str">
        <f>IF(IF(B34="", "", VLOOKUP(B34,'API Data Dictionary'!C:F,4,FALSE))=0, "", IF(B34="", "", VLOOKUP(B34,'API Data Dictionary'!C:F,4,FALSE)))</f>
        <v>pattern: ^[a-zA-Z0-9\-' ]*$</v>
      </c>
      <c r="G34" s="62" t="str">
        <f>IF(IF(B34="", "", VLOOKUP(B34,'API Data Dictionary'!C:G,5,FALSE))=0, "", IF(B34="", "", VLOOKUP(B34,'API Data Dictionary'!C:G,5,FALSE)))</f>
        <v>Surname name, validated against the RegEx pattern</v>
      </c>
    </row>
    <row r="35" spans="1:7" x14ac:dyDescent="0.35">
      <c r="A35" s="64" t="s">
        <v>1400</v>
      </c>
      <c r="B35" s="62" t="str">
        <f t="shared" si="0"/>
        <v>shareOfRent</v>
      </c>
      <c r="C35" s="62" t="str">
        <f>IF(B35="", "", VLOOKUP(B35,'API Data Dictionary'!C:L,10,FALSE))</f>
        <v>M</v>
      </c>
      <c r="D35" s="62" t="str">
        <f>IF(B35="", "", VLOOKUP(B35,'API Data Dictionary'!C:D,2,FALSE))</f>
        <v>number (double)</v>
      </c>
      <c r="E35" s="62" t="str">
        <f>IF(IF(B35="", "", VLOOKUP(B35,'API Data Dictionary'!C:E,3,FALSE))=0, "", IF(B35="", "", VLOOKUP(B35,'API Data Dictionary'!C:E,3,FALSE)))</f>
        <v/>
      </c>
      <c r="F35" s="62" t="str">
        <f>IF(IF(B35="", "", VLOOKUP(B35,'API Data Dictionary'!C:F,4,FALSE))=0, "", IF(B35="", "", VLOOKUP(B35,'API Data Dictionary'!C:F,4,FALSE)))</f>
        <v>pattern: ^\d*.\d{0,2}$</v>
      </c>
      <c r="G35" s="62" t="str">
        <f>IF(IF(B35="", "", VLOOKUP(B35,'API Data Dictionary'!C:G,5,FALSE))=0, "", IF(B35="", "", VLOOKUP(B35,'API Data Dictionary'!C:G,5,FALSE)))</f>
        <v>GBP value of the applicants share of the rent</v>
      </c>
    </row>
    <row r="36" spans="1:7" x14ac:dyDescent="0.35">
      <c r="A36" s="64" t="s">
        <v>1375</v>
      </c>
      <c r="B36" s="62" t="str">
        <f t="shared" si="0"/>
        <v>telephoneCountryID</v>
      </c>
      <c r="C36" s="62" t="str">
        <f>IF(B36="", "", VLOOKUP(B36,'API Data Dictionary'!C:L,10,FALSE))</f>
        <v>M</v>
      </c>
      <c r="D36" s="62" t="str">
        <f>IF(B36="", "", VLOOKUP(B36,'API Data Dictionary'!C:D,2,FALSE))</f>
        <v>enum -Country/Location Code</v>
      </c>
      <c r="E36" s="62" t="str">
        <f>IF(IF(B36="", "", VLOOKUP(B36,'API Data Dictionary'!C:E,3,FALSE))=0, "", IF(B36="", "", VLOOKUP(B36,'API Data Dictionary'!C:E,3,FALSE)))</f>
        <v/>
      </c>
      <c r="F36" s="62" t="str">
        <f>IF(IF(B36="", "", VLOOKUP(B36,'API Data Dictionary'!C:F,4,FALSE))=0, "", IF(B36="", "", VLOOKUP(B36,'API Data Dictionary'!C:F,4,FALSE)))</f>
        <v>Valid Values 1-239 (See enum definition)</v>
      </c>
      <c r="G36" s="62" t="str">
        <f>IF(IF(B36="", "", VLOOKUP(B36,'API Data Dictionary'!C:G,5,FALSE))=0, "", IF(B36="", "", VLOOKUP(B36,'API Data Dictionary'!C:G,5,FALSE)))</f>
        <v>The country/location code of the phone number</v>
      </c>
    </row>
    <row r="37" spans="1:7" x14ac:dyDescent="0.35">
      <c r="A37" s="64" t="s">
        <v>1376</v>
      </c>
      <c r="B37" s="62" t="str">
        <f t="shared" si="0"/>
        <v>contactTelephoneNo</v>
      </c>
      <c r="C37" s="62" t="str">
        <f>IF(B37="", "", VLOOKUP(B37,'API Data Dictionary'!C:L,10,FALSE))</f>
        <v>M</v>
      </c>
      <c r="D37" s="62" t="str">
        <f>IF(B37="", "", VLOOKUP(B37,'API Data Dictionary'!C:D,2,FALSE))</f>
        <v>string</v>
      </c>
      <c r="E37" s="62">
        <f>IF(IF(B37="", "", VLOOKUP(B37,'API Data Dictionary'!C:E,3,FALSE))=0, "", IF(B37="", "", VLOOKUP(B37,'API Data Dictionary'!C:E,3,FALSE)))</f>
        <v>15</v>
      </c>
      <c r="F37" s="62" t="str">
        <f>IF(IF(B37="", "", VLOOKUP(B37,'API Data Dictionary'!C:F,4,FALSE))=0, "", IF(B37="", "", VLOOKUP(B37,'API Data Dictionary'!C:F,4,FALSE)))</f>
        <v>pattern: ^(\d{11})$</v>
      </c>
      <c r="G37" s="62" t="str">
        <f>IF(IF(B37="", "", VLOOKUP(B37,'API Data Dictionary'!C:G,5,FALSE))=0, "", IF(B37="", "", VLOOKUP(B37,'API Data Dictionary'!C:G,5,FALSE)))</f>
        <v xml:space="preserve">The telephone number </v>
      </c>
    </row>
    <row r="38" spans="1:7" x14ac:dyDescent="0.35">
      <c r="A38" s="64" t="s">
        <v>1401</v>
      </c>
      <c r="B38" s="62" t="str">
        <f t="shared" si="0"/>
        <v>emailAddress</v>
      </c>
      <c r="C38" s="62" t="str">
        <f>IF(B38="", "", VLOOKUP(B38,'API Data Dictionary'!C:L,10,FALSE))</f>
        <v>M</v>
      </c>
      <c r="D38" s="62" t="str">
        <f>IF(B38="", "", VLOOKUP(B38,'API Data Dictionary'!C:D,2,FALSE))</f>
        <v>string ($email)</v>
      </c>
      <c r="E38" s="62">
        <f>IF(IF(B38="", "", VLOOKUP(B38,'API Data Dictionary'!C:E,3,FALSE))=0, "", IF(B38="", "", VLOOKUP(B38,'API Data Dictionary'!C:E,3,FALSE)))</f>
        <v>200</v>
      </c>
      <c r="F38" s="62" t="str">
        <f>IF(IF(B38="", "", VLOOKUP(B38,'API Data Dictionary'!C:F,4,FALSE))=0, "", IF(B38="", "", VLOOKUP(B38,'API Data Dictionary'!C:F,4,FALSE)))</f>
        <v>pattern: ^(?!.*\.\.)(?!.*\\_\\_)(?!.*\-\-)[a-zA-Z0-9][-a-zA-Z0-9._]+[a-zA-Z0-9]@([-a-zA-Z0-9]+.)+[a-zA-Z]{2,5}$</v>
      </c>
      <c r="G38" s="62" t="str">
        <f>IF(IF(B38="", "", VLOOKUP(B38,'API Data Dictionary'!C:G,5,FALSE))=0, "", IF(B38="", "", VLOOKUP(B38,'API Data Dictionary'!C:G,5,FALSE)))</f>
        <v>The email address</v>
      </c>
    </row>
    <row r="39" spans="1:7" x14ac:dyDescent="0.35">
      <c r="A39" s="64" t="s">
        <v>1118</v>
      </c>
      <c r="B39" s="62" t="str">
        <f t="shared" si="0"/>
        <v/>
      </c>
      <c r="C39" s="62" t="str">
        <f>IF(B39="", "", VLOOKUP(B39,'API Data Dictionary'!C:L,10,FALSE))</f>
        <v/>
      </c>
      <c r="D39" s="62" t="str">
        <f>IF(B39="", "", VLOOKUP(B39,'API Data Dictionary'!C:D,2,FALSE))</f>
        <v/>
      </c>
      <c r="E39" s="62" t="str">
        <f>IF(IF(B39="", "", VLOOKUP(B39,'API Data Dictionary'!C:E,3,FALSE))=0, "", IF(B39="", "", VLOOKUP(B39,'API Data Dictionary'!C:E,3,FALSE)))</f>
        <v/>
      </c>
      <c r="F39" s="62" t="str">
        <f>IF(IF(B39="", "", VLOOKUP(B39,'API Data Dictionary'!C:F,4,FALSE))=0, "", IF(B39="", "", VLOOKUP(B39,'API Data Dictionary'!C:F,4,FALSE)))</f>
        <v/>
      </c>
      <c r="G39" s="62" t="str">
        <f>IF(IF(B39="", "", VLOOKUP(B39,'API Data Dictionary'!C:G,5,FALSE))=0, "", IF(B39="", "", VLOOKUP(B39,'API Data Dictionary'!C:G,5,FALSE)))</f>
        <v/>
      </c>
    </row>
    <row r="40" spans="1:7" x14ac:dyDescent="0.35">
      <c r="A40" s="64" t="s">
        <v>1119</v>
      </c>
      <c r="B40" s="62" t="str">
        <f t="shared" si="0"/>
        <v/>
      </c>
      <c r="C40" s="62" t="str">
        <f>IF(B40="", "", VLOOKUP(B40,'API Data Dictionary'!C:L,10,FALSE))</f>
        <v/>
      </c>
      <c r="D40" s="62" t="str">
        <f>IF(B40="", "", VLOOKUP(B40,'API Data Dictionary'!C:D,2,FALSE))</f>
        <v/>
      </c>
      <c r="E40" s="62" t="str">
        <f>IF(IF(B40="", "", VLOOKUP(B40,'API Data Dictionary'!C:E,3,FALSE))=0, "", IF(B40="", "", VLOOKUP(B40,'API Data Dictionary'!C:E,3,FALSE)))</f>
        <v/>
      </c>
      <c r="F40" s="62" t="str">
        <f>IF(IF(B40="", "", VLOOKUP(B40,'API Data Dictionary'!C:F,4,FALSE))=0, "", IF(B40="", "", VLOOKUP(B40,'API Data Dictionary'!C:F,4,FALSE)))</f>
        <v/>
      </c>
      <c r="G40" s="62" t="str">
        <f>IF(IF(B40="", "", VLOOKUP(B40,'API Data Dictionary'!C:G,5,FALSE))=0, "", IF(B40="", "", VLOOKUP(B40,'API Data Dictionary'!C:G,5,FALSE)))</f>
        <v/>
      </c>
    </row>
    <row r="41" spans="1:7" x14ac:dyDescent="0.35">
      <c r="A41" s="64" t="s">
        <v>1120</v>
      </c>
      <c r="B41" s="62" t="str">
        <f t="shared" si="0"/>
        <v/>
      </c>
      <c r="C41" s="62" t="str">
        <f>IF(B41="", "", VLOOKUP(B41,'API Data Dictionary'!C:L,10,FALSE))</f>
        <v/>
      </c>
      <c r="D41" s="62" t="str">
        <f>IF(B41="", "", VLOOKUP(B41,'API Data Dictionary'!C:D,2,FALSE))</f>
        <v/>
      </c>
      <c r="E41" s="62" t="str">
        <f>IF(IF(B41="", "", VLOOKUP(B41,'API Data Dictionary'!C:E,3,FALSE))=0, "", IF(B41="", "", VLOOKUP(B41,'API Data Dictionary'!C:E,3,FALSE)))</f>
        <v/>
      </c>
      <c r="F41" s="62" t="str">
        <f>IF(IF(B41="", "", VLOOKUP(B41,'API Data Dictionary'!C:F,4,FALSE))=0, "", IF(B41="", "", VLOOKUP(B41,'API Data Dictionary'!C:F,4,FALSE)))</f>
        <v/>
      </c>
      <c r="G41" s="62" t="str">
        <f>IF(IF(B41="", "", VLOOKUP(B41,'API Data Dictionary'!C:G,5,FALSE))=0, "", IF(B41="", "", VLOOKUP(B41,'API Data Dictionary'!C:G,5,FALSE)))</f>
        <v/>
      </c>
    </row>
    <row r="42" spans="1:7" x14ac:dyDescent="0.35">
      <c r="A42" s="103"/>
      <c r="B42" s="103"/>
      <c r="C42" s="103"/>
      <c r="D42" s="103"/>
      <c r="E42" s="103"/>
      <c r="F42" s="103"/>
      <c r="G42" s="103"/>
    </row>
    <row r="43" spans="1:7" x14ac:dyDescent="0.35">
      <c r="A43" s="222" t="s">
        <v>1751</v>
      </c>
      <c r="B43" s="222"/>
      <c r="C43" s="222"/>
      <c r="D43" s="222"/>
      <c r="E43" s="222"/>
      <c r="F43" s="222"/>
      <c r="G43" s="222"/>
    </row>
    <row r="44" spans="1:7" x14ac:dyDescent="0.35">
      <c r="A44" s="64" t="s">
        <v>1094</v>
      </c>
      <c r="B44" s="62" t="str">
        <f t="shared" si="0"/>
        <v/>
      </c>
      <c r="C44" s="62" t="str">
        <f>IF(B44="", "", VLOOKUP(B44,'API Data Dictionary'!C:L,10,FALSE))</f>
        <v/>
      </c>
      <c r="D44" s="62" t="str">
        <f>IF(B44="", "", VLOOKUP(B44,'API Data Dictionary'!C:D,2,FALSE))</f>
        <v/>
      </c>
      <c r="E44" s="62" t="str">
        <f>IF(IF(B44="", "", VLOOKUP(B44,'API Data Dictionary'!C:E,3,FALSE))=0, "", IF(B44="", "", VLOOKUP(B44,'API Data Dictionary'!C:E,3,FALSE)))</f>
        <v/>
      </c>
      <c r="F44" s="62" t="str">
        <f>IF(IF(B44="", "", VLOOKUP(B44,'API Data Dictionary'!C:F,4,FALSE))=0, "", IF(B44="", "", VLOOKUP(B44,'API Data Dictionary'!C:F,4,FALSE)))</f>
        <v/>
      </c>
      <c r="G44" s="62" t="str">
        <f>IF(IF(B44="", "", VLOOKUP(B44,'API Data Dictionary'!C:G,5,FALSE))=0, "", IF(B44="", "", VLOOKUP(B44,'API Data Dictionary'!C:G,5,FALSE)))</f>
        <v/>
      </c>
    </row>
    <row r="45" spans="1:7" x14ac:dyDescent="0.35">
      <c r="A45" s="64" t="s">
        <v>1350</v>
      </c>
      <c r="B45" s="62" t="str">
        <f t="shared" si="0"/>
        <v>success</v>
      </c>
      <c r="C45" s="62" t="s">
        <v>68</v>
      </c>
      <c r="D45" s="62" t="str">
        <f>IF(B45="", "", VLOOKUP(B45,'API Data Dictionary'!C:D,2,FALSE))</f>
        <v>string - Boolean</v>
      </c>
      <c r="E45" s="62">
        <f>IF(IF(B45="", "", VLOOKUP(B45,'API Data Dictionary'!C:E,3,FALSE))=0, "", IF(B45="", "", VLOOKUP(B45,'API Data Dictionary'!C:E,3,FALSE)))</f>
        <v>100</v>
      </c>
      <c r="F45" s="62" t="str">
        <f>IF(IF(B45="", "", VLOOKUP(B45,'API Data Dictionary'!C:F,4,FALSE))=0, "", IF(B45="", "", VLOOKUP(B45,'API Data Dictionary'!C:F,4,FALSE)))</f>
        <v/>
      </c>
      <c r="G45" s="62" t="str">
        <f>IF(IF(B45="", "", VLOOKUP(B45,'API Data Dictionary'!C:G,5,FALSE))=0, "", IF(B45="", "", VLOOKUP(B45,'API Data Dictionary'!C:G,5,FALSE)))</f>
        <v>Returns true when successful call/connection</v>
      </c>
    </row>
    <row r="46" spans="1:7" x14ac:dyDescent="0.35">
      <c r="A46" s="64" t="s">
        <v>1377</v>
      </c>
      <c r="B46" s="62" t="str">
        <f t="shared" si="0"/>
        <v/>
      </c>
      <c r="C46" s="62" t="str">
        <f>IF(B46="", "", VLOOKUP(B46,'API Data Dictionary'!C:L,10,FALSE))</f>
        <v/>
      </c>
      <c r="D46" s="62" t="str">
        <f>IF(B46="", "", VLOOKUP(B46,'API Data Dictionary'!C:D,2,FALSE))</f>
        <v/>
      </c>
      <c r="E46" s="62" t="str">
        <f>IF(IF(B46="", "", VLOOKUP(B46,'API Data Dictionary'!C:E,3,FALSE))=0, "", IF(B46="", "", VLOOKUP(B46,'API Data Dictionary'!C:E,3,FALSE)))</f>
        <v/>
      </c>
      <c r="F46" s="62" t="str">
        <f>IF(IF(B46="", "", VLOOKUP(B46,'API Data Dictionary'!C:F,4,FALSE))=0, "", IF(B46="", "", VLOOKUP(B46,'API Data Dictionary'!C:F,4,FALSE)))</f>
        <v/>
      </c>
      <c r="G46" s="62" t="str">
        <f>IF(IF(B46="", "", VLOOKUP(B46,'API Data Dictionary'!C:G,5,FALSE))=0, "", IF(B46="", "", VLOOKUP(B46,'API Data Dictionary'!C:G,5,FALSE)))</f>
        <v/>
      </c>
    </row>
    <row r="47" spans="1:7" x14ac:dyDescent="0.35">
      <c r="A47" s="64" t="s">
        <v>1378</v>
      </c>
      <c r="B47" s="62" t="str">
        <f t="shared" si="0"/>
        <v>agentCode</v>
      </c>
      <c r="C47" s="62" t="str">
        <f>IF(B47="", "", VLOOKUP(B47,'API Data Dictionary'!C:L,10,FALSE))</f>
        <v>M</v>
      </c>
      <c r="D47" s="62" t="str">
        <f>IF(B47="", "", VLOOKUP(B47,'API Data Dictionary'!C:D,2,FALSE))</f>
        <v>string</v>
      </c>
      <c r="E47" s="62">
        <f>IF(IF(B47="", "", VLOOKUP(B47,'API Data Dictionary'!C:E,3,FALSE))=0, "", IF(B47="", "", VLOOKUP(B47,'API Data Dictionary'!C:E,3,FALSE)))</f>
        <v>50</v>
      </c>
      <c r="F47" s="62" t="str">
        <f>IF(IF(B47="", "", VLOOKUP(B47,'API Data Dictionary'!C:F,4,FALSE))=0, "", IF(B47="", "", VLOOKUP(B47,'API Data Dictionary'!C:F,4,FALSE)))</f>
        <v/>
      </c>
      <c r="G47" s="62" t="str">
        <f>IF(IF(B47="", "", VLOOKUP(B47,'API Data Dictionary'!C:G,5,FALSE))=0, "", IF(B47="", "", VLOOKUP(B47,'API Data Dictionary'!C:G,5,FALSE)))</f>
        <v>AgentCode is the Unique Key provided to the Agent when onboarding as a Barbon Customer.
An AgentID may be linked to many Properties being managed by that Agent and Each property may be linked to 1 or more TenancyID's.</v>
      </c>
    </row>
    <row r="48" spans="1:7" x14ac:dyDescent="0.35">
      <c r="A48" s="64" t="s">
        <v>1402</v>
      </c>
      <c r="B48" s="62" t="str">
        <f t="shared" si="0"/>
        <v>propertyTenancyId</v>
      </c>
      <c r="C48" s="62" t="s">
        <v>68</v>
      </c>
      <c r="D48" s="62" t="str">
        <f>IF(B48="", "", VLOOKUP(B48,'API Data Dictionary'!C:D,2,FALSE))</f>
        <v>integer</v>
      </c>
      <c r="E48" s="62" t="str">
        <f>IF(IF(B48="", "", VLOOKUP(B48,'API Data Dictionary'!C:E,3,FALSE))=0, "", IF(B48="", "", VLOOKUP(B48,'API Data Dictionary'!C:E,3,FALSE)))</f>
        <v/>
      </c>
      <c r="F48" s="62" t="str">
        <f>IF(IF(B48="", "", VLOOKUP(B48,'API Data Dictionary'!C:F,4,FALSE))=0, "", IF(B48="", "", VLOOKUP(B48,'API Data Dictionary'!C:F,4,FALSE)))</f>
        <v/>
      </c>
      <c r="G48" s="62" t="str">
        <f>IF(IF(B48="", "", VLOOKUP(B48,'API Data Dictionary'!C:G,5,FALSE))=0, "", IF(B48="", "", VLOOKUP(B48,'API Data Dictionary'!C:G,5,FALSE)))</f>
        <v>The ID of the property tenancy</v>
      </c>
    </row>
    <row r="49" spans="1:7" x14ac:dyDescent="0.35">
      <c r="A49" s="64" t="s">
        <v>1380</v>
      </c>
      <c r="B49" s="62" t="str">
        <f t="shared" si="0"/>
        <v/>
      </c>
      <c r="C49" s="62" t="str">
        <f>IF(B49="", "", VLOOKUP(B49,'API Data Dictionary'!C:L,10,FALSE))</f>
        <v/>
      </c>
      <c r="D49" s="62" t="str">
        <f>IF(B49="", "", VLOOKUP(B49,'API Data Dictionary'!C:D,2,FALSE))</f>
        <v/>
      </c>
      <c r="E49" s="62" t="str">
        <f>IF(IF(B49="", "", VLOOKUP(B49,'API Data Dictionary'!C:E,3,FALSE))=0, "", IF(B49="", "", VLOOKUP(B49,'API Data Dictionary'!C:E,3,FALSE)))</f>
        <v/>
      </c>
      <c r="F49" s="62" t="str">
        <f>IF(IF(B49="", "", VLOOKUP(B49,'API Data Dictionary'!C:F,4,FALSE))=0, "", IF(B49="", "", VLOOKUP(B49,'API Data Dictionary'!C:F,4,FALSE)))</f>
        <v/>
      </c>
      <c r="G49" s="62" t="str">
        <f>IF(IF(B49="", "", VLOOKUP(B49,'API Data Dictionary'!C:G,5,FALSE))=0, "", IF(B49="", "", VLOOKUP(B49,'API Data Dictionary'!C:G,5,FALSE)))</f>
        <v/>
      </c>
    </row>
    <row r="50" spans="1:7" x14ac:dyDescent="0.35">
      <c r="A50" s="64" t="s">
        <v>1381</v>
      </c>
      <c r="B50" s="62" t="str">
        <f t="shared" si="0"/>
        <v/>
      </c>
      <c r="C50" s="62" t="str">
        <f>IF(B50="", "", VLOOKUP(B50,'API Data Dictionary'!C:L,10,FALSE))</f>
        <v/>
      </c>
      <c r="D50" s="62" t="str">
        <f>IF(B50="", "", VLOOKUP(B50,'API Data Dictionary'!C:D,2,FALSE))</f>
        <v/>
      </c>
      <c r="E50" s="62" t="str">
        <f>IF(IF(B50="", "", VLOOKUP(B50,'API Data Dictionary'!C:E,3,FALSE))=0, "", IF(B50="", "", VLOOKUP(B50,'API Data Dictionary'!C:E,3,FALSE)))</f>
        <v/>
      </c>
      <c r="F50" s="62" t="str">
        <f>IF(IF(B50="", "", VLOOKUP(B50,'API Data Dictionary'!C:F,4,FALSE))=0, "", IF(B50="", "", VLOOKUP(B50,'API Data Dictionary'!C:F,4,FALSE)))</f>
        <v/>
      </c>
      <c r="G50" s="62" t="str">
        <f>IF(IF(B50="", "", VLOOKUP(B50,'API Data Dictionary'!C:G,5,FALSE))=0, "", IF(B50="", "", VLOOKUP(B50,'API Data Dictionary'!C:G,5,FALSE)))</f>
        <v/>
      </c>
    </row>
    <row r="51" spans="1:7" x14ac:dyDescent="0.35">
      <c r="A51" s="64" t="s">
        <v>1403</v>
      </c>
      <c r="B51" s="62" t="str">
        <f t="shared" si="0"/>
        <v>applicantID</v>
      </c>
      <c r="C51" s="62" t="s">
        <v>68</v>
      </c>
      <c r="D51" s="62" t="str">
        <f>IF(B51="", "", VLOOKUP(B51,'API Data Dictionary'!C:D,2,FALSE))</f>
        <v>integer</v>
      </c>
      <c r="E51" s="62" t="str">
        <f>IF(IF(B51="", "", VLOOKUP(B51,'API Data Dictionary'!C:E,3,FALSE))=0, "", IF(B51="", "", VLOOKUP(B51,'API Data Dictionary'!C:E,3,FALSE)))</f>
        <v/>
      </c>
      <c r="F51" s="62" t="str">
        <f>IF(IF(B51="", "", VLOOKUP(B51,'API Data Dictionary'!C:F,4,FALSE))=0, "", IF(B51="", "", VLOOKUP(B51,'API Data Dictionary'!C:F,4,FALSE)))</f>
        <v/>
      </c>
      <c r="G51" s="62" t="str">
        <f>IF(IF(B51="", "", VLOOKUP(B51,'API Data Dictionary'!C:G,5,FALSE))=0, "", IF(B51="", "", VLOOKUP(B51,'API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52" spans="1:7" x14ac:dyDescent="0.35">
      <c r="A52" s="64" t="s">
        <v>1404</v>
      </c>
      <c r="B52" s="62" t="str">
        <f t="shared" si="0"/>
        <v>applicantName</v>
      </c>
      <c r="C52" s="62" t="s">
        <v>68</v>
      </c>
      <c r="D52" s="62" t="s">
        <v>64</v>
      </c>
      <c r="E52" s="62">
        <v>50</v>
      </c>
      <c r="F52" s="62"/>
      <c r="G52" s="62" t="s">
        <v>1386</v>
      </c>
    </row>
    <row r="53" spans="1:7" x14ac:dyDescent="0.35">
      <c r="A53" s="64" t="s">
        <v>1992</v>
      </c>
      <c r="B53" s="62" t="s">
        <v>166</v>
      </c>
      <c r="C53" s="62" t="s">
        <v>68</v>
      </c>
      <c r="D53" s="62" t="s">
        <v>167</v>
      </c>
      <c r="E53" s="62">
        <v>200</v>
      </c>
      <c r="F53" s="62" t="s">
        <v>168</v>
      </c>
      <c r="G53" s="62" t="s">
        <v>169</v>
      </c>
    </row>
    <row r="54" spans="1:7" x14ac:dyDescent="0.35">
      <c r="A54" s="64" t="s">
        <v>1117</v>
      </c>
      <c r="B54" s="62" t="str">
        <f t="shared" si="0"/>
        <v/>
      </c>
      <c r="C54" s="62" t="str">
        <f>IF(B54="", "", VLOOKUP(B54,'API Data Dictionary'!C:L,10,FALSE))</f>
        <v/>
      </c>
      <c r="D54" s="62" t="str">
        <f>IF(B54="", "", VLOOKUP(B54,'API Data Dictionary'!C:D,2,FALSE))</f>
        <v/>
      </c>
      <c r="E54" s="62" t="str">
        <f>IF(IF(B54="", "", VLOOKUP(B54,'API Data Dictionary'!C:E,3,FALSE))=0, "", IF(B54="", "", VLOOKUP(B54,'API Data Dictionary'!C:E,3,FALSE)))</f>
        <v/>
      </c>
      <c r="F54" s="62" t="str">
        <f>IF(IF(B54="", "", VLOOKUP(B54,'API Data Dictionary'!C:F,4,FALSE))=0, "", IF(B54="", "", VLOOKUP(B54,'API Data Dictionary'!C:F,4,FALSE)))</f>
        <v/>
      </c>
      <c r="G54" s="62" t="str">
        <f>IF(IF(B55="", "", VLOOKUP(B55,'API Data Dictionary'!C:G,5,FALSE))=0, "", IF(B55="", "", VLOOKUP(B55,'API Data Dictionary'!C:G,5,FALSE)))</f>
        <v/>
      </c>
    </row>
    <row r="55" spans="1:7" x14ac:dyDescent="0.35">
      <c r="A55" s="64" t="s">
        <v>1383</v>
      </c>
      <c r="B55" s="62" t="str">
        <f t="shared" si="0"/>
        <v/>
      </c>
      <c r="C55" s="62" t="str">
        <f>IF(B55="", "", VLOOKUP(B55,'API Data Dictionary'!C:L,10,FALSE))</f>
        <v/>
      </c>
      <c r="D55" s="62" t="str">
        <f>IF(B55="", "", VLOOKUP(B55,'API Data Dictionary'!C:D,2,FALSE))</f>
        <v/>
      </c>
      <c r="E55" s="62" t="str">
        <f>IF(IF(B55="", "", VLOOKUP(B55,'API Data Dictionary'!C:E,3,FALSE))=0, "", IF(B55="", "", VLOOKUP(B55,'API Data Dictionary'!C:E,3,FALSE)))</f>
        <v/>
      </c>
      <c r="F55" s="62" t="str">
        <f>IF(IF(B55="", "", VLOOKUP(B55,'API Data Dictionary'!C:F,4,FALSE))=0, "", IF(B55="", "", VLOOKUP(B55,'API Data Dictionary'!C:F,4,FALSE)))</f>
        <v/>
      </c>
      <c r="G55" s="62" t="str">
        <f>IF(IF(B56="", "", VLOOKUP(B56,'API Data Dictionary'!C:G,5,FALSE))=0, "", IF(B56="", "", VLOOKUP(B56,'API Data Dictionary'!C:G,5,FALSE)))</f>
        <v/>
      </c>
    </row>
    <row r="56" spans="1:7" x14ac:dyDescent="0.35">
      <c r="A56" s="64" t="s">
        <v>1105</v>
      </c>
      <c r="B56" s="62" t="str">
        <f t="shared" si="0"/>
        <v/>
      </c>
      <c r="C56" s="62" t="str">
        <f>IF(B56="", "", VLOOKUP(B56,'API Data Dictionary'!C:L,10,FALSE))</f>
        <v/>
      </c>
      <c r="D56" s="62" t="str">
        <f>IF(B56="", "", VLOOKUP(B56,'API Data Dictionary'!C:D,2,FALSE))</f>
        <v/>
      </c>
      <c r="E56" s="62" t="str">
        <f>IF(IF(B56="", "", VLOOKUP(B56,'API Data Dictionary'!C:E,3,FALSE))=0, "", IF(B56="", "", VLOOKUP(B56,'API Data Dictionary'!C:E,3,FALSE)))</f>
        <v/>
      </c>
      <c r="F56" s="62" t="str">
        <f>IF(IF(B56="", "", VLOOKUP(B56,'API Data Dictionary'!C:F,4,FALSE))=0, "", IF(B56="", "", VLOOKUP(B56,'API Data Dictionary'!C:F,4,FALSE)))</f>
        <v/>
      </c>
      <c r="G56" s="62" t="str">
        <f>IF(IF(B57="", "", VLOOKUP(B57,'API Data Dictionary'!C:G,5,FALSE))=0, "", IF(B57="", "", VLOOKUP(B57,'API Data Dictionary'!C:G,5,FALSE)))</f>
        <v>return value, null or success, unless there has been error</v>
      </c>
    </row>
    <row r="57" spans="1:7" s="249" customFormat="1" x14ac:dyDescent="0.35">
      <c r="A57" s="96" t="s">
        <v>1788</v>
      </c>
      <c r="B57" s="248" t="str">
        <f t="shared" si="0"/>
        <v>message</v>
      </c>
      <c r="C57" s="248" t="s">
        <v>68</v>
      </c>
      <c r="D57" s="248" t="str">
        <f>IF(B57="", "", VLOOKUP(B57,'API Data Dictionary'!C:D,2,FALSE))</f>
        <v>string</v>
      </c>
      <c r="E57" s="248">
        <f>IF(IF(B57="", "", VLOOKUP(B57,'API Data Dictionary'!C:E,3,FALSE))=0, "", IF(B57="", "", VLOOKUP(B57,'API Data Dictionary'!C:E,3,FALSE)))</f>
        <v>100</v>
      </c>
      <c r="F57" s="248" t="str">
        <f>IF(IF(B57="", "", VLOOKUP(B57,'API Data Dictionary'!C:F,4,FALSE))=0, "", IF(B57="", "", VLOOKUP(B57,'API Data Dictionary'!C:F,4,FALSE)))</f>
        <v/>
      </c>
      <c r="G57" s="248" t="str">
        <f>IF(IF(B58="", "", VLOOKUP(B58,'API Data Dictionary'!C:G,5,FALSE))=0, "", IF(B58="", "", VLOOKUP(B58,'API Data Dictionary'!C:G,5,FALSE)))</f>
        <v/>
      </c>
    </row>
    <row r="58" spans="1:7" x14ac:dyDescent="0.35">
      <c r="A58" s="64" t="s">
        <v>1120</v>
      </c>
      <c r="B58" s="62" t="str">
        <f t="shared" si="0"/>
        <v/>
      </c>
      <c r="C58" s="62" t="str">
        <f>IF(B58="", "", VLOOKUP(B58,'API Data Dictionary'!C:L,10,FALSE))</f>
        <v/>
      </c>
      <c r="D58" s="62" t="str">
        <f>IF(B58="", "", VLOOKUP(B58,'API Data Dictionary'!C:D,2,FALSE))</f>
        <v/>
      </c>
      <c r="E58" s="62" t="str">
        <f>IF(IF(B58="", "", VLOOKUP(B58,'API Data Dictionary'!C:E,3,FALSE))=0, "", IF(B58="", "", VLOOKUP(B58,'API Data Dictionary'!C:E,3,FALSE)))</f>
        <v/>
      </c>
      <c r="F58" s="62" t="str">
        <f>IF(IF(B58="", "", VLOOKUP(B58,'API Data Dictionary'!C:F,4,FALSE))=0, "", IF(B58="", "", VLOOKUP(B58,'API Data Dictionary'!C:F,4,FALSE)))</f>
        <v/>
      </c>
    </row>
    <row r="59" spans="1:7" x14ac:dyDescent="0.35">
      <c r="G59" s="98"/>
    </row>
    <row r="60" spans="1:7" x14ac:dyDescent="0.35">
      <c r="A60" s="97" t="s">
        <v>1625</v>
      </c>
      <c r="B60" s="98"/>
      <c r="C60" s="98"/>
      <c r="D60" s="98"/>
      <c r="E60" s="98"/>
      <c r="F60" s="98"/>
      <c r="G60" s="89" t="s">
        <v>1562</v>
      </c>
    </row>
    <row r="61" spans="1:7" x14ac:dyDescent="0.35">
      <c r="A61" s="88" t="s">
        <v>1561</v>
      </c>
      <c r="B61" s="62" t="s">
        <v>1359</v>
      </c>
      <c r="C61" s="89" t="s">
        <v>1359</v>
      </c>
      <c r="D61" s="62" t="s">
        <v>64</v>
      </c>
      <c r="E61" s="89">
        <v>100</v>
      </c>
      <c r="F61" s="89"/>
    </row>
    <row r="62" spans="1:7" x14ac:dyDescent="0.35">
      <c r="G62" s="98"/>
    </row>
    <row r="63" spans="1:7" x14ac:dyDescent="0.35">
      <c r="A63" s="97" t="s">
        <v>1764</v>
      </c>
      <c r="B63" s="98"/>
      <c r="C63" s="98"/>
      <c r="D63" s="98"/>
      <c r="E63" s="98"/>
      <c r="F63" s="98"/>
      <c r="G63" s="89" t="s">
        <v>1765</v>
      </c>
    </row>
    <row r="64" spans="1:7" x14ac:dyDescent="0.35">
      <c r="A64" s="88" t="s">
        <v>1763</v>
      </c>
      <c r="B64" s="62" t="s">
        <v>1359</v>
      </c>
      <c r="C64" s="89" t="s">
        <v>1359</v>
      </c>
      <c r="D64" s="62" t="s">
        <v>64</v>
      </c>
      <c r="E64" s="89">
        <v>100</v>
      </c>
      <c r="F64" s="89"/>
    </row>
    <row r="65" spans="1:7" x14ac:dyDescent="0.35">
      <c r="G65" s="98"/>
    </row>
    <row r="66" spans="1:7" x14ac:dyDescent="0.35">
      <c r="A66" s="97" t="s">
        <v>1747</v>
      </c>
      <c r="B66" s="98"/>
      <c r="C66" s="98"/>
      <c r="D66" s="98"/>
      <c r="E66" s="98"/>
      <c r="F66" s="98"/>
      <c r="G66" s="62" t="str">
        <f>IF(IF(B67="", "", VLOOKUP(B67,'API Data Dictionary'!C:G,5,FALSE))=0, "", IF(B67="", "", VLOOKUP(B67,'API Data Dictionary'!C:G,5,FALSE)))</f>
        <v/>
      </c>
    </row>
    <row r="67" spans="1:7" x14ac:dyDescent="0.35">
      <c r="A67" s="64" t="s">
        <v>1094</v>
      </c>
      <c r="B67" s="62" t="str">
        <f t="shared" ref="B67:B69" si="1">IF(OR(ISNUMBER(SEARCH("{", A67)),ISNUMBER(SEARCH("[", A67))), "", IFERROR(MID(A67, SEARCH("""", A67) +1, SEARCH("""", A67, SEARCH("""",A67) +1) - SEARCH("""", A67) -1), ""))</f>
        <v/>
      </c>
      <c r="C67" s="62"/>
      <c r="D67" s="62" t="str">
        <f>IF(B67="", "", VLOOKUP(B67,'API Data Dictionary'!C:D,2,FALSE))</f>
        <v/>
      </c>
      <c r="E67" s="62" t="str">
        <f>IF(IF(B67="", "", VLOOKUP(B67,'API Data Dictionary'!C:E,3,FALSE))=0, "", IF(B67="", "", VLOOKUP(B67,'API Data Dictionary'!C:E,3,FALSE)))</f>
        <v/>
      </c>
      <c r="F67" s="62" t="str">
        <f>IF(IF(B67="", "", VLOOKUP(B67,'API Data Dictionary'!C:F,4,FALSE))=0, "", IF(B67="", "", VLOOKUP(B67,'API Data Dictionary'!C:F,4,FALSE)))</f>
        <v/>
      </c>
      <c r="G67" s="62" t="str">
        <f>IF(IF(B68="", "", VLOOKUP(B68,'API Data Dictionary'!C:G,5,FALSE))=0, "", IF(B68="", "", VLOOKUP(B68,'API Data Dictionary'!C:G,5,FALSE)))</f>
        <v>Returns true when successful call/connection</v>
      </c>
    </row>
    <row r="68" spans="1:7" x14ac:dyDescent="0.35">
      <c r="A68" s="64" t="s">
        <v>1574</v>
      </c>
      <c r="B68" s="62" t="str">
        <f t="shared" si="1"/>
        <v>success</v>
      </c>
      <c r="C68" s="62" t="s">
        <v>68</v>
      </c>
      <c r="D68" s="62" t="str">
        <f>IF(B68="", "", VLOOKUP(B68,'API Data Dictionary'!C:D,2,FALSE))</f>
        <v>string - Boolean</v>
      </c>
      <c r="E68" s="62">
        <f>IF(IF(B68="", "", VLOOKUP(B68,'API Data Dictionary'!C:E,3,FALSE))=0, "", IF(B68="", "", VLOOKUP(B68,'API Data Dictionary'!C:E,3,FALSE)))</f>
        <v>100</v>
      </c>
      <c r="F68" s="62" t="str">
        <f>IF(IF(B68="", "", VLOOKUP(B68,'API Data Dictionary'!C:F,4,FALSE))=0, "", IF(B68="", "", VLOOKUP(B68,'API Data Dictionary'!C:F,4,FALSE)))</f>
        <v/>
      </c>
      <c r="G68" s="62" t="str">
        <f>IF(IF(B69="", "", VLOOKUP(B69,'API Data Dictionary'!C:G,5,FALSE))=0, "", IF(B69="", "", VLOOKUP(B69,'API Data Dictionary'!C:G,5,FALSE)))</f>
        <v/>
      </c>
    </row>
    <row r="69" spans="1:7" x14ac:dyDescent="0.35">
      <c r="A69" s="64" t="s">
        <v>1377</v>
      </c>
      <c r="B69" s="62" t="str">
        <f t="shared" si="1"/>
        <v/>
      </c>
      <c r="C69" s="62" t="str">
        <f>IF(B69="", "", VLOOKUP(B69,'API Data Dictionary'!C:L,10,FALSE))</f>
        <v/>
      </c>
      <c r="D69" s="62" t="str">
        <f>IF(B69="", "", VLOOKUP(B69,'API Data Dictionary'!C:D,2,FALSE))</f>
        <v/>
      </c>
      <c r="E69" s="62" t="str">
        <f>IF(IF(B69="", "", VLOOKUP(B69,'API Data Dictionary'!C:E,3,FALSE))=0, "", IF(B69="", "", VLOOKUP(B69,'API Data Dictionary'!C:E,3,FALSE)))</f>
        <v/>
      </c>
      <c r="F69" s="62" t="str">
        <f>IF(IF(B69="", "", VLOOKUP(B69,'API Data Dictionary'!C:F,4,FALSE))=0, "", IF(B69="", "", VLOOKUP(B69,'API Data Dictionary'!C:F,4,FALSE)))</f>
        <v/>
      </c>
      <c r="G69" s="62"/>
    </row>
    <row r="70" spans="1:7" x14ac:dyDescent="0.35">
      <c r="A70" s="64" t="s">
        <v>1564</v>
      </c>
      <c r="B70" s="62" t="s">
        <v>1589</v>
      </c>
      <c r="C70" s="62" t="s">
        <v>68</v>
      </c>
      <c r="D70" t="s">
        <v>1593</v>
      </c>
      <c r="E70" s="62"/>
      <c r="F70" s="62"/>
      <c r="G70" s="62"/>
    </row>
    <row r="71" spans="1:7" x14ac:dyDescent="0.35">
      <c r="A71" s="64" t="s">
        <v>1565</v>
      </c>
      <c r="B71" s="62" t="s">
        <v>1590</v>
      </c>
      <c r="C71" s="62" t="s">
        <v>68</v>
      </c>
      <c r="D71" s="62" t="s">
        <v>64</v>
      </c>
      <c r="E71" s="106" t="s">
        <v>1594</v>
      </c>
      <c r="F71" s="62"/>
      <c r="G71" s="62"/>
    </row>
    <row r="72" spans="1:7" x14ac:dyDescent="0.35">
      <c r="A72" s="64" t="s">
        <v>1607</v>
      </c>
      <c r="B72" s="62" t="s">
        <v>1591</v>
      </c>
      <c r="C72" s="62" t="s">
        <v>68</v>
      </c>
      <c r="D72" s="62" t="s">
        <v>64</v>
      </c>
      <c r="E72" s="106" t="s">
        <v>1594</v>
      </c>
      <c r="F72" s="62"/>
      <c r="G72" s="62"/>
    </row>
    <row r="73" spans="1:7" x14ac:dyDescent="0.35">
      <c r="A73" s="64" t="s">
        <v>1116</v>
      </c>
      <c r="B73" s="62" t="str">
        <f t="shared" ref="B73:B82" si="2">IF(OR(ISNUMBER(SEARCH("{", A73)),ISNUMBER(SEARCH("[", A73))), "", IFERROR(MID(A73, SEARCH("""", A73) +1, SEARCH("""", A73, SEARCH("""",A73) +1) - SEARCH("""", A73) -1), ""))</f>
        <v/>
      </c>
      <c r="C73" s="62" t="str">
        <f>IF(B73="", "", VLOOKUP(B73,'API Data Dictionary'!C:L,10,FALSE))</f>
        <v/>
      </c>
      <c r="D73" s="62" t="str">
        <f>IF(B73="", "", VLOOKUP(B73,'API Data Dictionary'!C:D,2,FALSE))</f>
        <v/>
      </c>
      <c r="E73" s="106"/>
      <c r="F73" s="62"/>
      <c r="G73" s="62"/>
    </row>
    <row r="74" spans="1:7" x14ac:dyDescent="0.35">
      <c r="A74" s="64" t="s">
        <v>1585</v>
      </c>
      <c r="B74" s="62" t="s">
        <v>1590</v>
      </c>
      <c r="C74" s="62" t="s">
        <v>68</v>
      </c>
      <c r="D74" s="62" t="s">
        <v>64</v>
      </c>
      <c r="E74" s="106" t="s">
        <v>1594</v>
      </c>
      <c r="F74" s="62"/>
      <c r="G74" s="62"/>
    </row>
    <row r="75" spans="1:7" x14ac:dyDescent="0.35">
      <c r="A75" s="64" t="s">
        <v>1586</v>
      </c>
      <c r="B75" s="62" t="s">
        <v>1591</v>
      </c>
      <c r="C75" s="62" t="s">
        <v>68</v>
      </c>
      <c r="D75" s="62" t="s">
        <v>64</v>
      </c>
      <c r="E75" s="106" t="s">
        <v>1594</v>
      </c>
      <c r="F75" s="62"/>
      <c r="G75" s="62"/>
    </row>
    <row r="76" spans="1:7" x14ac:dyDescent="0.35">
      <c r="A76" s="64" t="s">
        <v>1566</v>
      </c>
      <c r="B76" s="62" t="str">
        <f t="shared" si="2"/>
        <v/>
      </c>
      <c r="C76" s="62" t="str">
        <f>IF(B76="", "", VLOOKUP(B76,'API Data Dictionary'!C:L,10,FALSE))</f>
        <v/>
      </c>
      <c r="D76" s="62" t="str">
        <f>IF(B76="", "", VLOOKUP(B76,'API Data Dictionary'!C:D,2,FALSE))</f>
        <v/>
      </c>
      <c r="E76" s="106"/>
      <c r="F76" s="62"/>
      <c r="G76" s="62"/>
    </row>
    <row r="77" spans="1:7" x14ac:dyDescent="0.35">
      <c r="A77" s="64" t="s">
        <v>1413</v>
      </c>
      <c r="B77" s="62" t="str">
        <f t="shared" si="2"/>
        <v/>
      </c>
      <c r="C77" s="62" t="str">
        <f>IF(B77="", "", VLOOKUP(B77,'API Data Dictionary'!C:L,10,FALSE))</f>
        <v/>
      </c>
      <c r="D77" s="62" t="str">
        <f>IF(B77="", "", VLOOKUP(B77,'API Data Dictionary'!C:D,2,FALSE))</f>
        <v/>
      </c>
      <c r="E77" s="106"/>
      <c r="F77" s="62"/>
      <c r="G77" s="62"/>
    </row>
    <row r="78" spans="1:7" x14ac:dyDescent="0.35">
      <c r="A78" s="64" t="s">
        <v>1587</v>
      </c>
      <c r="B78" s="62" t="s">
        <v>1579</v>
      </c>
      <c r="C78" s="62" t="s">
        <v>68</v>
      </c>
      <c r="D78" s="62" t="s">
        <v>64</v>
      </c>
      <c r="E78" s="106" t="s">
        <v>1594</v>
      </c>
      <c r="F78" s="62"/>
      <c r="G78" s="62"/>
    </row>
    <row r="79" spans="1:7" x14ac:dyDescent="0.35">
      <c r="A79" s="64" t="s">
        <v>1577</v>
      </c>
      <c r="B79" s="62" t="s">
        <v>1580</v>
      </c>
      <c r="C79" s="62" t="s">
        <v>68</v>
      </c>
      <c r="D79" s="62" t="s">
        <v>64</v>
      </c>
      <c r="E79" s="106" t="s">
        <v>1594</v>
      </c>
      <c r="F79" s="62"/>
      <c r="G79" s="62" t="str">
        <f>IF(IF(B80="", "", VLOOKUP(B80,'API Data Dictionary'!C:G,5,FALSE))=0, "", IF(B80="", "", VLOOKUP(B80,'API Data Dictionary'!C:G,5,FALSE)))</f>
        <v/>
      </c>
    </row>
    <row r="80" spans="1:7" x14ac:dyDescent="0.35">
      <c r="A80" s="64" t="s">
        <v>1105</v>
      </c>
      <c r="B80" s="62" t="str">
        <f t="shared" si="2"/>
        <v/>
      </c>
      <c r="C80" s="62" t="str">
        <f>IF(B80="", "", VLOOKUP(B80,'API Data Dictionary'!C:L,10,FALSE))</f>
        <v/>
      </c>
      <c r="D80" s="62" t="str">
        <f>IF(B80="", "", VLOOKUP(B80,'API Data Dictionary'!C:D,2,FALSE))</f>
        <v/>
      </c>
      <c r="E80" s="106" t="str">
        <f>IF(IF(B80="", "", VLOOKUP(B80,'API Data Dictionary'!C:E,3,FALSE))=0, "", IF(B80="", "", VLOOKUP(B80,'API Data Dictionary'!C:E,3,FALSE)))</f>
        <v/>
      </c>
      <c r="F80" s="62" t="str">
        <f>IF(IF(B80="", "", VLOOKUP(B80,'API Data Dictionary'!C:F,4,FALSE))=0, "", IF(B80="", "", VLOOKUP(B80,'API Data Dictionary'!C:F,4,FALSE)))</f>
        <v/>
      </c>
      <c r="G80" s="62"/>
    </row>
    <row r="81" spans="1:7" x14ac:dyDescent="0.35">
      <c r="A81" s="64" t="s">
        <v>1588</v>
      </c>
      <c r="B81" s="62" t="s">
        <v>1592</v>
      </c>
      <c r="C81" s="62" t="s">
        <v>68</v>
      </c>
      <c r="D81" s="62" t="s">
        <v>64</v>
      </c>
      <c r="E81" s="106" t="s">
        <v>1594</v>
      </c>
      <c r="F81" s="62"/>
      <c r="G81" s="62" t="str">
        <f>IF(IF(B82="", "", VLOOKUP(B82,'API Data Dictionary'!C:G,5,FALSE))=0, "", IF(B82="", "", VLOOKUP(B82,'API Data Dictionary'!C:G,5,FALSE)))</f>
        <v/>
      </c>
    </row>
    <row r="82" spans="1:7" x14ac:dyDescent="0.35">
      <c r="A82" s="64" t="s">
        <v>1120</v>
      </c>
      <c r="B82" s="62" t="str">
        <f t="shared" si="2"/>
        <v/>
      </c>
      <c r="C82" s="62"/>
      <c r="D82" s="62" t="str">
        <f>IF(B82="", "", VLOOKUP(B82,'API Data Dictionary'!C:D,2,FALSE))</f>
        <v/>
      </c>
      <c r="E82" s="62" t="str">
        <f>IF(IF(B82="", "", VLOOKUP(B82,'API Data Dictionary'!C:E,3,FALSE))=0, "", IF(B82="", "", VLOOKUP(B82,'API Data Dictionary'!C:E,3,FALSE)))</f>
        <v/>
      </c>
      <c r="F82" s="62" t="str">
        <f>IF(IF(B82="", "", VLOOKUP(B82,'API Data Dictionary'!C:F,4,FALSE))=0, "", IF(B82="", "", VLOOKUP(B82,'API Data Dictionary'!C:F,4,FALSE)))</f>
        <v/>
      </c>
    </row>
    <row r="83" spans="1:7" x14ac:dyDescent="0.35">
      <c r="A83" s="103"/>
      <c r="G83" s="98"/>
    </row>
    <row r="84" spans="1:7" x14ac:dyDescent="0.35">
      <c r="A84" s="98" t="s">
        <v>1598</v>
      </c>
      <c r="B84" s="98"/>
      <c r="C84" s="98"/>
      <c r="D84" s="98"/>
      <c r="E84" s="98"/>
      <c r="F84" s="98"/>
      <c r="G84" s="89" t="str">
        <f>IF(IF(B85="", "", VLOOKUP(B85,'API Data Dictionary'!C:G,5,FALSE))=0, "", IF(B85="", "", VLOOKUP(B85,'API Data Dictionary'!C:G,5,FALSE)))</f>
        <v/>
      </c>
    </row>
    <row r="85" spans="1:7" x14ac:dyDescent="0.35">
      <c r="A85" s="110" t="s">
        <v>1094</v>
      </c>
      <c r="B85" s="89" t="str">
        <f t="shared" ref="B85:B89" si="3">IF(OR(ISNUMBER(SEARCH("{", A85)),ISNUMBER(SEARCH("[", A85))), "", IFERROR(MID(A85, SEARCH("""", A85) +1, SEARCH("""", A85, SEARCH("""",A85) +1) - SEARCH("""", A85) -1), ""))</f>
        <v/>
      </c>
      <c r="C85" s="89" t="str">
        <f>IF(B85="", "", VLOOKUP(B85,'API Data Dictionary'!C:J,8,FALSE))</f>
        <v/>
      </c>
      <c r="D85" s="89" t="str">
        <f>IF(B85="", "", VLOOKUP(B85,'API Data Dictionary'!C:D,2,FALSE))</f>
        <v/>
      </c>
      <c r="E85" s="89" t="str">
        <f>IF(IF(B85="", "", VLOOKUP(B85,'API Data Dictionary'!C:E,3,FALSE))=0, "", IF(B85="", "", VLOOKUP(B85,'API Data Dictionary'!C:E,3,FALSE)))</f>
        <v/>
      </c>
      <c r="F85" s="89" t="str">
        <f>IF(IF(B85="", "", VLOOKUP(B85,'API Data Dictionary'!C:F,4,FALSE))=0, "", IF(B85="", "", VLOOKUP(B85,'API Data Dictionary'!C:F,4,FALSE)))</f>
        <v/>
      </c>
      <c r="G85" s="89" t="str">
        <f>IF(IF(B86="", "", VLOOKUP(B86,'API Data Dictionary'!C:G,5,FALSE))=0, "", IF(B86="", "", VLOOKUP(B86,'API Data Dictionary'!C:G,5,FALSE)))</f>
        <v>Returns true when successful call/connection</v>
      </c>
    </row>
    <row r="86" spans="1:7" x14ac:dyDescent="0.35">
      <c r="A86" s="110" t="s">
        <v>1567</v>
      </c>
      <c r="B86" s="89" t="str">
        <f t="shared" si="3"/>
        <v>success</v>
      </c>
      <c r="C86" s="89" t="s">
        <v>68</v>
      </c>
      <c r="D86" s="89" t="str">
        <f>IF(B86="", "", VLOOKUP(B86,'API Data Dictionary'!C:D,2,FALSE))</f>
        <v>string - Boolean</v>
      </c>
      <c r="E86" s="89">
        <f>IF(IF(B86="", "", VLOOKUP(B86,'API Data Dictionary'!C:E,3,FALSE))=0, "", IF(B86="", "", VLOOKUP(B86,'API Data Dictionary'!C:E,3,FALSE)))</f>
        <v>100</v>
      </c>
      <c r="F86" s="89" t="str">
        <f>IF(IF(B86="", "", VLOOKUP(B86,'API Data Dictionary'!C:F,4,FALSE))=0, "", IF(B86="", "", VLOOKUP(B86,'API Data Dictionary'!C:F,4,FALSE)))</f>
        <v/>
      </c>
      <c r="G86" s="89" t="str">
        <f>IF(IF(B87="", "", VLOOKUP(B87,'API Data Dictionary'!C:G,5,FALSE))=0, "", IF(B87="", "", VLOOKUP(B87,'API Data Dictionary'!C:G,5,FALSE)))</f>
        <v>Returns healthy when connection has worked properly</v>
      </c>
    </row>
    <row r="87" spans="1:7" x14ac:dyDescent="0.35">
      <c r="A87" s="110" t="s">
        <v>1596</v>
      </c>
      <c r="B87" s="89" t="str">
        <f t="shared" si="3"/>
        <v>payload</v>
      </c>
      <c r="C87" s="89" t="s">
        <v>68</v>
      </c>
      <c r="D87" s="89" t="str">
        <f>IF(B87="", "", VLOOKUP(B87,'API Data Dictionary'!C:D,2,FALSE))</f>
        <v>string</v>
      </c>
      <c r="E87" s="89">
        <f>IF(IF(B87="", "", VLOOKUP(B87,'API Data Dictionary'!C:E,3,FALSE))=0, "", IF(B87="", "", VLOOKUP(B87,'API Data Dictionary'!C:E,3,FALSE)))</f>
        <v>100</v>
      </c>
      <c r="F87" s="89" t="str">
        <f>IF(IF(B87="", "", VLOOKUP(B87,'API Data Dictionary'!C:F,4,FALSE))=0, "", IF(B87="", "", VLOOKUP(B87,'API Data Dictionary'!C:F,4,FALSE)))</f>
        <v/>
      </c>
      <c r="G87" s="89" t="str">
        <f>IF(IF(B88="", "", VLOOKUP(B88,'API Data Dictionary'!C:G,5,FALSE))=0, "", IF(B88="", "", VLOOKUP(B88,'API Data Dictionary'!C:G,5,FALSE)))</f>
        <v>return value, null or success, unless there has been error</v>
      </c>
    </row>
    <row r="88" spans="1:7" x14ac:dyDescent="0.35">
      <c r="A88" s="110" t="s">
        <v>1597</v>
      </c>
      <c r="B88" s="89" t="str">
        <f t="shared" si="3"/>
        <v>message</v>
      </c>
      <c r="C88" s="89" t="s">
        <v>68</v>
      </c>
      <c r="D88" s="89" t="str">
        <f>IF(B88="", "", VLOOKUP(B88,'API Data Dictionary'!C:D,2,FALSE))</f>
        <v>string</v>
      </c>
      <c r="E88" s="89">
        <f>IF(IF(B88="", "", VLOOKUP(B88,'API Data Dictionary'!C:E,3,FALSE))=0, "", IF(B88="", "", VLOOKUP(B88,'API Data Dictionary'!C:E,3,FALSE)))</f>
        <v>100</v>
      </c>
      <c r="F88" s="89" t="str">
        <f>IF(IF(B88="", "", VLOOKUP(B88,'API Data Dictionary'!C:F,4,FALSE))=0, "", IF(B88="", "", VLOOKUP(B88,'API Data Dictionary'!C:F,4,FALSE)))</f>
        <v/>
      </c>
      <c r="G88" s="89" t="str">
        <f>IF(IF(B89="", "", VLOOKUP(B89,'API Data Dictionary'!C:G,5,FALSE))=0, "", IF(B89="", "", VLOOKUP(B89,'API Data Dictionary'!C:G,5,FALSE)))</f>
        <v/>
      </c>
    </row>
    <row r="89" spans="1:7" x14ac:dyDescent="0.35">
      <c r="A89" s="110" t="s">
        <v>1120</v>
      </c>
      <c r="B89" s="89" t="str">
        <f t="shared" si="3"/>
        <v/>
      </c>
      <c r="C89" s="89" t="str">
        <f>IF(B89="", "", VLOOKUP(B89,'API Data Dictionary'!C:J,8,FALSE))</f>
        <v/>
      </c>
      <c r="D89" s="89" t="str">
        <f>IF(B89="", "", VLOOKUP(B89,'API Data Dictionary'!C:D,2,FALSE))</f>
        <v/>
      </c>
      <c r="E89" s="89" t="str">
        <f>IF(IF(B89="", "", VLOOKUP(B89,'API Data Dictionary'!C:E,3,FALSE))=0, "", IF(B89="", "", VLOOKUP(B89,'API Data Dictionary'!C:E,3,FALSE)))</f>
        <v/>
      </c>
      <c r="F89" s="89" t="str">
        <f>IF(IF(B89="", "", VLOOKUP(B89,'API Data Dictionary'!C:F,4,FALSE))=0, "", IF(B89="", "", VLOOKUP(B89,'API Data Dictionary'!C:F,4,FALSE)))</f>
        <v/>
      </c>
    </row>
  </sheetData>
  <mergeCells count="2">
    <mergeCell ref="A2:G2"/>
    <mergeCell ref="A43:G4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CD9F9-D4D4-4641-9431-FF5EE0290692}">
  <sheetPr>
    <tabColor rgb="FF4472C4"/>
  </sheetPr>
  <dimension ref="A1:G88"/>
  <sheetViews>
    <sheetView topLeftCell="A14" zoomScale="70" zoomScaleNormal="70" workbookViewId="0">
      <selection activeCell="A52" sqref="A52"/>
    </sheetView>
  </sheetViews>
  <sheetFormatPr defaultRowHeight="14.5" x14ac:dyDescent="0.35"/>
  <cols>
    <col min="1" max="1" width="119.453125" bestFit="1" customWidth="1"/>
    <col min="2" max="2" width="26.1796875" bestFit="1" customWidth="1"/>
    <col min="3" max="3" width="11.81640625" customWidth="1"/>
    <col min="4" max="4" width="34.1796875" bestFit="1" customWidth="1"/>
    <col min="6" max="6" width="45.453125" bestFit="1" customWidth="1"/>
    <col min="7" max="7" width="205.26953125" bestFit="1" customWidth="1"/>
  </cols>
  <sheetData>
    <row r="1" spans="1:7" ht="43.5" x14ac:dyDescent="0.35">
      <c r="A1" s="63" t="s">
        <v>1121</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B40" si="0">IF(OR(ISNUMBER(SEARCH("{", A3)),ISNUMBER(SEARCH("[", A3))), "", IFERROR(MID(A3, SEARCH("""", A3) +1, SEARCH("""", A3, SEARCH("""",A3) +1) - SEARCH("""", A3) -1), ""))</f>
        <v/>
      </c>
      <c r="C3" s="62" t="str">
        <f>IF(B3="", "", VLOOKUP(B3,'API Data Dictionary'!C:L,10,FALSE))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1292</v>
      </c>
      <c r="B4" s="62" t="str">
        <f t="shared" si="0"/>
        <v>agentCode</v>
      </c>
      <c r="C4" s="62" t="str">
        <f>IF(B4="", "", VLOOKUP(B4,'API Data Dictionary'!C:L,10,FALSE))</f>
        <v>M</v>
      </c>
      <c r="D4" s="62" t="str">
        <f>IF(B4="", "", VLOOKUP(B4,'API Data Dictionary'!C:D,2,FALSE))</f>
        <v>string</v>
      </c>
      <c r="E4" s="62">
        <f>IF(IF(B4="", "", VLOOKUP(B4,'API Data Dictionary'!C:E,3,FALSE))=0, "", IF(B4="", "", VLOOKUP(B4,'API Data Dictionary'!C:E,3,FALSE)))</f>
        <v>50</v>
      </c>
      <c r="F4" s="62" t="str">
        <f>IF(IF(B4="", "", VLOOKUP(B4,'API Data Dictionary'!C:F,4,FALSE))=0, "", IF(B4="", "", VLOOKUP(B4,'API Data Dictionary'!C:F,4,FALSE)))</f>
        <v/>
      </c>
      <c r="G4" s="62"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x14ac:dyDescent="0.35">
      <c r="A5" s="64" t="s">
        <v>1752</v>
      </c>
      <c r="B5" s="62" t="str">
        <f t="shared" si="0"/>
        <v>rentGuarantee</v>
      </c>
      <c r="C5" s="62" t="str">
        <f>IF(B5="", "", VLOOKUP(B5,'API Data Dictionary'!C:L,10,FALSE))</f>
        <v>M</v>
      </c>
      <c r="D5" s="62" t="str">
        <f>IF(B5="", "", VLOOKUP(B5,'API Data Dictionary'!C:D,2,FALSE))</f>
        <v>enum - Rent Guarantee</v>
      </c>
      <c r="E5" s="62" t="str">
        <f>IF(IF(B5="", "", VLOOKUP(B5,'API Data Dictionary'!C:E,3,FALSE))=0, "", IF(B5="", "", VLOOKUP(B5,'API Data Dictionary'!C:E,3,FALSE)))</f>
        <v/>
      </c>
      <c r="F5" s="62" t="str">
        <f>IF(IF(B5="", "", VLOOKUP(B5,'API Data Dictionary'!C:F,4,FALSE))=0, "", IF(B5="", "", VLOOKUP(B5,'API Data Dictionary'!C:F,4,FALSE)))</f>
        <v>Valid Values 1-4 (See enum definition)</v>
      </c>
      <c r="G5" s="62" t="str">
        <f>IF(IF(B5="", "", VLOOKUP(B5,'API Data Dictionary'!C:G,5,FALSE))=0, "", IF(B5="", "", VLOOKUP(B5,'API Data Dictionary'!C:G,5,FALSE)))</f>
        <v xml:space="preserve">Rent guarantee is an indicator that determines which RG option if any  the agent requires </v>
      </c>
    </row>
    <row r="6" spans="1:7" x14ac:dyDescent="0.35">
      <c r="A6" s="64" t="s">
        <v>1368</v>
      </c>
      <c r="B6" s="62" t="str">
        <f t="shared" si="0"/>
        <v>tenancyTermMonths</v>
      </c>
      <c r="C6" s="62" t="str">
        <f>IF(B6="", "", VLOOKUP(B6,'API Data Dictionary'!C:L,10,FALSE))</f>
        <v>M</v>
      </c>
      <c r="D6" s="62" t="str">
        <f>IF(B6="", "", VLOOKUP(B6,'API Data Dictionary'!C:D,2,FALSE))</f>
        <v>integer</v>
      </c>
      <c r="E6" s="62" t="str">
        <f>IF(IF(B6="", "", VLOOKUP(B6,'API Data Dictionary'!C:E,3,FALSE))=0, "", IF(B6="", "", VLOOKUP(B6,'API Data Dictionary'!C:E,3,FALSE)))</f>
        <v/>
      </c>
      <c r="F6" s="62" t="str">
        <f>IF(IF(B6="", "", VLOOKUP(B6,'API Data Dictionary'!C:F,4,FALSE))=0, "", IF(B6="", "", VLOOKUP(B6,'API Data Dictionary'!C:F,4,FALSE)))</f>
        <v/>
      </c>
      <c r="G6" s="62" t="str">
        <f>IF(IF(B6="", "", VLOOKUP(B6,'API Data Dictionary'!C:G,5,FALSE))=0, "", IF(B6="", "", VLOOKUP(B6,'API Data Dictionary'!C:G,5,FALSE)))</f>
        <v>The term of the Tenancy in months (whole months only)</v>
      </c>
    </row>
    <row r="7" spans="1:7" x14ac:dyDescent="0.35">
      <c r="A7" s="64" t="s">
        <v>1387</v>
      </c>
      <c r="B7" s="62" t="str">
        <f t="shared" si="0"/>
        <v>monthlyRental</v>
      </c>
      <c r="C7" s="62" t="str">
        <f>IF(B7="", "", VLOOKUP(B7,'API Data Dictionary'!C:L,10,FALSE))</f>
        <v>M</v>
      </c>
      <c r="D7" s="62" t="str">
        <f>IF(B7="", "", VLOOKUP(B7,'API Data Dictionary'!C:D,2,FALSE))</f>
        <v>number (double)</v>
      </c>
      <c r="E7" s="62" t="str">
        <f>IF(IF(B7="", "", VLOOKUP(B7,'API Data Dictionary'!C:E,3,FALSE))=0, "", IF(B7="", "", VLOOKUP(B7,'API Data Dictionary'!C:E,3,FALSE)))</f>
        <v/>
      </c>
      <c r="F7" s="62" t="str">
        <f>IF(IF(B7="", "", VLOOKUP(B7,'API Data Dictionary'!C:F,4,FALSE))=0, "", IF(B7="", "", VLOOKUP(B7,'API Data Dictionary'!C:F,4,FALSE)))</f>
        <v xml:space="preserve">	number($double)
pattern: ^\d*.\d{0,2}$</v>
      </c>
      <c r="G7" s="62" t="str">
        <f>IF(IF(B7="", "", VLOOKUP(B7,'API Data Dictionary'!C:G,5,FALSE))=0, "", IF(B7="", "", VLOOKUP(B7,'API Data Dictionary'!C:G,5,FALSE)))</f>
        <v>The monthly rental cost</v>
      </c>
    </row>
    <row r="8" spans="1:7" x14ac:dyDescent="0.35">
      <c r="A8" s="64" t="s">
        <v>1098</v>
      </c>
      <c r="B8" s="62" t="str">
        <f t="shared" si="0"/>
        <v>lettingType</v>
      </c>
      <c r="C8" s="62" t="str">
        <f>IF(B8="", "", VLOOKUP(B8,'API Data Dictionary'!C:L,10,FALSE))</f>
        <v>M</v>
      </c>
      <c r="D8" s="62" t="str">
        <f>IF(B8="", "", VLOOKUP(B8,'API Data Dictionary'!C:D,2,FALSE))</f>
        <v>enum - Letting Type</v>
      </c>
      <c r="E8" s="62" t="str">
        <f>IF(IF(B8="", "", VLOOKUP(B8,'API Data Dictionary'!C:E,3,FALSE))=0, "", IF(B8="", "", VLOOKUP(B8,'API Data Dictionary'!C:E,3,FALSE)))</f>
        <v/>
      </c>
      <c r="F8" s="62" t="str">
        <f>IF(IF(B8="", "", VLOOKUP(B8,'API Data Dictionary'!C:F,4,FALSE))=0, "", IF(B8="", "", VLOOKUP(B8,'API Data Dictionary'!C:F,4,FALSE)))</f>
        <v>Valid Values 1-3 (See enum definition)</v>
      </c>
      <c r="G8" s="62" t="str">
        <f>IF(IF(B8="", "", VLOOKUP(B8,'API Data Dictionary'!C:G,5,FALSE))=0, "", IF(B8="", "", VLOOKUP(B8,'API Data Dictionary'!C:G,5,FALSE)))</f>
        <v>The type of the letting, i.e. rent only or fully managed</v>
      </c>
    </row>
    <row r="9" spans="1:7" x14ac:dyDescent="0.35">
      <c r="A9" s="64" t="s">
        <v>1753</v>
      </c>
      <c r="B9" s="62" t="str">
        <f t="shared" si="0"/>
        <v>estimatedMoveInDate</v>
      </c>
      <c r="C9" s="62" t="str">
        <f>IF(B9="", "", VLOOKUP(B9,'API Data Dictionary'!C:L,10,FALSE))</f>
        <v>M</v>
      </c>
      <c r="D9" s="62" t="str">
        <f>IF(B9="", "", VLOOKUP(B9,'API Data Dictionary'!C:D,2,FALSE))</f>
        <v>string ($date-time)</v>
      </c>
      <c r="E9" s="62" t="str">
        <f>IF(IF(B9="", "", VLOOKUP(B9,'API Data Dictionary'!C:E,3,FALSE))=0, "", IF(B9="", "", VLOOKUP(B9,'API Data Dictionary'!C:E,3,FALSE)))</f>
        <v/>
      </c>
      <c r="F9" s="62" t="str">
        <f>IF(IF(B9="", "", VLOOKUP(B9,'API Data Dictionary'!C:F,4,FALSE))=0, "", IF(B9="", "", VLOOKUP(B9,'API Data Dictionary'!C:F,4,FALSE)))</f>
        <v>DD/MM/YYYY</v>
      </c>
      <c r="G9" s="62" t="str">
        <f>IF(IF(B9="", "", VLOOKUP(B9,'API Data Dictionary'!C:G,5,FALSE))=0, "", IF(B9="", "", VLOOKUP(B9,'API Data Dictionary'!C:G,5,FALSE)))</f>
        <v>Estimated date of tenancy start (move in)</v>
      </c>
    </row>
    <row r="10" spans="1:7" x14ac:dyDescent="0.35">
      <c r="A10" s="64" t="s">
        <v>1099</v>
      </c>
      <c r="B10" s="62" t="str">
        <f t="shared" si="0"/>
        <v>propertyType</v>
      </c>
      <c r="C10" s="62" t="str">
        <f>IF(B10="", "", VLOOKUP(B10,'API Data Dictionary'!C:L,10,FALSE))</f>
        <v>M</v>
      </c>
      <c r="D10" s="62" t="str">
        <f>IF(B10="", "", VLOOKUP(B10,'API Data Dictionary'!C:D,2,FALSE))</f>
        <v>enum - Property Type</v>
      </c>
      <c r="E10" s="62" t="str">
        <f>IF(IF(B10="", "", VLOOKUP(B10,'API Data Dictionary'!C:E,3,FALSE))=0, "", IF(B10="", "", VLOOKUP(B10,'API Data Dictionary'!C:E,3,FALSE)))</f>
        <v/>
      </c>
      <c r="F10" s="62" t="str">
        <f>IF(IF(B10="", "", VLOOKUP(B10,'API Data Dictionary'!C:F,4,FALSE))=0, "", IF(B10="", "", VLOOKUP(B10,'API Data Dictionary'!C:F,4,FALSE)))</f>
        <v>Valid Values 1-6 (See enum definition)</v>
      </c>
      <c r="G10" s="62" t="str">
        <f>IF(IF(B10="", "", VLOOKUP(B10,'API Data Dictionary'!C:G,5,FALSE))=0, "", IF(B10="", "", VLOOKUP(B10,'API Data Dictionary'!C:G,5,FALSE)))</f>
        <v xml:space="preserve">The Type of property </v>
      </c>
    </row>
    <row r="11" spans="1:7" x14ac:dyDescent="0.35">
      <c r="A11" s="64" t="s">
        <v>1388</v>
      </c>
      <c r="B11" s="62" t="str">
        <f t="shared" si="0"/>
        <v>propertyConstructionPeriod</v>
      </c>
      <c r="C11" s="62" t="s">
        <v>68</v>
      </c>
      <c r="D11" s="62" t="str">
        <f>IF(B11="", "", VLOOKUP(B11,'API Data Dictionary'!C:D,2,FALSE))</f>
        <v>enum - Property Construction Period</v>
      </c>
      <c r="E11" s="62" t="str">
        <f>IF(IF(B11="", "", VLOOKUP(B11,'API Data Dictionary'!C:E,3,FALSE))=0, "", IF(B11="", "", VLOOKUP(B11,'API Data Dictionary'!C:E,3,FALSE)))</f>
        <v/>
      </c>
      <c r="F11" s="62" t="str">
        <f>IF(IF(B11="", "", VLOOKUP(B11,'API Data Dictionary'!C:F,4,FALSE))=0, "", IF(B11="", "", VLOOKUP(B11,'API Data Dictionary'!C:F,4,FALSE)))</f>
        <v>Valid Values 1-9 (See enum definition)</v>
      </c>
      <c r="G11" s="62" t="str">
        <f>IF(IF(B11="", "", VLOOKUP(B11,'API Data Dictionary'!C:G,5,FALSE))=0, "", IF(B11="", "", VLOOKUP(B11,'API Data Dictionary'!C:G,5,FALSE)))</f>
        <v>The time period in which the property was built</v>
      </c>
    </row>
    <row r="12" spans="1:7" x14ac:dyDescent="0.35">
      <c r="A12" s="64" t="s">
        <v>1370</v>
      </c>
      <c r="B12" s="62" t="str">
        <f t="shared" si="0"/>
        <v>numberOfBedrooms</v>
      </c>
      <c r="C12" s="62" t="s">
        <v>68</v>
      </c>
      <c r="D12" s="62" t="str">
        <f>IF(B12="", "", VLOOKUP(B12,'API Data Dictionary'!C:D,2,FALSE))</f>
        <v>integer</v>
      </c>
      <c r="E12" s="62" t="str">
        <f>IF(IF(B12="", "", VLOOKUP(B12,'API Data Dictionary'!C:E,3,FALSE))=0, "", IF(B12="", "", VLOOKUP(B12,'API Data Dictionary'!C:E,3,FALSE)))</f>
        <v/>
      </c>
      <c r="F12" s="62" t="str">
        <f>IF(IF(B12="", "", VLOOKUP(B12,'API Data Dictionary'!C:F,4,FALSE))=0, "", IF(B12="", "", VLOOKUP(B12,'API Data Dictionary'!C:F,4,FALSE)))</f>
        <v/>
      </c>
      <c r="G12" s="62" t="str">
        <f>IF(IF(B12="", "", VLOOKUP(B12,'API Data Dictionary'!C:G,5,FALSE))=0, "", IF(B12="", "", VLOOKUP(B12,'API Data Dictionary'!C:G,5,FALSE)))</f>
        <v>The count of bedrooms in the property</v>
      </c>
    </row>
    <row r="13" spans="1:7" x14ac:dyDescent="0.35">
      <c r="A13" s="64" t="s">
        <v>1371</v>
      </c>
      <c r="B13" s="62" t="str">
        <f t="shared" si="0"/>
        <v>noOfAdultOccupants</v>
      </c>
      <c r="C13" s="62" t="s">
        <v>68</v>
      </c>
      <c r="D13" s="62" t="str">
        <f>IF(B13="", "", VLOOKUP(B13,'API Data Dictionary'!C:D,2,FALSE))</f>
        <v>integer</v>
      </c>
      <c r="E13" s="62" t="str">
        <f>IF(IF(B13="", "", VLOOKUP(B13,'API Data Dictionary'!C:E,3,FALSE))=0, "", IF(B13="", "", VLOOKUP(B13,'API Data Dictionary'!C:E,3,FALSE)))</f>
        <v/>
      </c>
      <c r="F13" s="62" t="str">
        <f>IF(IF(B13="", "", VLOOKUP(B13,'API Data Dictionary'!C:F,4,FALSE))=0, "", IF(B13="", "", VLOOKUP(B13,'API Data Dictionary'!C:F,4,FALSE)))</f>
        <v/>
      </c>
      <c r="G13" s="62" t="str">
        <f>IF(IF(B13="", "", VLOOKUP(B13,'API Data Dictionary'!C:G,5,FALSE))=0, "", IF(B13="", "", VLOOKUP(B13,'API Data Dictionary'!C:G,5,FALSE)))</f>
        <v>Number of Adult occupants (18 or over)</v>
      </c>
    </row>
    <row r="14" spans="1:7" x14ac:dyDescent="0.35">
      <c r="A14" s="64" t="s">
        <v>1372</v>
      </c>
      <c r="B14" s="62" t="str">
        <f t="shared" si="0"/>
        <v>noOfChildOccupants</v>
      </c>
      <c r="C14" s="62" t="s">
        <v>68</v>
      </c>
      <c r="D14" s="62" t="str">
        <f>IF(B14="", "", VLOOKUP(B14,'API Data Dictionary'!C:D,2,FALSE))</f>
        <v>integer</v>
      </c>
      <c r="E14" s="62" t="str">
        <f>IF(IF(B14="", "", VLOOKUP(B14,'API Data Dictionary'!C:E,3,FALSE))=0, "", IF(B14="", "", VLOOKUP(B14,'API Data Dictionary'!C:E,3,FALSE)))</f>
        <v/>
      </c>
      <c r="F14" s="62" t="str">
        <f>IF(IF(B14="", "", VLOOKUP(B14,'API Data Dictionary'!C:F,4,FALSE))=0, "", IF(B14="", "", VLOOKUP(B14,'API Data Dictionary'!C:F,4,FALSE)))</f>
        <v/>
      </c>
      <c r="G14" s="62" t="str">
        <f>IF(IF(B14="", "", VLOOKUP(B14,'API Data Dictionary'!C:G,5,FALSE))=0, "", IF(B14="", "", VLOOKUP(B14,'API Data Dictionary'!C:G,5,FALSE)))</f>
        <v>Number of Child Occupants (under 18)</v>
      </c>
    </row>
    <row r="15" spans="1:7" x14ac:dyDescent="0.35">
      <c r="A15" s="64" t="s">
        <v>1373</v>
      </c>
      <c r="B15" s="62" t="str">
        <f t="shared" si="0"/>
        <v>isAdvanceRent</v>
      </c>
      <c r="C15" s="62" t="s">
        <v>68</v>
      </c>
      <c r="D15" s="62" t="str">
        <f>IF(B15="", "", VLOOKUP(B15,'API Data Dictionary'!C:D,2,FALSE))</f>
        <v>boolean</v>
      </c>
      <c r="E15" s="62" t="str">
        <f>IF(IF(B15="", "", VLOOKUP(B15,'API Data Dictionary'!C:E,3,FALSE))=0, "", IF(B15="", "", VLOOKUP(B15,'API Data Dictionary'!C:E,3,FALSE)))</f>
        <v/>
      </c>
      <c r="F15" s="62" t="str">
        <f>IF(IF(B15="", "", VLOOKUP(B15,'API Data Dictionary'!C:F,4,FALSE))=0, "", IF(B15="", "", VLOOKUP(B15,'API Data Dictionary'!C:F,4,FALSE)))</f>
        <v/>
      </c>
      <c r="G15" s="62" t="str">
        <f>IF(IF(B15="", "", VLOOKUP(B15,'API Data Dictionary'!C:G,5,FALSE))=0, "", IF(B15="", "", VLOOKUP(B15,'API Data Dictionary'!C:G,5,FALSE)))</f>
        <v>Denotes whether rent is paid in advance</v>
      </c>
    </row>
    <row r="16" spans="1:7" x14ac:dyDescent="0.35">
      <c r="A16" s="64" t="s">
        <v>1103</v>
      </c>
      <c r="B16" s="62" t="str">
        <f t="shared" si="0"/>
        <v/>
      </c>
      <c r="C16" s="62" t="str">
        <f>IF(B16="", "", VLOOKUP(B16,'API Data Dictionary'!C:L,10,FALSE))</f>
        <v/>
      </c>
      <c r="D16" s="62" t="str">
        <f>IF(B16="", "", VLOOKUP(B16,'API Data Dictionary'!C:D,2,FALSE))</f>
        <v/>
      </c>
      <c r="E16" s="62" t="str">
        <f>IF(IF(B16="", "", VLOOKUP(B16,'API Data Dictionary'!C:E,3,FALSE))=0, "", IF(B16="", "", VLOOKUP(B16,'API Data Dictionary'!C:E,3,FALSE)))</f>
        <v/>
      </c>
      <c r="F16" s="62" t="str">
        <f>IF(IF(B16="", "", VLOOKUP(B16,'API Data Dictionary'!C:F,4,FALSE))=0, "", IF(B16="", "", VLOOKUP(B16,'API Data Dictionary'!C:F,4,FALSE)))</f>
        <v/>
      </c>
      <c r="G16" s="62" t="str">
        <f>IF(IF(B16="", "", VLOOKUP(B16,'API Data Dictionary'!C:G,5,FALSE))=0, "", IF(B16="", "", VLOOKUP(B16,'API Data Dictionary'!C:G,5,FALSE)))</f>
        <v/>
      </c>
    </row>
    <row r="17" spans="1:7" x14ac:dyDescent="0.35">
      <c r="A17" s="64" t="s">
        <v>1389</v>
      </c>
      <c r="B17" s="62" t="str">
        <f t="shared" si="0"/>
        <v>houseNumber</v>
      </c>
      <c r="C17" s="62" t="str">
        <f>IF(B17="", "", VLOOKUP(B17,'API Data Dictionary'!C:L,10,FALSE))</f>
        <v>X</v>
      </c>
      <c r="D17" s="62" t="str">
        <f>IF(B17="", "", VLOOKUP(B17,'API Data Dictionary'!C:D,2,FALSE))</f>
        <v>string</v>
      </c>
      <c r="E17" s="62">
        <f>IF(IF(B17="", "", VLOOKUP(B17,'API Data Dictionary'!C:E,3,FALSE))=0, "", IF(B17="", "", VLOOKUP(B17,'API Data Dictionary'!C:E,3,FALSE)))</f>
        <v>100</v>
      </c>
      <c r="F17" s="62" t="str">
        <f>IF(IF(B17="", "", VLOOKUP(B17,'API Data Dictionary'!C:F,4,FALSE))=0, "", IF(B17="", "", VLOOKUP(B17,'API Data Dictionary'!C:F,4,FALSE)))</f>
        <v/>
      </c>
      <c r="G17" s="62" t="str">
        <f>IF(IF(B17="", "", VLOOKUP(B17,'API Data Dictionary'!C:G,5,FALSE))=0, "", IF(B17="", "", VLOOKUP(B17,'API Data Dictionary'!C:G,5,FALSE)))</f>
        <v xml:space="preserve">The number of the property, mandatory OR pair with House name field </v>
      </c>
    </row>
    <row r="18" spans="1:7" x14ac:dyDescent="0.35">
      <c r="A18" s="64" t="s">
        <v>1390</v>
      </c>
      <c r="B18" s="62" t="str">
        <f t="shared" si="0"/>
        <v>houseName</v>
      </c>
      <c r="C18" s="62" t="str">
        <f>IF(B18="", "", VLOOKUP(B18,'API Data Dictionary'!C:L,10,FALSE))</f>
        <v>X</v>
      </c>
      <c r="D18" s="62" t="str">
        <f>IF(B18="", "", VLOOKUP(B18,'API Data Dictionary'!C:D,2,FALSE))</f>
        <v>string</v>
      </c>
      <c r="E18" s="62">
        <f>IF(IF(B18="", "", VLOOKUP(B18,'API Data Dictionary'!C:E,3,FALSE))=0, "", IF(B18="", "", VLOOKUP(B18,'API Data Dictionary'!C:E,3,FALSE)))</f>
        <v>100</v>
      </c>
      <c r="F18" s="62" t="str">
        <f>IF(IF(B18="", "", VLOOKUP(B18,'API Data Dictionary'!C:F,4,FALSE))=0, "", IF(B18="", "", VLOOKUP(B18,'API Data Dictionary'!C:F,4,FALSE)))</f>
        <v/>
      </c>
      <c r="G18" s="62" t="str">
        <f>IF(IF(B18="", "", VLOOKUP(B18,'API Data Dictionary'!C:G,5,FALSE))=0, "", IF(B18="", "", VLOOKUP(B18,'API Data Dictionary'!C:G,5,FALSE)))</f>
        <v xml:space="preserve">The name of the property, mandatory OR pair with House number field </v>
      </c>
    </row>
    <row r="19" spans="1:7" x14ac:dyDescent="0.35">
      <c r="A19" s="64" t="s">
        <v>1391</v>
      </c>
      <c r="B19" s="62" t="str">
        <f t="shared" si="0"/>
        <v>addressLine1</v>
      </c>
      <c r="C19" s="62" t="str">
        <f>IF(B19="", "", VLOOKUP(B19,'API Data Dictionary'!C:L,10,FALSE))</f>
        <v>M</v>
      </c>
      <c r="D19" s="62" t="str">
        <f>IF(B19="", "", VLOOKUP(B19,'API Data Dictionary'!C:D,2,FALSE))</f>
        <v>string</v>
      </c>
      <c r="E19" s="62">
        <f>IF(IF(B19="", "", VLOOKUP(B19,'API Data Dictionary'!C:E,3,FALSE))=0, "", IF(B19="", "", VLOOKUP(B19,'API Data Dictionary'!C:E,3,FALSE)))</f>
        <v>100</v>
      </c>
      <c r="F19" s="62" t="str">
        <f>IF(IF(B19="", "", VLOOKUP(B19,'API Data Dictionary'!C:F,4,FALSE))=0, "", IF(B19="", "", VLOOKUP(B19,'API Data Dictionary'!C:F,4,FALSE)))</f>
        <v/>
      </c>
      <c r="G19" s="62" t="str">
        <f>IF(IF(B19="", "", VLOOKUP(B19,'API Data Dictionary'!C:G,5,FALSE))=0, "", IF(B19="", "", VLOOKUP(B19,'API Data Dictionary'!C:G,5,FALSE)))</f>
        <v>The first line of the property address</v>
      </c>
    </row>
    <row r="20" spans="1:7" x14ac:dyDescent="0.35">
      <c r="A20" s="64" t="s">
        <v>1392</v>
      </c>
      <c r="B20" s="62" t="str">
        <f t="shared" si="0"/>
        <v>addressLine2</v>
      </c>
      <c r="C20" s="62" t="s">
        <v>66</v>
      </c>
      <c r="D20" s="62" t="str">
        <f>IF(B20="", "", VLOOKUP(B20,'API Data Dictionary'!C:D,2,FALSE))</f>
        <v>string</v>
      </c>
      <c r="E20" s="62">
        <f>IF(IF(B20="", "", VLOOKUP(B20,'API Data Dictionary'!C:E,3,FALSE))=0, "", IF(B20="", "", VLOOKUP(B20,'API Data Dictionary'!C:E,3,FALSE)))</f>
        <v>100</v>
      </c>
      <c r="F20" s="62" t="str">
        <f>IF(IF(B20="", "", VLOOKUP(B20,'API Data Dictionary'!C:F,4,FALSE))=0, "", IF(B20="", "", VLOOKUP(B20,'API Data Dictionary'!C:F,4,FALSE)))</f>
        <v/>
      </c>
      <c r="G20" s="62" t="str">
        <f>IF(IF(B20="", "", VLOOKUP(B20,'API Data Dictionary'!C:G,5,FALSE))=0, "", IF(B20="", "", VLOOKUP(B20,'API Data Dictionary'!C:G,5,FALSE)))</f>
        <v>The second line of the property address</v>
      </c>
    </row>
    <row r="21" spans="1:7" x14ac:dyDescent="0.35">
      <c r="A21" s="64" t="s">
        <v>1393</v>
      </c>
      <c r="B21" s="62" t="str">
        <f t="shared" si="0"/>
        <v>town</v>
      </c>
      <c r="C21" s="62" t="str">
        <f>IF(B21="", "", VLOOKUP(B21,'API Data Dictionary'!C:L,10,FALSE))</f>
        <v>M</v>
      </c>
      <c r="D21" s="62" t="str">
        <f>IF(B21="", "", VLOOKUP(B21,'API Data Dictionary'!C:D,2,FALSE))</f>
        <v>string</v>
      </c>
      <c r="E21" s="62">
        <f>IF(IF(B21="", "", VLOOKUP(B21,'API Data Dictionary'!C:E,3,FALSE))=0, "", IF(B21="", "", VLOOKUP(B21,'API Data Dictionary'!C:E,3,FALSE)))</f>
        <v>50</v>
      </c>
      <c r="F21" s="62" t="str">
        <f>IF(IF(B21="", "", VLOOKUP(B21,'API Data Dictionary'!C:F,4,FALSE))=0, "", IF(B21="", "", VLOOKUP(B21,'API Data Dictionary'!C:F,4,FALSE)))</f>
        <v/>
      </c>
      <c r="G21" s="62" t="str">
        <f>IF(IF(B21="", "", VLOOKUP(B21,'API Data Dictionary'!C:G,5,FALSE))=0, "", IF(B21="", "", VLOOKUP(B21,'API Data Dictionary'!C:G,5,FALSE)))</f>
        <v>The town in which the property exists</v>
      </c>
    </row>
    <row r="22" spans="1:7" x14ac:dyDescent="0.35">
      <c r="A22" s="64" t="s">
        <v>1394</v>
      </c>
      <c r="B22" s="62" t="str">
        <f t="shared" si="0"/>
        <v>postcode</v>
      </c>
      <c r="C22" s="62" t="str">
        <f>IF(B22="", "", VLOOKUP(B22,'API Data Dictionary'!C:L,10,FALSE))</f>
        <v>M</v>
      </c>
      <c r="D22" s="62" t="str">
        <f>IF(B22="", "", VLOOKUP(B22,'API Data Dictionary'!C:D,2,FALSE))</f>
        <v>string</v>
      </c>
      <c r="E22" s="62">
        <f>IF(IF(B22="", "", VLOOKUP(B22,'API Data Dictionary'!C:E,3,FALSE))=0, "", IF(B22="", "", VLOOKUP(B22,'API Data Dictionary'!C:E,3,FALSE)))</f>
        <v>50</v>
      </c>
      <c r="F22" s="62" t="str">
        <f>IF(IF(B22="", "", VLOOKUP(B22,'API Data Dictionary'!C:F,4,FALSE))=0, "", IF(B22="", "", VLOOKUP(B22,'API Data Dictionary'!C:F,4,FALSE)))</f>
        <v/>
      </c>
      <c r="G22" s="62" t="str">
        <f>IF(IF(B22="", "", VLOOKUP(B22,'API Data Dictionary'!C:G,5,FALSE))=0, "", IF(B22="", "", VLOOKUP(B22,'API Data Dictionary'!C:G,5,FALSE)))</f>
        <v>the postcode of the property</v>
      </c>
    </row>
    <row r="23" spans="1:7" x14ac:dyDescent="0.35">
      <c r="A23" s="64" t="s">
        <v>1395</v>
      </c>
      <c r="B23" s="62" t="str">
        <f t="shared" si="0"/>
        <v>ukCountryCode</v>
      </c>
      <c r="C23" s="62" t="str">
        <f>IF(B23="", "", VLOOKUP(B23,'API Data Dictionary'!C:L,10,FALSE))</f>
        <v>M</v>
      </c>
      <c r="D23" s="62" t="str">
        <f>IF(B23="", "", VLOOKUP(B23,'API Data Dictionary'!C:D,2,FALSE))</f>
        <v>enum - UK Country List</v>
      </c>
      <c r="E23" s="62" t="str">
        <f>IF(IF(B23="", "", VLOOKUP(B23,'API Data Dictionary'!C:E,3,FALSE))=0, "", IF(B23="", "", VLOOKUP(B23,'API Data Dictionary'!C:E,3,FALSE)))</f>
        <v/>
      </c>
      <c r="F23" s="62" t="str">
        <f>IF(IF(B23="", "", VLOOKUP(B23,'API Data Dictionary'!C:F,4,FALSE))=0, "", IF(B23="", "", VLOOKUP(B23,'API Data Dictionary'!C:F,4,FALSE)))</f>
        <v>Valid Values 1-4 (See enum definition)</v>
      </c>
      <c r="G23" s="62" t="str">
        <f>IF(IF(B23="", "", VLOOKUP(B23,'API Data Dictionary'!C:G,5,FALSE))=0, "", IF(B23="", "", VLOOKUP(B23,'API Data Dictionary'!C:G,5,FALSE)))</f>
        <v xml:space="preserve">The UK country Code </v>
      </c>
    </row>
    <row r="24" spans="1:7" x14ac:dyDescent="0.35">
      <c r="A24" s="64" t="s">
        <v>1105</v>
      </c>
      <c r="B24" s="62" t="str">
        <f t="shared" si="0"/>
        <v/>
      </c>
      <c r="C24" s="62" t="str">
        <f>IF(B24="", "", VLOOKUP(B24,'API Data Dictionary'!C:L,10,FALSE))</f>
        <v/>
      </c>
      <c r="D24" s="62" t="str">
        <f>IF(B24="", "", VLOOKUP(B24,'API Data Dictionary'!C:D,2,FALSE))</f>
        <v/>
      </c>
      <c r="E24" s="62" t="str">
        <f>IF(IF(B24="", "", VLOOKUP(B24,'API Data Dictionary'!C:E,3,FALSE))=0, "", IF(B24="", "", VLOOKUP(B24,'API Data Dictionary'!C:E,3,FALSE)))</f>
        <v/>
      </c>
      <c r="F24" s="62" t="str">
        <f>IF(IF(B24="", "", VLOOKUP(B24,'API Data Dictionary'!C:F,4,FALSE))=0, "", IF(B24="", "", VLOOKUP(B24,'API Data Dictionary'!C:F,4,FALSE)))</f>
        <v/>
      </c>
      <c r="G24" s="62" t="str">
        <f>IF(IF(B24="", "", VLOOKUP(B24,'API Data Dictionary'!C:G,5,FALSE))=0, "", IF(B24="", "", VLOOKUP(B24,'API Data Dictionary'!C:G,5,FALSE)))</f>
        <v/>
      </c>
    </row>
    <row r="25" spans="1:7" x14ac:dyDescent="0.35">
      <c r="A25" s="64" t="s">
        <v>1106</v>
      </c>
      <c r="B25" s="62" t="str">
        <f t="shared" si="0"/>
        <v/>
      </c>
      <c r="C25" s="62" t="str">
        <f>IF(B25="", "", VLOOKUP(B25,'API Data Dictionary'!C:L,10,FALSE))</f>
        <v/>
      </c>
      <c r="D25" s="62" t="str">
        <f>IF(B25="", "", VLOOKUP(B25,'API Data Dictionary'!C:D,2,FALSE))</f>
        <v/>
      </c>
      <c r="E25" s="62" t="str">
        <f>IF(IF(B25="", "", VLOOKUP(B25,'API Data Dictionary'!C:E,3,FALSE))=0, "", IF(B25="", "", VLOOKUP(B25,'API Data Dictionary'!C:E,3,FALSE)))</f>
        <v/>
      </c>
      <c r="F25" s="62" t="str">
        <f>IF(IF(B25="", "", VLOOKUP(B25,'API Data Dictionary'!C:F,4,FALSE))=0, "", IF(B25="", "", VLOOKUP(B25,'API Data Dictionary'!C:F,4,FALSE)))</f>
        <v/>
      </c>
      <c r="G25" s="62" t="str">
        <f>IF(IF(B25="", "", VLOOKUP(B25,'API Data Dictionary'!C:G,5,FALSE))=0, "", IF(B25="", "", VLOOKUP(B25,'API Data Dictionary'!C:G,5,FALSE)))</f>
        <v/>
      </c>
    </row>
    <row r="26" spans="1:7" x14ac:dyDescent="0.35">
      <c r="A26" s="64" t="s">
        <v>1107</v>
      </c>
      <c r="B26" s="62" t="str">
        <f t="shared" si="0"/>
        <v/>
      </c>
      <c r="C26" s="62" t="str">
        <f>IF(B26="", "", VLOOKUP(B26,'API Data Dictionary'!C:L,10,FALSE))</f>
        <v/>
      </c>
      <c r="D26" s="62" t="str">
        <f>IF(B26="", "", VLOOKUP(B26,'API Data Dictionary'!C:D,2,FALSE))</f>
        <v/>
      </c>
      <c r="E26" s="62" t="str">
        <f>IF(IF(B26="", "", VLOOKUP(B26,'API Data Dictionary'!C:E,3,FALSE))=0, "", IF(B26="", "", VLOOKUP(B26,'API Data Dictionary'!C:E,3,FALSE)))</f>
        <v/>
      </c>
      <c r="F26" s="62" t="str">
        <f>IF(IF(B26="", "", VLOOKUP(B26,'API Data Dictionary'!C:F,4,FALSE))=0, "", IF(B26="", "", VLOOKUP(B26,'API Data Dictionary'!C:F,4,FALSE)))</f>
        <v/>
      </c>
      <c r="G26" s="62" t="str">
        <f>IF(IF(B26="", "", VLOOKUP(B26,'API Data Dictionary'!C:G,5,FALSE))=0, "", IF(B26="", "", VLOOKUP(B26,'API Data Dictionary'!C:G,5,FALSE)))</f>
        <v/>
      </c>
    </row>
    <row r="27" spans="1:7" x14ac:dyDescent="0.35">
      <c r="A27" s="64" t="s">
        <v>1108</v>
      </c>
      <c r="B27" s="62" t="str">
        <f t="shared" si="0"/>
        <v>tenantTypeId</v>
      </c>
      <c r="C27" s="62" t="str">
        <f>IF(B27="", "", VLOOKUP(B27,'API Data Dictionary'!C:L,10,FALSE))</f>
        <v>M</v>
      </c>
      <c r="D27" s="62" t="str">
        <f>IF(B27="", "", VLOOKUP(B27,'API Data Dictionary'!C:D,2,FALSE))</f>
        <v>enum - Tenant Type</v>
      </c>
      <c r="E27" s="62" t="str">
        <f>IF(IF(B27="", "", VLOOKUP(B27,'API Data Dictionary'!C:E,3,FALSE))=0, "", IF(B27="", "", VLOOKUP(B27,'API Data Dictionary'!C:E,3,FALSE)))</f>
        <v/>
      </c>
      <c r="F27" s="62" t="str">
        <f>IF(IF(B27="", "", VLOOKUP(B27,'API Data Dictionary'!C:F,4,FALSE))=0, "", IF(B27="", "", VLOOKUP(B27,'API Data Dictionary'!C:F,4,FALSE)))</f>
        <v>Valid Values 1-4 (See enum definition)</v>
      </c>
      <c r="G27" s="62" t="str">
        <f>IF(IF(B27="", "", VLOOKUP(B27,'API Data Dictionary'!C:G,5,FALSE))=0, "", IF(B27="", "", VLOOKUP(B27,'API Data Dictionary'!C:G,5,FALSE)))</f>
        <v>The Type of the Tenant, e.g. lead or Guarantor</v>
      </c>
    </row>
    <row r="28" spans="1:7" x14ac:dyDescent="0.35">
      <c r="A28" s="64" t="s">
        <v>1109</v>
      </c>
      <c r="B28" s="62" t="str">
        <f t="shared" si="0"/>
        <v>referenceType</v>
      </c>
      <c r="C28" s="62" t="str">
        <f>IF(B28="", "", VLOOKUP(B28,'API Data Dictionary'!C:L,10,FALSE))</f>
        <v>M</v>
      </c>
      <c r="D28" s="62" t="str">
        <f>IF(B28="", "", VLOOKUP(B28,'API Data Dictionary'!C:D,2,FALSE))</f>
        <v>enum - Reference Type</v>
      </c>
      <c r="E28" s="62" t="str">
        <f>IF(IF(B28="", "", VLOOKUP(B28,'API Data Dictionary'!C:E,3,FALSE))=0, "", IF(B28="", "", VLOOKUP(B28,'API Data Dictionary'!C:E,3,FALSE)))</f>
        <v/>
      </c>
      <c r="F28" s="62" t="str">
        <f>IF(IF(B28="", "", VLOOKUP(B28,'API Data Dictionary'!C:F,4,FALSE))=0, "", IF(B28="", "", VLOOKUP(B28,'API Data Dictionary'!C:F,4,FALSE)))</f>
        <v>Valid Values 1-2 (See enum definition)</v>
      </c>
      <c r="G28" s="62" t="str">
        <f>IF(IF(B28="", "", VLOOKUP(B28,'API Data Dictionary'!C:G,5,FALSE))=0, "", IF(B28="", "", VLOOKUP(B28,'API Data Dictionary'!C:G,5,FALSE)))</f>
        <v>The Type of reference, e.g Full or Express</v>
      </c>
    </row>
    <row r="29" spans="1:7" x14ac:dyDescent="0.35">
      <c r="A29" s="64" t="s">
        <v>1110</v>
      </c>
      <c r="B29" s="62" t="str">
        <f t="shared" si="0"/>
        <v>rightToRent</v>
      </c>
      <c r="C29" s="62" t="str">
        <f>IF(B29="", "", VLOOKUP(B29,'API Data Dictionary'!C:L,10,FALSE))</f>
        <v>M</v>
      </c>
      <c r="D29" s="62" t="str">
        <f>IF(B29="", "", VLOOKUP(B29,'API Data Dictionary'!C:D,2,FALSE))</f>
        <v>boolean</v>
      </c>
      <c r="E29" s="62" t="str">
        <f>IF(IF(B29="", "", VLOOKUP(B29,'API Data Dictionary'!C:E,3,FALSE))=0, "", IF(B29="", "", VLOOKUP(B29,'API Data Dictionary'!C:E,3,FALSE)))</f>
        <v/>
      </c>
      <c r="F29" s="62" t="str">
        <f>IF(IF(B29="", "", VLOOKUP(B29,'API Data Dictionary'!C:F,4,FALSE))=0, "", IF(B29="", "", VLOOKUP(B29,'API Data Dictionary'!C:F,4,FALSE)))</f>
        <v/>
      </c>
      <c r="G29" s="62" t="str">
        <f>IF(IF(B29="", "", VLOOKUP(B29,'API Data Dictionary'!C:G,5,FALSE))=0, "", IF(B29="", "", VLOOKUP(B29,'API Data Dictionary'!C:G,5,FALSE)))</f>
        <v>Use Right to rent product for this reference</v>
      </c>
    </row>
    <row r="30" spans="1:7" x14ac:dyDescent="0.35">
      <c r="A30" s="64" t="s">
        <v>1111</v>
      </c>
      <c r="B30" s="62" t="str">
        <f t="shared" si="0"/>
        <v>title</v>
      </c>
      <c r="C30" s="62" t="str">
        <f>IF(B30="", "", VLOOKUP(B30,'API Data Dictionary'!C:L,10,FALSE))</f>
        <v>M</v>
      </c>
      <c r="D30" s="62" t="str">
        <f>IF(B30="", "", VLOOKUP(B30,'API Data Dictionary'!C:D,2,FALSE))</f>
        <v>enum - Title</v>
      </c>
      <c r="E30" s="62" t="str">
        <f>IF(IF(B30="", "", VLOOKUP(B30,'API Data Dictionary'!C:E,3,FALSE))=0, "", IF(B30="", "", VLOOKUP(B30,'API Data Dictionary'!C:E,3,FALSE)))</f>
        <v/>
      </c>
      <c r="F30" s="62" t="str">
        <f>IF(IF(B30="", "", VLOOKUP(B30,'API Data Dictionary'!C:F,4,FALSE))=0, "", IF(B30="", "", VLOOKUP(B30,'API Data Dictionary'!C:F,4,FALSE)))</f>
        <v>Valid Values 1-7 (See enum definition)</v>
      </c>
      <c r="G30" s="62" t="str">
        <f>IF(IF(B30="", "", VLOOKUP(B30,'API Data Dictionary'!C:G,5,FALSE))=0, "", IF(B30="", "", VLOOKUP(B30,'API Data Dictionary'!C:G,5,FALSE)))</f>
        <v>The persons title, e.g. Mr, Mrs, etc.</v>
      </c>
    </row>
    <row r="31" spans="1:7" x14ac:dyDescent="0.35">
      <c r="A31" s="64" t="s">
        <v>1396</v>
      </c>
      <c r="B31" s="62" t="str">
        <f t="shared" si="0"/>
        <v>otherTitle</v>
      </c>
      <c r="C31" s="62" t="str">
        <f>IF(B31="", "", VLOOKUP(B31,'API Data Dictionary'!C:L,10,FALSE))</f>
        <v>X</v>
      </c>
      <c r="D31" s="62" t="str">
        <f>IF(B31="", "", VLOOKUP(B31,'API Data Dictionary'!C:D,2,FALSE))</f>
        <v>string</v>
      </c>
      <c r="E31" s="62">
        <f>IF(IF(B31="", "", VLOOKUP(B31,'API Data Dictionary'!C:E,3,FALSE))=0, "", IF(B31="", "", VLOOKUP(B31,'API Data Dictionary'!C:E,3,FALSE)))</f>
        <v>100</v>
      </c>
      <c r="F31" s="62" t="str">
        <f>IF(IF(B31="", "", VLOOKUP(B31,'API Data Dictionary'!C:F,4,FALSE))=0, "", IF(B31="", "", VLOOKUP(B31,'API Data Dictionary'!C:F,4,FALSE)))</f>
        <v/>
      </c>
      <c r="G31" s="62" t="str">
        <f>IF(IF(B31="", "", VLOOKUP(B31,'API Data Dictionary'!C:G,5,FALSE))=0, "", IF(B31="", "", VLOOKUP(B31,'API Data Dictionary'!C:G,5,FALSE)))</f>
        <v>If other is chosen for title, this is a text field to enter the specific title</v>
      </c>
    </row>
    <row r="32" spans="1:7" x14ac:dyDescent="0.35">
      <c r="A32" s="64" t="s">
        <v>1397</v>
      </c>
      <c r="B32" s="62" t="str">
        <f t="shared" si="0"/>
        <v>firstName</v>
      </c>
      <c r="C32" s="62" t="str">
        <f>IF(B32="", "", VLOOKUP(B32,'API Data Dictionary'!C:L,10,FALSE))</f>
        <v>M</v>
      </c>
      <c r="D32" s="62" t="str">
        <f>IF(B32="", "", VLOOKUP(B32,'API Data Dictionary'!C:D,2,FALSE))</f>
        <v>string</v>
      </c>
      <c r="E32" s="62">
        <f>IF(IF(B32="", "", VLOOKUP(B32,'API Data Dictionary'!C:E,3,FALSE))=0, "", IF(B32="", "", VLOOKUP(B32,'API Data Dictionary'!C:E,3,FALSE)))</f>
        <v>100</v>
      </c>
      <c r="F32" s="62" t="str">
        <f>IF(IF(B32="", "", VLOOKUP(B32,'API Data Dictionary'!C:F,4,FALSE))=0, "", IF(B32="", "", VLOOKUP(B32,'API Data Dictionary'!C:F,4,FALSE)))</f>
        <v>pattern: ^[a-zA-Z0-9\-' ]*$</v>
      </c>
      <c r="G32" s="62" t="str">
        <f>IF(IF(B32="", "", VLOOKUP(B32,'API Data Dictionary'!C:G,5,FALSE))=0, "", IF(B32="", "", VLOOKUP(B32,'API Data Dictionary'!C:G,5,FALSE)))</f>
        <v>First name, validated against the RegEx pattern</v>
      </c>
    </row>
    <row r="33" spans="1:7" x14ac:dyDescent="0.35">
      <c r="A33" s="64" t="s">
        <v>1398</v>
      </c>
      <c r="B33" s="62" t="str">
        <f t="shared" si="0"/>
        <v>middleName</v>
      </c>
      <c r="C33" s="62" t="str">
        <f>IF(B33="", "", VLOOKUP(B33,'API Data Dictionary'!C:L,10,FALSE))</f>
        <v>X</v>
      </c>
      <c r="D33" s="62" t="str">
        <f>IF(B33="", "", VLOOKUP(B33,'API Data Dictionary'!C:D,2,FALSE))</f>
        <v>string</v>
      </c>
      <c r="E33" s="62">
        <f>IF(IF(B33="", "", VLOOKUP(B33,'API Data Dictionary'!C:E,3,FALSE))=0, "", IF(B33="", "", VLOOKUP(B33,'API Data Dictionary'!C:E,3,FALSE)))</f>
        <v>50</v>
      </c>
      <c r="F33" s="62" t="str">
        <f>IF(IF(B33="", "", VLOOKUP(B33,'API Data Dictionary'!C:F,4,FALSE))=0, "", IF(B33="", "", VLOOKUP(B33,'API Data Dictionary'!C:F,4,FALSE)))</f>
        <v>pattern: ^[a-zA-Z0-9\-' ]*$</v>
      </c>
      <c r="G33" s="62" t="str">
        <f>IF(IF(B33="", "", VLOOKUP(B33,'API Data Dictionary'!C:G,5,FALSE))=0, "", IF(B33="", "", VLOOKUP(B33,'API Data Dictionary'!C:G,5,FALSE)))</f>
        <v>Middle name, validated against the RegEx pattern</v>
      </c>
    </row>
    <row r="34" spans="1:7" x14ac:dyDescent="0.35">
      <c r="A34" s="64" t="s">
        <v>1399</v>
      </c>
      <c r="B34" s="62" t="str">
        <f t="shared" si="0"/>
        <v>surname</v>
      </c>
      <c r="C34" s="62" t="str">
        <f>IF(B34="", "", VLOOKUP(B34,'API Data Dictionary'!C:L,10,FALSE))</f>
        <v>M</v>
      </c>
      <c r="D34" s="62" t="str">
        <f>IF(B34="", "", VLOOKUP(B34,'API Data Dictionary'!C:D,2,FALSE))</f>
        <v>string</v>
      </c>
      <c r="E34" s="62">
        <f>IF(IF(B34="", "", VLOOKUP(B34,'API Data Dictionary'!C:E,3,FALSE))=0, "", IF(B34="", "", VLOOKUP(B34,'API Data Dictionary'!C:E,3,FALSE)))</f>
        <v>100</v>
      </c>
      <c r="F34" s="62" t="str">
        <f>IF(IF(B34="", "", VLOOKUP(B34,'API Data Dictionary'!C:F,4,FALSE))=0, "", IF(B34="", "", VLOOKUP(B34,'API Data Dictionary'!C:F,4,FALSE)))</f>
        <v>pattern: ^[a-zA-Z0-9\-' ]*$</v>
      </c>
      <c r="G34" s="62" t="str">
        <f>IF(IF(B34="", "", VLOOKUP(B34,'API Data Dictionary'!C:G,5,FALSE))=0, "", IF(B34="", "", VLOOKUP(B34,'API Data Dictionary'!C:G,5,FALSE)))</f>
        <v>Surname name, validated against the RegEx pattern</v>
      </c>
    </row>
    <row r="35" spans="1:7" x14ac:dyDescent="0.35">
      <c r="A35" s="64" t="s">
        <v>1400</v>
      </c>
      <c r="B35" s="62" t="str">
        <f t="shared" si="0"/>
        <v>shareOfRent</v>
      </c>
      <c r="C35" s="62" t="str">
        <f>IF(B35="", "", VLOOKUP(B35,'API Data Dictionary'!C:L,10,FALSE))</f>
        <v>M</v>
      </c>
      <c r="D35" s="62" t="str">
        <f>IF(B35="", "", VLOOKUP(B35,'API Data Dictionary'!C:D,2,FALSE))</f>
        <v>number (double)</v>
      </c>
      <c r="E35" s="62" t="str">
        <f>IF(IF(B35="", "", VLOOKUP(B35,'API Data Dictionary'!C:E,3,FALSE))=0, "", IF(B35="", "", VLOOKUP(B35,'API Data Dictionary'!C:E,3,FALSE)))</f>
        <v/>
      </c>
      <c r="F35" s="62" t="str">
        <f>IF(IF(B35="", "", VLOOKUP(B35,'API Data Dictionary'!C:F,4,FALSE))=0, "", IF(B35="", "", VLOOKUP(B35,'API Data Dictionary'!C:F,4,FALSE)))</f>
        <v>pattern: ^\d*.\d{0,2}$</v>
      </c>
      <c r="G35" s="62" t="str">
        <f>IF(IF(B35="", "", VLOOKUP(B35,'API Data Dictionary'!C:G,5,FALSE))=0, "", IF(B35="", "", VLOOKUP(B35,'API Data Dictionary'!C:G,5,FALSE)))</f>
        <v>GBP value of the applicants share of the rent</v>
      </c>
    </row>
    <row r="36" spans="1:7" x14ac:dyDescent="0.35">
      <c r="A36" s="64" t="s">
        <v>1375</v>
      </c>
      <c r="B36" s="62" t="str">
        <f t="shared" si="0"/>
        <v>telephoneCountryID</v>
      </c>
      <c r="C36" s="62" t="str">
        <f>IF(B36="", "", VLOOKUP(B36,'API Data Dictionary'!C:L,10,FALSE))</f>
        <v>M</v>
      </c>
      <c r="D36" s="62" t="str">
        <f>IF(B36="", "", VLOOKUP(B36,'API Data Dictionary'!C:D,2,FALSE))</f>
        <v>enum -Country/Location Code</v>
      </c>
      <c r="E36" s="62" t="str">
        <f>IF(IF(B36="", "", VLOOKUP(B36,'API Data Dictionary'!C:E,3,FALSE))=0, "", IF(B36="", "", VLOOKUP(B36,'API Data Dictionary'!C:E,3,FALSE)))</f>
        <v/>
      </c>
      <c r="F36" s="62" t="str">
        <f>IF(IF(B36="", "", VLOOKUP(B36,'API Data Dictionary'!C:F,4,FALSE))=0, "", IF(B36="", "", VLOOKUP(B36,'API Data Dictionary'!C:F,4,FALSE)))</f>
        <v>Valid Values 1-239 (See enum definition)</v>
      </c>
      <c r="G36" s="62" t="str">
        <f>IF(IF(B36="", "", VLOOKUP(B36,'API Data Dictionary'!C:G,5,FALSE))=0, "", IF(B36="", "", VLOOKUP(B36,'API Data Dictionary'!C:G,5,FALSE)))</f>
        <v>The country/location code of the phone number</v>
      </c>
    </row>
    <row r="37" spans="1:7" x14ac:dyDescent="0.35">
      <c r="A37" s="64" t="s">
        <v>1376</v>
      </c>
      <c r="B37" s="62" t="str">
        <f t="shared" si="0"/>
        <v>contactTelephoneNo</v>
      </c>
      <c r="C37" s="62" t="str">
        <f>IF(B37="", "", VLOOKUP(B37,'API Data Dictionary'!C:L,10,FALSE))</f>
        <v>M</v>
      </c>
      <c r="D37" s="62" t="str">
        <f>IF(B37="", "", VLOOKUP(B37,'API Data Dictionary'!C:D,2,FALSE))</f>
        <v>string</v>
      </c>
      <c r="E37" s="62">
        <f>IF(IF(B37="", "", VLOOKUP(B37,'API Data Dictionary'!C:E,3,FALSE))=0, "", IF(B37="", "", VLOOKUP(B37,'API Data Dictionary'!C:E,3,FALSE)))</f>
        <v>15</v>
      </c>
      <c r="F37" s="62" t="str">
        <f>IF(IF(B37="", "", VLOOKUP(B37,'API Data Dictionary'!C:F,4,FALSE))=0, "", IF(B37="", "", VLOOKUP(B37,'API Data Dictionary'!C:F,4,FALSE)))</f>
        <v>pattern: ^(\d{11})$</v>
      </c>
      <c r="G37" s="62" t="str">
        <f>IF(IF(B37="", "", VLOOKUP(B37,'API Data Dictionary'!C:G,5,FALSE))=0, "", IF(B37="", "", VLOOKUP(B37,'API Data Dictionary'!C:G,5,FALSE)))</f>
        <v xml:space="preserve">The telephone number </v>
      </c>
    </row>
    <row r="38" spans="1:7" x14ac:dyDescent="0.35">
      <c r="A38" s="64" t="s">
        <v>1401</v>
      </c>
      <c r="B38" s="62" t="str">
        <f t="shared" si="0"/>
        <v>emailAddress</v>
      </c>
      <c r="C38" s="62" t="str">
        <f>IF(B38="", "", VLOOKUP(B38,'API Data Dictionary'!C:L,10,FALSE))</f>
        <v>M</v>
      </c>
      <c r="D38" s="62" t="str">
        <f>IF(B38="", "", VLOOKUP(B38,'API Data Dictionary'!C:D,2,FALSE))</f>
        <v>string ($email)</v>
      </c>
      <c r="E38" s="62">
        <f>IF(IF(B38="", "", VLOOKUP(B38,'API Data Dictionary'!C:E,3,FALSE))=0, "", IF(B38="", "", VLOOKUP(B38,'API Data Dictionary'!C:E,3,FALSE)))</f>
        <v>200</v>
      </c>
      <c r="F38" s="62" t="str">
        <f>IF(IF(B38="", "", VLOOKUP(B38,'API Data Dictionary'!C:F,4,FALSE))=0, "", IF(B38="", "", VLOOKUP(B38,'API Data Dictionary'!C:F,4,FALSE)))</f>
        <v>pattern: ^(?!.*\.\.)(?!.*\\_\\_)(?!.*\-\-)[a-zA-Z0-9][-a-zA-Z0-9._]+[a-zA-Z0-9]@([-a-zA-Z0-9]+.)+[a-zA-Z]{2,5}$</v>
      </c>
      <c r="G38" s="62" t="str">
        <f>IF(IF(B38="", "", VLOOKUP(B38,'API Data Dictionary'!C:G,5,FALSE))=0, "", IF(B38="", "", VLOOKUP(B38,'API Data Dictionary'!C:G,5,FALSE)))</f>
        <v>The email address</v>
      </c>
    </row>
    <row r="39" spans="1:7" x14ac:dyDescent="0.35">
      <c r="A39" s="64" t="s">
        <v>1118</v>
      </c>
      <c r="B39" s="62" t="str">
        <f t="shared" si="0"/>
        <v/>
      </c>
      <c r="C39" s="62" t="str">
        <f>IF(B39="", "", VLOOKUP(B39,'API Data Dictionary'!C:L,10,FALSE))</f>
        <v/>
      </c>
      <c r="D39" s="62" t="str">
        <f>IF(B39="", "", VLOOKUP(B39,'API Data Dictionary'!C:D,2,FALSE))</f>
        <v/>
      </c>
      <c r="E39" s="62" t="str">
        <f>IF(IF(B39="", "", VLOOKUP(B39,'API Data Dictionary'!C:E,3,FALSE))=0, "", IF(B39="", "", VLOOKUP(B39,'API Data Dictionary'!C:E,3,FALSE)))</f>
        <v/>
      </c>
      <c r="F39" s="62" t="str">
        <f>IF(IF(B39="", "", VLOOKUP(B39,'API Data Dictionary'!C:F,4,FALSE))=0, "", IF(B39="", "", VLOOKUP(B39,'API Data Dictionary'!C:F,4,FALSE)))</f>
        <v/>
      </c>
      <c r="G39" s="62" t="str">
        <f>IF(IF(B39="", "", VLOOKUP(B39,'API Data Dictionary'!C:G,5,FALSE))=0, "", IF(B39="", "", VLOOKUP(B39,'API Data Dictionary'!C:G,5,FALSE)))</f>
        <v/>
      </c>
    </row>
    <row r="40" spans="1:7" x14ac:dyDescent="0.35">
      <c r="A40" s="64" t="s">
        <v>1119</v>
      </c>
      <c r="B40" s="62" t="str">
        <f t="shared" si="0"/>
        <v/>
      </c>
      <c r="C40" s="62" t="str">
        <f>IF(B40="", "", VLOOKUP(B40,'API Data Dictionary'!C:L,10,FALSE))</f>
        <v/>
      </c>
      <c r="D40" s="62" t="str">
        <f>IF(B40="", "", VLOOKUP(B40,'API Data Dictionary'!C:D,2,FALSE))</f>
        <v/>
      </c>
      <c r="E40" s="62" t="str">
        <f>IF(IF(B40="", "", VLOOKUP(B40,'API Data Dictionary'!C:E,3,FALSE))=0, "", IF(B40="", "", VLOOKUP(B40,'API Data Dictionary'!C:E,3,FALSE)))</f>
        <v/>
      </c>
      <c r="F40" s="62" t="str">
        <f>IF(IF(B40="", "", VLOOKUP(B40,'API Data Dictionary'!C:F,4,FALSE))=0, "", IF(B40="", "", VLOOKUP(B40,'API Data Dictionary'!C:F,4,FALSE)))</f>
        <v/>
      </c>
      <c r="G40" s="62" t="str">
        <f>IF(IF(B40="", "", VLOOKUP(B40,'API Data Dictionary'!C:G,5,FALSE))=0, "", IF(B40="", "", VLOOKUP(B40,'API Data Dictionary'!C:G,5,FALSE)))</f>
        <v/>
      </c>
    </row>
    <row r="41" spans="1:7" x14ac:dyDescent="0.35">
      <c r="A41" s="64" t="s">
        <v>1120</v>
      </c>
      <c r="B41" s="62" t="str">
        <f t="shared" ref="B41:B56" si="1">IF(OR(ISNUMBER(SEARCH("{", A41)),ISNUMBER(SEARCH("[", A41))), "", IFERROR(MID(A41, SEARCH("""", A41) +1, SEARCH("""", A41, SEARCH("""",A41) +1) - SEARCH("""", A41) -1), ""))</f>
        <v/>
      </c>
      <c r="C41" s="62" t="str">
        <f>IF(B41="", "", VLOOKUP(B41,'API Data Dictionary'!C:L,10,FALSE))</f>
        <v/>
      </c>
      <c r="D41" s="62" t="str">
        <f>IF(B41="", "", VLOOKUP(B41,'API Data Dictionary'!C:D,2,FALSE))</f>
        <v/>
      </c>
      <c r="E41" s="62" t="str">
        <f>IF(IF(B41="", "", VLOOKUP(B41,'API Data Dictionary'!C:E,3,FALSE))=0, "", IF(B41="", "", VLOOKUP(B41,'API Data Dictionary'!C:E,3,FALSE)))</f>
        <v/>
      </c>
      <c r="F41" s="62" t="str">
        <f>IF(IF(B41="", "", VLOOKUP(B41,'API Data Dictionary'!C:F,4,FALSE))=0, "", IF(B41="", "", VLOOKUP(B41,'API Data Dictionary'!C:F,4,FALSE)))</f>
        <v/>
      </c>
      <c r="G41" s="62" t="str">
        <f>IF(IF(B41="", "", VLOOKUP(B41,'API Data Dictionary'!C:G,5,FALSE))=0, "", IF(B41="", "", VLOOKUP(B41,'API Data Dictionary'!C:G,5,FALSE)))</f>
        <v/>
      </c>
    </row>
    <row r="42" spans="1:7" x14ac:dyDescent="0.35">
      <c r="A42" s="103"/>
      <c r="B42" s="103"/>
      <c r="C42" s="103"/>
      <c r="D42" s="103"/>
      <c r="E42" s="103"/>
      <c r="F42" s="103"/>
      <c r="G42" s="103"/>
    </row>
    <row r="43" spans="1:7" x14ac:dyDescent="0.35">
      <c r="A43" s="222" t="s">
        <v>1751</v>
      </c>
      <c r="B43" s="222"/>
      <c r="C43" s="222"/>
      <c r="D43" s="222"/>
      <c r="E43" s="222"/>
      <c r="F43" s="222"/>
      <c r="G43" s="222"/>
    </row>
    <row r="44" spans="1:7" x14ac:dyDescent="0.35">
      <c r="A44" s="64" t="s">
        <v>1094</v>
      </c>
      <c r="B44" s="62" t="str">
        <f t="shared" si="1"/>
        <v/>
      </c>
      <c r="C44" s="62" t="str">
        <f>IF(B44="", "", VLOOKUP(B44,'API Data Dictionary'!C:L,10,FALSE))</f>
        <v/>
      </c>
      <c r="D44" s="62" t="str">
        <f>IF(B44="", "", VLOOKUP(B44,'API Data Dictionary'!C:D,2,FALSE))</f>
        <v/>
      </c>
      <c r="E44" s="62" t="str">
        <f>IF(IF(B44="", "", VLOOKUP(B44,'API Data Dictionary'!C:E,3,FALSE))=0, "", IF(B44="", "", VLOOKUP(B44,'API Data Dictionary'!C:E,3,FALSE)))</f>
        <v/>
      </c>
      <c r="F44" s="62" t="str">
        <f>IF(IF(B44="", "", VLOOKUP(B44,'API Data Dictionary'!C:F,4,FALSE))=0, "", IF(B44="", "", VLOOKUP(B44,'API Data Dictionary'!C:F,4,FALSE)))</f>
        <v/>
      </c>
      <c r="G44" s="62" t="str">
        <f>IF(IF(B44="", "", VLOOKUP(B44,'API Data Dictionary'!C:G,5,FALSE))=0, "", IF(B44="", "", VLOOKUP(B44,'API Data Dictionary'!C:G,5,FALSE)))</f>
        <v/>
      </c>
    </row>
    <row r="45" spans="1:7" x14ac:dyDescent="0.35">
      <c r="A45" s="64" t="s">
        <v>1350</v>
      </c>
      <c r="B45" s="62" t="str">
        <f t="shared" si="1"/>
        <v>success</v>
      </c>
      <c r="C45" s="62" t="s">
        <v>68</v>
      </c>
      <c r="D45" s="62" t="str">
        <f>IF(B45="", "", VLOOKUP(B45,'API Data Dictionary'!C:D,2,FALSE))</f>
        <v>string - Boolean</v>
      </c>
      <c r="E45" s="62">
        <f>IF(IF(B45="", "", VLOOKUP(B45,'API Data Dictionary'!C:E,3,FALSE))=0, "", IF(B45="", "", VLOOKUP(B45,'API Data Dictionary'!C:E,3,FALSE)))</f>
        <v>100</v>
      </c>
      <c r="F45" s="62" t="str">
        <f>IF(IF(B45="", "", VLOOKUP(B45,'API Data Dictionary'!C:F,4,FALSE))=0, "", IF(B45="", "", VLOOKUP(B45,'API Data Dictionary'!C:F,4,FALSE)))</f>
        <v/>
      </c>
      <c r="G45" s="62" t="str">
        <f>IF(IF(B45="", "", VLOOKUP(B45,'API Data Dictionary'!C:G,5,FALSE))=0, "", IF(B45="", "", VLOOKUP(B45,'API Data Dictionary'!C:G,5,FALSE)))</f>
        <v>Returns true when successful call/connection</v>
      </c>
    </row>
    <row r="46" spans="1:7" x14ac:dyDescent="0.35">
      <c r="A46" s="64" t="s">
        <v>1377</v>
      </c>
      <c r="B46" s="62" t="str">
        <f t="shared" si="1"/>
        <v/>
      </c>
      <c r="C46" s="62" t="str">
        <f>IF(B46="", "", VLOOKUP(B46,'API Data Dictionary'!C:L,10,FALSE))</f>
        <v/>
      </c>
      <c r="D46" s="62" t="str">
        <f>IF(B46="", "", VLOOKUP(B46,'API Data Dictionary'!C:D,2,FALSE))</f>
        <v/>
      </c>
      <c r="E46" s="62" t="str">
        <f>IF(IF(B46="", "", VLOOKUP(B46,'API Data Dictionary'!C:E,3,FALSE))=0, "", IF(B46="", "", VLOOKUP(B46,'API Data Dictionary'!C:E,3,FALSE)))</f>
        <v/>
      </c>
      <c r="F46" s="62" t="str">
        <f>IF(IF(B46="", "", VLOOKUP(B46,'API Data Dictionary'!C:F,4,FALSE))=0, "", IF(B46="", "", VLOOKUP(B46,'API Data Dictionary'!C:F,4,FALSE)))</f>
        <v/>
      </c>
      <c r="G46" s="62" t="str">
        <f>IF(IF(B46="", "", VLOOKUP(B46,'API Data Dictionary'!C:G,5,FALSE))=0, "", IF(B46="", "", VLOOKUP(B46,'API Data Dictionary'!C:G,5,FALSE)))</f>
        <v/>
      </c>
    </row>
    <row r="47" spans="1:7" x14ac:dyDescent="0.35">
      <c r="A47" s="64" t="s">
        <v>1378</v>
      </c>
      <c r="B47" s="62" t="str">
        <f t="shared" si="1"/>
        <v>agentCode</v>
      </c>
      <c r="C47" s="62" t="str">
        <f>IF(B47="", "", VLOOKUP(B47,'API Data Dictionary'!C:L,10,FALSE))</f>
        <v>M</v>
      </c>
      <c r="D47" s="62" t="str">
        <f>IF(B47="", "", VLOOKUP(B47,'API Data Dictionary'!C:D,2,FALSE))</f>
        <v>string</v>
      </c>
      <c r="E47" s="62">
        <f>IF(IF(B47="", "", VLOOKUP(B47,'API Data Dictionary'!C:E,3,FALSE))=0, "", IF(B47="", "", VLOOKUP(B47,'API Data Dictionary'!C:E,3,FALSE)))</f>
        <v>50</v>
      </c>
      <c r="F47" s="62" t="str">
        <f>IF(IF(B47="", "", VLOOKUP(B47,'API Data Dictionary'!C:F,4,FALSE))=0, "", IF(B47="", "", VLOOKUP(B47,'API Data Dictionary'!C:F,4,FALSE)))</f>
        <v/>
      </c>
      <c r="G47" s="62" t="str">
        <f>IF(IF(B47="", "", VLOOKUP(B47,'API Data Dictionary'!C:G,5,FALSE))=0, "", IF(B47="", "", VLOOKUP(B47,'API Data Dictionary'!C:G,5,FALSE)))</f>
        <v>AgentCode is the Unique Key provided to the Agent when onboarding as a Barbon Customer.
An AgentID may be linked to many Properties being managed by that Agent and Each property may be linked to 1 or more TenancyID's.</v>
      </c>
    </row>
    <row r="48" spans="1:7" x14ac:dyDescent="0.35">
      <c r="A48" s="64" t="s">
        <v>1402</v>
      </c>
      <c r="B48" s="62" t="str">
        <f t="shared" si="1"/>
        <v>propertyTenancyId</v>
      </c>
      <c r="C48" s="62" t="s">
        <v>68</v>
      </c>
      <c r="D48" s="62" t="str">
        <f>IF(B48="", "", VLOOKUP(B48,'API Data Dictionary'!C:D,2,FALSE))</f>
        <v>integer</v>
      </c>
      <c r="E48" s="62" t="str">
        <f>IF(IF(B48="", "", VLOOKUP(B48,'API Data Dictionary'!C:E,3,FALSE))=0, "", IF(B48="", "", VLOOKUP(B48,'API Data Dictionary'!C:E,3,FALSE)))</f>
        <v/>
      </c>
      <c r="F48" s="62" t="str">
        <f>IF(IF(B48="", "", VLOOKUP(B48,'API Data Dictionary'!C:F,4,FALSE))=0, "", IF(B48="", "", VLOOKUP(B48,'API Data Dictionary'!C:F,4,FALSE)))</f>
        <v/>
      </c>
      <c r="G48" s="62" t="str">
        <f>IF(IF(B48="", "", VLOOKUP(B48,'API Data Dictionary'!C:G,5,FALSE))=0, "", IF(B48="", "", VLOOKUP(B48,'API Data Dictionary'!C:G,5,FALSE)))</f>
        <v>The ID of the property tenancy</v>
      </c>
    </row>
    <row r="49" spans="1:7" x14ac:dyDescent="0.35">
      <c r="A49" s="64" t="s">
        <v>1380</v>
      </c>
      <c r="B49" s="62" t="str">
        <f t="shared" si="1"/>
        <v/>
      </c>
      <c r="C49" s="62" t="str">
        <f>IF(B49="", "", VLOOKUP(B49,'API Data Dictionary'!C:L,10,FALSE))</f>
        <v/>
      </c>
      <c r="D49" s="62" t="str">
        <f>IF(B49="", "", VLOOKUP(B49,'API Data Dictionary'!C:D,2,FALSE))</f>
        <v/>
      </c>
      <c r="E49" s="62" t="str">
        <f>IF(IF(B49="", "", VLOOKUP(B49,'API Data Dictionary'!C:E,3,FALSE))=0, "", IF(B49="", "", VLOOKUP(B49,'API Data Dictionary'!C:E,3,FALSE)))</f>
        <v/>
      </c>
      <c r="F49" s="62" t="str">
        <f>IF(IF(B49="", "", VLOOKUP(B49,'API Data Dictionary'!C:F,4,FALSE))=0, "", IF(B49="", "", VLOOKUP(B49,'API Data Dictionary'!C:F,4,FALSE)))</f>
        <v/>
      </c>
      <c r="G49" s="62" t="str">
        <f>IF(IF(B49="", "", VLOOKUP(B49,'API Data Dictionary'!C:G,5,FALSE))=0, "", IF(B49="", "", VLOOKUP(B49,'API Data Dictionary'!C:G,5,FALSE)))</f>
        <v/>
      </c>
    </row>
    <row r="50" spans="1:7" x14ac:dyDescent="0.35">
      <c r="A50" s="64" t="s">
        <v>1381</v>
      </c>
      <c r="B50" s="62" t="str">
        <f t="shared" si="1"/>
        <v/>
      </c>
      <c r="C50" s="62" t="str">
        <f>IF(B50="", "", VLOOKUP(B50,'API Data Dictionary'!C:L,10,FALSE))</f>
        <v/>
      </c>
      <c r="D50" s="62" t="str">
        <f>IF(B50="", "", VLOOKUP(B50,'API Data Dictionary'!C:D,2,FALSE))</f>
        <v/>
      </c>
      <c r="E50" s="62" t="str">
        <f>IF(IF(B50="", "", VLOOKUP(B50,'API Data Dictionary'!C:E,3,FALSE))=0, "", IF(B50="", "", VLOOKUP(B50,'API Data Dictionary'!C:E,3,FALSE)))</f>
        <v/>
      </c>
      <c r="F50" s="62" t="str">
        <f>IF(IF(B50="", "", VLOOKUP(B50,'API Data Dictionary'!C:F,4,FALSE))=0, "", IF(B50="", "", VLOOKUP(B50,'API Data Dictionary'!C:F,4,FALSE)))</f>
        <v/>
      </c>
      <c r="G50" s="62" t="str">
        <f>IF(IF(B50="", "", VLOOKUP(B50,'API Data Dictionary'!C:G,5,FALSE))=0, "", IF(B50="", "", VLOOKUP(B50,'API Data Dictionary'!C:G,5,FALSE)))</f>
        <v/>
      </c>
    </row>
    <row r="51" spans="1:7" x14ac:dyDescent="0.35">
      <c r="A51" s="64" t="s">
        <v>1403</v>
      </c>
      <c r="B51" s="62" t="str">
        <f t="shared" si="1"/>
        <v>applicantID</v>
      </c>
      <c r="C51" s="62" t="s">
        <v>68</v>
      </c>
      <c r="D51" s="62" t="str">
        <f>IF(B51="", "", VLOOKUP(B51,'API Data Dictionary'!C:D,2,FALSE))</f>
        <v>integer</v>
      </c>
      <c r="E51" s="62" t="str">
        <f>IF(IF(B51="", "", VLOOKUP(B51,'API Data Dictionary'!C:E,3,FALSE))=0, "", IF(B51="", "", VLOOKUP(B51,'API Data Dictionary'!C:E,3,FALSE)))</f>
        <v/>
      </c>
      <c r="F51" s="62" t="str">
        <f>IF(IF(B51="", "", VLOOKUP(B51,'API Data Dictionary'!C:F,4,FALSE))=0, "", IF(B51="", "", VLOOKUP(B51,'API Data Dictionary'!C:F,4,FALSE)))</f>
        <v/>
      </c>
      <c r="G51" s="62" t="str">
        <f>IF(IF(B51="", "", VLOOKUP(B51,'API Data Dictionary'!C:G,5,FALSE))=0, "", IF(B51="", "", VLOOKUP(B51,'API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52" spans="1:7" x14ac:dyDescent="0.35">
      <c r="A52" s="64" t="s">
        <v>1404</v>
      </c>
      <c r="B52" s="62" t="str">
        <f t="shared" si="1"/>
        <v>applicantName</v>
      </c>
      <c r="C52" s="62" t="s">
        <v>68</v>
      </c>
      <c r="D52" s="62" t="s">
        <v>64</v>
      </c>
      <c r="E52" s="62">
        <v>50</v>
      </c>
      <c r="F52" s="62"/>
      <c r="G52" s="62" t="s">
        <v>1386</v>
      </c>
    </row>
    <row r="53" spans="1:7" x14ac:dyDescent="0.35">
      <c r="A53" s="64" t="s">
        <v>1117</v>
      </c>
      <c r="B53" s="62" t="str">
        <f t="shared" si="1"/>
        <v/>
      </c>
      <c r="C53" s="62" t="str">
        <f>IF(B53="", "", VLOOKUP(B53,'API Data Dictionary'!C:L,10,FALSE))</f>
        <v/>
      </c>
      <c r="D53" s="62" t="str">
        <f>IF(B53="", "", VLOOKUP(B53,'API Data Dictionary'!C:D,2,FALSE))</f>
        <v/>
      </c>
      <c r="E53" s="62" t="str">
        <f>IF(IF(B53="", "", VLOOKUP(B53,'API Data Dictionary'!C:E,3,FALSE))=0, "", IF(B53="", "", VLOOKUP(B53,'API Data Dictionary'!C:E,3,FALSE)))</f>
        <v/>
      </c>
      <c r="F53" s="62" t="str">
        <f>IF(IF(B53="", "", VLOOKUP(B53,'API Data Dictionary'!C:F,4,FALSE))=0, "", IF(B53="", "", VLOOKUP(B53,'API Data Dictionary'!C:F,4,FALSE)))</f>
        <v/>
      </c>
      <c r="G53" s="62" t="str">
        <f>IF(IF(B53="", "", VLOOKUP(B53,'API Data Dictionary'!C:G,5,FALSE))=0, "", IF(B53="", "", VLOOKUP(B53,'API Data Dictionary'!C:G,5,FALSE)))</f>
        <v/>
      </c>
    </row>
    <row r="54" spans="1:7" x14ac:dyDescent="0.35">
      <c r="A54" s="64" t="s">
        <v>1383</v>
      </c>
      <c r="B54" s="62" t="str">
        <f t="shared" si="1"/>
        <v/>
      </c>
      <c r="C54" s="62" t="str">
        <f>IF(B54="", "", VLOOKUP(B54,'API Data Dictionary'!C:L,10,FALSE))</f>
        <v/>
      </c>
      <c r="D54" s="62" t="str">
        <f>IF(B54="", "", VLOOKUP(B54,'API Data Dictionary'!C:D,2,FALSE))</f>
        <v/>
      </c>
      <c r="E54" s="62" t="str">
        <f>IF(IF(B54="", "", VLOOKUP(B54,'API Data Dictionary'!C:E,3,FALSE))=0, "", IF(B54="", "", VLOOKUP(B54,'API Data Dictionary'!C:E,3,FALSE)))</f>
        <v/>
      </c>
      <c r="F54" s="62" t="str">
        <f>IF(IF(B54="", "", VLOOKUP(B54,'API Data Dictionary'!C:F,4,FALSE))=0, "", IF(B54="", "", VLOOKUP(B54,'API Data Dictionary'!C:F,4,FALSE)))</f>
        <v/>
      </c>
      <c r="G54" s="62" t="str">
        <f>IF(IF(B54="", "", VLOOKUP(B54,'API Data Dictionary'!C:G,5,FALSE))=0, "", IF(B54="", "", VLOOKUP(B54,'API Data Dictionary'!C:G,5,FALSE)))</f>
        <v/>
      </c>
    </row>
    <row r="55" spans="1:7" x14ac:dyDescent="0.35">
      <c r="A55" s="64" t="s">
        <v>1105</v>
      </c>
      <c r="B55" s="62" t="str">
        <f t="shared" si="1"/>
        <v/>
      </c>
      <c r="C55" s="62" t="str">
        <f>IF(B55="", "", VLOOKUP(B55,'API Data Dictionary'!C:L,10,FALSE))</f>
        <v/>
      </c>
      <c r="D55" s="62" t="str">
        <f>IF(B55="", "", VLOOKUP(B55,'API Data Dictionary'!C:D,2,FALSE))</f>
        <v/>
      </c>
      <c r="E55" s="62" t="str">
        <f>IF(IF(B55="", "", VLOOKUP(B55,'API Data Dictionary'!C:E,3,FALSE))=0, "", IF(B55="", "", VLOOKUP(B55,'API Data Dictionary'!C:E,3,FALSE)))</f>
        <v/>
      </c>
      <c r="F55" s="62" t="str">
        <f>IF(IF(B55="", "", VLOOKUP(B55,'API Data Dictionary'!C:F,4,FALSE))=0, "", IF(B55="", "", VLOOKUP(B55,'API Data Dictionary'!C:F,4,FALSE)))</f>
        <v/>
      </c>
      <c r="G55" s="62" t="str">
        <f>IF(IF(B55="", "", VLOOKUP(B55,'API Data Dictionary'!C:G,5,FALSE))=0, "", IF(B55="", "", VLOOKUP(B55,'API Data Dictionary'!C:G,5,FALSE)))</f>
        <v/>
      </c>
    </row>
    <row r="56" spans="1:7" x14ac:dyDescent="0.35">
      <c r="A56" s="64" t="s">
        <v>1405</v>
      </c>
      <c r="B56" s="62" t="str">
        <f t="shared" si="1"/>
        <v>message</v>
      </c>
      <c r="C56" s="62" t="s">
        <v>68</v>
      </c>
      <c r="D56" s="62" t="str">
        <f>IF(B56="", "", VLOOKUP(B56,'API Data Dictionary'!C:D,2,FALSE))</f>
        <v>string</v>
      </c>
      <c r="E56" s="62">
        <f>IF(IF(B56="", "", VLOOKUP(B56,'API Data Dictionary'!C:E,3,FALSE))=0, "", IF(B56="", "", VLOOKUP(B56,'API Data Dictionary'!C:E,3,FALSE)))</f>
        <v>100</v>
      </c>
      <c r="F56" s="62" t="str">
        <f>IF(IF(B56="", "", VLOOKUP(B56,'API Data Dictionary'!C:F,4,FALSE))=0, "", IF(B56="", "", VLOOKUP(B56,'API Data Dictionary'!C:F,4,FALSE)))</f>
        <v/>
      </c>
      <c r="G56" s="62" t="str">
        <f>IF(IF(B56="", "", VLOOKUP(B56,'API Data Dictionary'!C:G,5,FALSE))=0, "", IF(B56="", "", VLOOKUP(B56,'API Data Dictionary'!C:G,5,FALSE)))</f>
        <v>return value, null or success, unless there has been error</v>
      </c>
    </row>
    <row r="57" spans="1:7" x14ac:dyDescent="0.35">
      <c r="A57" s="64" t="s">
        <v>1120</v>
      </c>
      <c r="B57" s="62" t="str">
        <f t="shared" ref="B57" si="2">IF(OR(ISNUMBER(SEARCH("{", A57)),ISNUMBER(SEARCH("[", A57))), "", IFERROR(MID(A57, SEARCH("""", A57) +1, SEARCH("""", A57, SEARCH("""",A57) +1) - SEARCH("""", A57) -1), ""))</f>
        <v/>
      </c>
      <c r="C57" s="62" t="str">
        <f>IF(B57="", "", VLOOKUP(B57,'API Data Dictionary'!C:L,10,FALSE))</f>
        <v/>
      </c>
      <c r="D57" s="62" t="str">
        <f>IF(B57="", "", VLOOKUP(B57,'API Data Dictionary'!C:D,2,FALSE))</f>
        <v/>
      </c>
      <c r="E57" s="62" t="str">
        <f>IF(IF(B57="", "", VLOOKUP(B57,'API Data Dictionary'!C:E,3,FALSE))=0, "", IF(B57="", "", VLOOKUP(B57,'API Data Dictionary'!C:E,3,FALSE)))</f>
        <v/>
      </c>
      <c r="F57" s="62" t="str">
        <f>IF(IF(B57="", "", VLOOKUP(B57,'API Data Dictionary'!C:F,4,FALSE))=0, "", IF(B57="", "", VLOOKUP(B57,'API Data Dictionary'!C:F,4,FALSE)))</f>
        <v/>
      </c>
      <c r="G57" s="62" t="str">
        <f>IF(IF(B57="", "", VLOOKUP(B57,'API Data Dictionary'!C:G,5,FALSE))=0, "", IF(B57="", "", VLOOKUP(B57,'API Data Dictionary'!C:G,5,FALSE)))</f>
        <v/>
      </c>
    </row>
    <row r="59" spans="1:7" x14ac:dyDescent="0.35">
      <c r="A59" s="219" t="s">
        <v>1625</v>
      </c>
      <c r="B59" s="220"/>
      <c r="C59" s="220"/>
      <c r="D59" s="220"/>
      <c r="E59" s="220"/>
      <c r="F59" s="220"/>
      <c r="G59" s="220"/>
    </row>
    <row r="60" spans="1:7" x14ac:dyDescent="0.35">
      <c r="A60" s="88" t="s">
        <v>1561</v>
      </c>
      <c r="B60" s="62" t="s">
        <v>1359</v>
      </c>
      <c r="C60" s="89" t="s">
        <v>1359</v>
      </c>
      <c r="D60" s="62" t="s">
        <v>64</v>
      </c>
      <c r="E60" s="89">
        <v>100</v>
      </c>
      <c r="F60" s="89"/>
      <c r="G60" s="89" t="s">
        <v>1562</v>
      </c>
    </row>
    <row r="62" spans="1:7" x14ac:dyDescent="0.35">
      <c r="A62" s="219" t="s">
        <v>1764</v>
      </c>
      <c r="B62" s="220"/>
      <c r="C62" s="220"/>
      <c r="D62" s="220"/>
      <c r="E62" s="220"/>
      <c r="F62" s="220"/>
      <c r="G62" s="220"/>
    </row>
    <row r="63" spans="1:7" x14ac:dyDescent="0.35">
      <c r="A63" s="88" t="s">
        <v>1763</v>
      </c>
      <c r="B63" s="62" t="s">
        <v>1359</v>
      </c>
      <c r="C63" s="89" t="s">
        <v>1359</v>
      </c>
      <c r="D63" s="62" t="s">
        <v>64</v>
      </c>
      <c r="E63" s="89">
        <v>100</v>
      </c>
      <c r="F63" s="89"/>
      <c r="G63" s="89" t="s">
        <v>1765</v>
      </c>
    </row>
    <row r="65" spans="1:7" x14ac:dyDescent="0.35">
      <c r="A65" s="219" t="s">
        <v>1747</v>
      </c>
      <c r="B65" s="220"/>
      <c r="C65" s="220"/>
      <c r="D65" s="220"/>
      <c r="E65" s="220"/>
      <c r="F65" s="220"/>
      <c r="G65" s="220"/>
    </row>
    <row r="66" spans="1:7" x14ac:dyDescent="0.35">
      <c r="A66" s="64" t="s">
        <v>1094</v>
      </c>
      <c r="B66" s="62" t="str">
        <f t="shared" ref="B66:B68" si="3">IF(OR(ISNUMBER(SEARCH("{", A66)),ISNUMBER(SEARCH("[", A66))), "", IFERROR(MID(A66, SEARCH("""", A66) +1, SEARCH("""", A66, SEARCH("""",A66) +1) - SEARCH("""", A66) -1), ""))</f>
        <v/>
      </c>
      <c r="C66" s="62"/>
      <c r="D66" s="62" t="str">
        <f>IF(B66="", "", VLOOKUP(B66,'API Data Dictionary'!C:D,2,FALSE))</f>
        <v/>
      </c>
      <c r="E66" s="62" t="str">
        <f>IF(IF(B66="", "", VLOOKUP(B66,'API Data Dictionary'!C:E,3,FALSE))=0, "", IF(B66="", "", VLOOKUP(B66,'API Data Dictionary'!C:E,3,FALSE)))</f>
        <v/>
      </c>
      <c r="F66" s="62" t="str">
        <f>IF(IF(B66="", "", VLOOKUP(B66,'API Data Dictionary'!C:F,4,FALSE))=0, "", IF(B66="", "", VLOOKUP(B66,'API Data Dictionary'!C:F,4,FALSE)))</f>
        <v/>
      </c>
      <c r="G66" s="62" t="str">
        <f>IF(IF(B66="", "", VLOOKUP(B66,'API Data Dictionary'!C:G,5,FALSE))=0, "", IF(B66="", "", VLOOKUP(B66,'API Data Dictionary'!C:G,5,FALSE)))</f>
        <v/>
      </c>
    </row>
    <row r="67" spans="1:7" x14ac:dyDescent="0.35">
      <c r="A67" s="64" t="s">
        <v>1574</v>
      </c>
      <c r="B67" s="62" t="str">
        <f t="shared" si="3"/>
        <v>success</v>
      </c>
      <c r="C67" s="62" t="s">
        <v>68</v>
      </c>
      <c r="D67" s="62" t="str">
        <f>IF(B67="", "", VLOOKUP(B67,'API Data Dictionary'!C:D,2,FALSE))</f>
        <v>string - Boolean</v>
      </c>
      <c r="E67" s="62">
        <f>IF(IF(B67="", "", VLOOKUP(B67,'API Data Dictionary'!C:E,3,FALSE))=0, "", IF(B67="", "", VLOOKUP(B67,'API Data Dictionary'!C:E,3,FALSE)))</f>
        <v>100</v>
      </c>
      <c r="F67" s="62" t="str">
        <f>IF(IF(B67="", "", VLOOKUP(B67,'API Data Dictionary'!C:F,4,FALSE))=0, "", IF(B67="", "", VLOOKUP(B67,'API Data Dictionary'!C:F,4,FALSE)))</f>
        <v/>
      </c>
      <c r="G67" s="62" t="str">
        <f>IF(IF(B67="", "", VLOOKUP(B67,'API Data Dictionary'!C:G,5,FALSE))=0, "", IF(B67="", "", VLOOKUP(B67,'API Data Dictionary'!C:G,5,FALSE)))</f>
        <v>Returns true when successful call/connection</v>
      </c>
    </row>
    <row r="68" spans="1:7" x14ac:dyDescent="0.35">
      <c r="A68" s="64" t="s">
        <v>1377</v>
      </c>
      <c r="B68" s="62" t="str">
        <f t="shared" si="3"/>
        <v/>
      </c>
      <c r="C68" s="62" t="str">
        <f>IF(B68="", "", VLOOKUP(B68,'API Data Dictionary'!C:L,10,FALSE))</f>
        <v/>
      </c>
      <c r="D68" s="62" t="str">
        <f>IF(B68="", "", VLOOKUP(B68,'API Data Dictionary'!C:D,2,FALSE))</f>
        <v/>
      </c>
      <c r="E68" s="62" t="str">
        <f>IF(IF(B68="", "", VLOOKUP(B68,'API Data Dictionary'!C:E,3,FALSE))=0, "", IF(B68="", "", VLOOKUP(B68,'API Data Dictionary'!C:E,3,FALSE)))</f>
        <v/>
      </c>
      <c r="F68" s="62" t="str">
        <f>IF(IF(B68="", "", VLOOKUP(B68,'API Data Dictionary'!C:F,4,FALSE))=0, "", IF(B68="", "", VLOOKUP(B68,'API Data Dictionary'!C:F,4,FALSE)))</f>
        <v/>
      </c>
      <c r="G68" s="62" t="str">
        <f>IF(IF(B68="", "", VLOOKUP(B68,'API Data Dictionary'!C:G,5,FALSE))=0, "", IF(B68="", "", VLOOKUP(B68,'API Data Dictionary'!C:G,5,FALSE)))</f>
        <v/>
      </c>
    </row>
    <row r="69" spans="1:7" x14ac:dyDescent="0.35">
      <c r="A69" s="64" t="s">
        <v>1564</v>
      </c>
      <c r="B69" s="62" t="s">
        <v>1589</v>
      </c>
      <c r="C69" s="62" t="s">
        <v>68</v>
      </c>
      <c r="D69" t="s">
        <v>1593</v>
      </c>
      <c r="E69" s="62"/>
      <c r="F69" s="62"/>
      <c r="G69" s="62"/>
    </row>
    <row r="70" spans="1:7" x14ac:dyDescent="0.35">
      <c r="A70" s="64" t="s">
        <v>1565</v>
      </c>
      <c r="B70" s="62" t="s">
        <v>1590</v>
      </c>
      <c r="C70" s="62" t="s">
        <v>68</v>
      </c>
      <c r="D70" s="62" t="s">
        <v>64</v>
      </c>
      <c r="E70" s="106" t="s">
        <v>1594</v>
      </c>
      <c r="F70" s="62"/>
      <c r="G70" s="62"/>
    </row>
    <row r="71" spans="1:7" x14ac:dyDescent="0.35">
      <c r="A71" s="64" t="s">
        <v>1607</v>
      </c>
      <c r="B71" s="62" t="s">
        <v>1591</v>
      </c>
      <c r="C71" s="62" t="s">
        <v>68</v>
      </c>
      <c r="D71" s="62" t="s">
        <v>64</v>
      </c>
      <c r="E71" s="106" t="s">
        <v>1594</v>
      </c>
      <c r="F71" s="62"/>
      <c r="G71" s="62"/>
    </row>
    <row r="72" spans="1:7" x14ac:dyDescent="0.35">
      <c r="A72" s="64" t="s">
        <v>1116</v>
      </c>
      <c r="B72" s="62" t="str">
        <f t="shared" ref="B72:B81" si="4">IF(OR(ISNUMBER(SEARCH("{", A72)),ISNUMBER(SEARCH("[", A72))), "", IFERROR(MID(A72, SEARCH("""", A72) +1, SEARCH("""", A72, SEARCH("""",A72) +1) - SEARCH("""", A72) -1), ""))</f>
        <v/>
      </c>
      <c r="C72" s="62" t="str">
        <f>IF(B72="", "", VLOOKUP(B72,'API Data Dictionary'!C:L,10,FALSE))</f>
        <v/>
      </c>
      <c r="D72" s="62" t="str">
        <f>IF(B72="", "", VLOOKUP(B72,'API Data Dictionary'!C:D,2,FALSE))</f>
        <v/>
      </c>
      <c r="E72" s="106"/>
      <c r="F72" s="62"/>
      <c r="G72" s="62"/>
    </row>
    <row r="73" spans="1:7" x14ac:dyDescent="0.35">
      <c r="A73" s="64" t="s">
        <v>1585</v>
      </c>
      <c r="B73" s="62" t="s">
        <v>1590</v>
      </c>
      <c r="C73" s="62" t="s">
        <v>68</v>
      </c>
      <c r="D73" s="62" t="s">
        <v>64</v>
      </c>
      <c r="E73" s="106" t="s">
        <v>1594</v>
      </c>
      <c r="F73" s="62"/>
      <c r="G73" s="62"/>
    </row>
    <row r="74" spans="1:7" x14ac:dyDescent="0.35">
      <c r="A74" s="64" t="s">
        <v>1586</v>
      </c>
      <c r="B74" s="62" t="s">
        <v>1591</v>
      </c>
      <c r="C74" s="62" t="s">
        <v>68</v>
      </c>
      <c r="D74" s="62" t="s">
        <v>64</v>
      </c>
      <c r="E74" s="106" t="s">
        <v>1594</v>
      </c>
      <c r="F74" s="62"/>
      <c r="G74" s="62"/>
    </row>
    <row r="75" spans="1:7" x14ac:dyDescent="0.35">
      <c r="A75" s="64" t="s">
        <v>1566</v>
      </c>
      <c r="B75" s="62" t="str">
        <f t="shared" si="4"/>
        <v/>
      </c>
      <c r="C75" s="62" t="str">
        <f>IF(B75="", "", VLOOKUP(B75,'API Data Dictionary'!C:L,10,FALSE))</f>
        <v/>
      </c>
      <c r="D75" s="62" t="str">
        <f>IF(B75="", "", VLOOKUP(B75,'API Data Dictionary'!C:D,2,FALSE))</f>
        <v/>
      </c>
      <c r="E75" s="106"/>
      <c r="F75" s="62"/>
      <c r="G75" s="62"/>
    </row>
    <row r="76" spans="1:7" x14ac:dyDescent="0.35">
      <c r="A76" s="64" t="s">
        <v>1413</v>
      </c>
      <c r="B76" s="62" t="str">
        <f t="shared" si="4"/>
        <v/>
      </c>
      <c r="C76" s="62" t="str">
        <f>IF(B76="", "", VLOOKUP(B76,'API Data Dictionary'!C:L,10,FALSE))</f>
        <v/>
      </c>
      <c r="D76" s="62" t="str">
        <f>IF(B76="", "", VLOOKUP(B76,'API Data Dictionary'!C:D,2,FALSE))</f>
        <v/>
      </c>
      <c r="E76" s="106"/>
      <c r="F76" s="62"/>
      <c r="G76" s="62"/>
    </row>
    <row r="77" spans="1:7" x14ac:dyDescent="0.35">
      <c r="A77" s="64" t="s">
        <v>1587</v>
      </c>
      <c r="B77" s="62" t="s">
        <v>1579</v>
      </c>
      <c r="C77" s="62" t="s">
        <v>68</v>
      </c>
      <c r="D77" s="62" t="s">
        <v>64</v>
      </c>
      <c r="E77" s="106" t="s">
        <v>1594</v>
      </c>
      <c r="F77" s="62"/>
      <c r="G77" s="62"/>
    </row>
    <row r="78" spans="1:7" x14ac:dyDescent="0.35">
      <c r="A78" s="64" t="s">
        <v>1577</v>
      </c>
      <c r="B78" s="62" t="s">
        <v>1580</v>
      </c>
      <c r="C78" s="62" t="s">
        <v>68</v>
      </c>
      <c r="D78" s="62" t="s">
        <v>64</v>
      </c>
      <c r="E78" s="106" t="s">
        <v>1594</v>
      </c>
      <c r="F78" s="62"/>
      <c r="G78" s="62"/>
    </row>
    <row r="79" spans="1:7" x14ac:dyDescent="0.35">
      <c r="A79" s="64" t="s">
        <v>1105</v>
      </c>
      <c r="B79" s="62" t="str">
        <f t="shared" si="4"/>
        <v/>
      </c>
      <c r="C79" s="62" t="str">
        <f>IF(B79="", "", VLOOKUP(B79,'API Data Dictionary'!C:L,10,FALSE))</f>
        <v/>
      </c>
      <c r="D79" s="62" t="str">
        <f>IF(B79="", "", VLOOKUP(B79,'API Data Dictionary'!C:D,2,FALSE))</f>
        <v/>
      </c>
      <c r="E79" s="106" t="str">
        <f>IF(IF(B79="", "", VLOOKUP(B79,'API Data Dictionary'!C:E,3,FALSE))=0, "", IF(B79="", "", VLOOKUP(B79,'API Data Dictionary'!C:E,3,FALSE)))</f>
        <v/>
      </c>
      <c r="F79" s="62" t="str">
        <f>IF(IF(B79="", "", VLOOKUP(B79,'API Data Dictionary'!C:F,4,FALSE))=0, "", IF(B79="", "", VLOOKUP(B79,'API Data Dictionary'!C:F,4,FALSE)))</f>
        <v/>
      </c>
      <c r="G79" s="62" t="str">
        <f>IF(IF(B79="", "", VLOOKUP(B79,'API Data Dictionary'!C:G,5,FALSE))=0, "", IF(B79="", "", VLOOKUP(B79,'API Data Dictionary'!C:G,5,FALSE)))</f>
        <v/>
      </c>
    </row>
    <row r="80" spans="1:7" x14ac:dyDescent="0.35">
      <c r="A80" s="64" t="s">
        <v>1588</v>
      </c>
      <c r="B80" s="62" t="s">
        <v>1592</v>
      </c>
      <c r="C80" s="62" t="s">
        <v>68</v>
      </c>
      <c r="D80" s="62" t="s">
        <v>64</v>
      </c>
      <c r="E80" s="106" t="s">
        <v>1594</v>
      </c>
      <c r="F80" s="62"/>
      <c r="G80" s="62"/>
    </row>
    <row r="81" spans="1:7" x14ac:dyDescent="0.35">
      <c r="A81" s="64" t="s">
        <v>1120</v>
      </c>
      <c r="B81" s="62" t="str">
        <f t="shared" si="4"/>
        <v/>
      </c>
      <c r="C81" s="62"/>
      <c r="D81" s="62" t="str">
        <f>IF(B81="", "", VLOOKUP(B81,'API Data Dictionary'!C:D,2,FALSE))</f>
        <v/>
      </c>
      <c r="E81" s="62" t="str">
        <f>IF(IF(B81="", "", VLOOKUP(B81,'API Data Dictionary'!C:E,3,FALSE))=0, "", IF(B81="", "", VLOOKUP(B81,'API Data Dictionary'!C:E,3,FALSE)))</f>
        <v/>
      </c>
      <c r="F81" s="62" t="str">
        <f>IF(IF(B81="", "", VLOOKUP(B81,'API Data Dictionary'!C:F,4,FALSE))=0, "", IF(B81="", "", VLOOKUP(B81,'API Data Dictionary'!C:F,4,FALSE)))</f>
        <v/>
      </c>
      <c r="G81" s="62" t="str">
        <f>IF(IF(B81="", "", VLOOKUP(B81,'API Data Dictionary'!C:G,5,FALSE))=0, "", IF(B81="", "", VLOOKUP(B81,'API Data Dictionary'!C:G,5,FALSE)))</f>
        <v/>
      </c>
    </row>
    <row r="82" spans="1:7" x14ac:dyDescent="0.35">
      <c r="A82" s="103"/>
    </row>
    <row r="83" spans="1:7" x14ac:dyDescent="0.35">
      <c r="A83" s="220" t="s">
        <v>1598</v>
      </c>
      <c r="B83" s="220"/>
      <c r="C83" s="220"/>
      <c r="D83" s="220"/>
      <c r="E83" s="220"/>
      <c r="F83" s="220"/>
      <c r="G83" s="220"/>
    </row>
    <row r="84" spans="1:7" x14ac:dyDescent="0.35">
      <c r="A84" s="110" t="s">
        <v>1094</v>
      </c>
      <c r="B84" s="89" t="str">
        <f t="shared" ref="B84:B88" si="5">IF(OR(ISNUMBER(SEARCH("{", A84)),ISNUMBER(SEARCH("[", A84))), "", IFERROR(MID(A84, SEARCH("""", A84) +1, SEARCH("""", A84, SEARCH("""",A84) +1) - SEARCH("""", A84) -1), ""))</f>
        <v/>
      </c>
      <c r="C84" s="89" t="str">
        <f>IF(B84="", "", VLOOKUP(B84,'API Data Dictionary'!C:J,8,FALSE))</f>
        <v/>
      </c>
      <c r="D84" s="89" t="str">
        <f>IF(B84="", "", VLOOKUP(B84,'API Data Dictionary'!C:D,2,FALSE))</f>
        <v/>
      </c>
      <c r="E84" s="89" t="str">
        <f>IF(IF(B84="", "", VLOOKUP(B84,'API Data Dictionary'!C:E,3,FALSE))=0, "", IF(B84="", "", VLOOKUP(B84,'API Data Dictionary'!C:E,3,FALSE)))</f>
        <v/>
      </c>
      <c r="F84" s="89" t="str">
        <f>IF(IF(B84="", "", VLOOKUP(B84,'API Data Dictionary'!C:F,4,FALSE))=0, "", IF(B84="", "", VLOOKUP(B84,'API Data Dictionary'!C:F,4,FALSE)))</f>
        <v/>
      </c>
      <c r="G84" s="89" t="str">
        <f>IF(IF(B84="", "", VLOOKUP(B84,'API Data Dictionary'!C:G,5,FALSE))=0, "", IF(B84="", "", VLOOKUP(B84,'API Data Dictionary'!C:G,5,FALSE)))</f>
        <v/>
      </c>
    </row>
    <row r="85" spans="1:7" x14ac:dyDescent="0.35">
      <c r="A85" s="110" t="s">
        <v>1567</v>
      </c>
      <c r="B85" s="89" t="str">
        <f t="shared" si="5"/>
        <v>success</v>
      </c>
      <c r="C85" s="89" t="s">
        <v>68</v>
      </c>
      <c r="D85" s="89" t="str">
        <f>IF(B85="", "", VLOOKUP(B85,'API Data Dictionary'!C:D,2,FALSE))</f>
        <v>string - Boolean</v>
      </c>
      <c r="E85" s="89">
        <f>IF(IF(B85="", "", VLOOKUP(B85,'API Data Dictionary'!C:E,3,FALSE))=0, "", IF(B85="", "", VLOOKUP(B85,'API Data Dictionary'!C:E,3,FALSE)))</f>
        <v>100</v>
      </c>
      <c r="F85" s="89" t="str">
        <f>IF(IF(B85="", "", VLOOKUP(B85,'API Data Dictionary'!C:F,4,FALSE))=0, "", IF(B85="", "", VLOOKUP(B85,'API Data Dictionary'!C:F,4,FALSE)))</f>
        <v/>
      </c>
      <c r="G85" s="89" t="str">
        <f>IF(IF(B85="", "", VLOOKUP(B85,'API Data Dictionary'!C:G,5,FALSE))=0, "", IF(B85="", "", VLOOKUP(B85,'API Data Dictionary'!C:G,5,FALSE)))</f>
        <v>Returns true when successful call/connection</v>
      </c>
    </row>
    <row r="86" spans="1:7" x14ac:dyDescent="0.35">
      <c r="A86" s="110" t="s">
        <v>1596</v>
      </c>
      <c r="B86" s="89" t="str">
        <f t="shared" si="5"/>
        <v>payload</v>
      </c>
      <c r="C86" s="89" t="s">
        <v>68</v>
      </c>
      <c r="D86" s="89" t="str">
        <f>IF(B86="", "", VLOOKUP(B86,'API Data Dictionary'!C:D,2,FALSE))</f>
        <v>string</v>
      </c>
      <c r="E86" s="89">
        <f>IF(IF(B86="", "", VLOOKUP(B86,'API Data Dictionary'!C:E,3,FALSE))=0, "", IF(B86="", "", VLOOKUP(B86,'API Data Dictionary'!C:E,3,FALSE)))</f>
        <v>100</v>
      </c>
      <c r="F86" s="89" t="str">
        <f>IF(IF(B86="", "", VLOOKUP(B86,'API Data Dictionary'!C:F,4,FALSE))=0, "", IF(B86="", "", VLOOKUP(B86,'API Data Dictionary'!C:F,4,FALSE)))</f>
        <v/>
      </c>
      <c r="G86" s="89" t="str">
        <f>IF(IF(B86="", "", VLOOKUP(B86,'API Data Dictionary'!C:G,5,FALSE))=0, "", IF(B86="", "", VLOOKUP(B86,'API Data Dictionary'!C:G,5,FALSE)))</f>
        <v>Returns healthy when connection has worked properly</v>
      </c>
    </row>
    <row r="87" spans="1:7" x14ac:dyDescent="0.35">
      <c r="A87" s="110" t="s">
        <v>1597</v>
      </c>
      <c r="B87" s="89" t="str">
        <f t="shared" si="5"/>
        <v>message</v>
      </c>
      <c r="C87" s="89" t="s">
        <v>68</v>
      </c>
      <c r="D87" s="89" t="str">
        <f>IF(B87="", "", VLOOKUP(B87,'API Data Dictionary'!C:D,2,FALSE))</f>
        <v>string</v>
      </c>
      <c r="E87" s="89">
        <f>IF(IF(B87="", "", VLOOKUP(B87,'API Data Dictionary'!C:E,3,FALSE))=0, "", IF(B87="", "", VLOOKUP(B87,'API Data Dictionary'!C:E,3,FALSE)))</f>
        <v>100</v>
      </c>
      <c r="F87" s="89" t="str">
        <f>IF(IF(B87="", "", VLOOKUP(B87,'API Data Dictionary'!C:F,4,FALSE))=0, "", IF(B87="", "", VLOOKUP(B87,'API Data Dictionary'!C:F,4,FALSE)))</f>
        <v/>
      </c>
      <c r="G87" s="89" t="str">
        <f>IF(IF(B87="", "", VLOOKUP(B87,'API Data Dictionary'!C:G,5,FALSE))=0, "", IF(B87="", "", VLOOKUP(B87,'API Data Dictionary'!C:G,5,FALSE)))</f>
        <v>return value, null or success, unless there has been error</v>
      </c>
    </row>
    <row r="88" spans="1:7" x14ac:dyDescent="0.35">
      <c r="A88" s="110" t="s">
        <v>1120</v>
      </c>
      <c r="B88" s="89" t="str">
        <f t="shared" si="5"/>
        <v/>
      </c>
      <c r="C88" s="89" t="str">
        <f>IF(B88="", "", VLOOKUP(B88,'API Data Dictionary'!C:J,8,FALSE))</f>
        <v/>
      </c>
      <c r="D88" s="89" t="str">
        <f>IF(B88="", "", VLOOKUP(B88,'API Data Dictionary'!C:D,2,FALSE))</f>
        <v/>
      </c>
      <c r="E88" s="89" t="str">
        <f>IF(IF(B88="", "", VLOOKUP(B88,'API Data Dictionary'!C:E,3,FALSE))=0, "", IF(B88="", "", VLOOKUP(B88,'API Data Dictionary'!C:E,3,FALSE)))</f>
        <v/>
      </c>
      <c r="F88" s="89" t="str">
        <f>IF(IF(B88="", "", VLOOKUP(B88,'API Data Dictionary'!C:F,4,FALSE))=0, "", IF(B88="", "", VLOOKUP(B88,'API Data Dictionary'!C:F,4,FALSE)))</f>
        <v/>
      </c>
      <c r="G88" s="89" t="str">
        <f>IF(IF(B88="", "", VLOOKUP(B88,'API Data Dictionary'!C:G,5,FALSE))=0, "", IF(B88="", "", VLOOKUP(B88,'API Data Dictionary'!C:G,5,FALSE)))</f>
        <v/>
      </c>
    </row>
  </sheetData>
  <mergeCells count="6">
    <mergeCell ref="A2:G2"/>
    <mergeCell ref="A43:G43"/>
    <mergeCell ref="A65:G65"/>
    <mergeCell ref="A83:G83"/>
    <mergeCell ref="A59:G59"/>
    <mergeCell ref="A62:G6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47DD4-C85B-4921-B4E7-1EBDE7B5E381}">
  <sheetPr>
    <tabColor rgb="FF4472C4"/>
  </sheetPr>
  <dimension ref="A1:G78"/>
  <sheetViews>
    <sheetView zoomScaleNormal="100" workbookViewId="0"/>
  </sheetViews>
  <sheetFormatPr defaultRowHeight="14.5" x14ac:dyDescent="0.35"/>
  <cols>
    <col min="1" max="1" width="79.36328125" bestFit="1" customWidth="1"/>
    <col min="2" max="2" width="22.1796875" bestFit="1" customWidth="1"/>
    <col min="3" max="3" width="16" bestFit="1" customWidth="1"/>
    <col min="4" max="4" width="21.26953125" bestFit="1" customWidth="1"/>
    <col min="5" max="5" width="10.54296875" customWidth="1"/>
    <col min="6" max="6" width="14.453125" customWidth="1"/>
    <col min="7" max="7" width="255.6328125" bestFit="1" customWidth="1"/>
  </cols>
  <sheetData>
    <row r="1" spans="1:7" ht="43.5" x14ac:dyDescent="0.35">
      <c r="A1" s="63" t="s">
        <v>1122</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B5" si="0">IF(OR(ISNUMBER(SEARCH("{", A3)),ISNUMBER(SEARCH("[", A3))), "", IFERROR(MID(A3, SEARCH("""", A3) +1, SEARCH("""", A3, SEARCH("""",A3) +1) - SEARCH("""", A3) -1), ""))</f>
        <v/>
      </c>
      <c r="C3" s="62" t="str">
        <f>IF(B3="", "", VLOOKUP(B3,'API Data Dictionary'!C:N,12,FALSE))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1128</v>
      </c>
      <c r="B4" s="62" t="str">
        <f t="shared" si="0"/>
        <v>applicantIds</v>
      </c>
      <c r="C4" s="62" t="str">
        <f>IF(B4="", "", VLOOKUP(B4,'API Data Dictionary'!C:N,12,FALSE))</f>
        <v>M</v>
      </c>
      <c r="D4" s="62" t="str">
        <f>IF(B4="", "", VLOOKUP(B4,'API Data Dictionary'!C:D,2,FALSE))</f>
        <v>string</v>
      </c>
      <c r="E4" s="62">
        <f>IF(IF(B4="", "", VLOOKUP(B4,'API Data Dictionary'!C:E,3,FALSE))=0, "", IF(B4="", "", VLOOKUP(B4,'API Data Dictionary'!C:E,3,FALSE)))</f>
        <v>65535</v>
      </c>
      <c r="F4" s="62" t="str">
        <f>IF(IF(B4="", "", VLOOKUP(B4,'API Data Dictionary'!C:F,4,FALSE))=0, "", IF(B4="", "", VLOOKUP(B4,'API Data Dictionary'!C:F,4,FALSE)))</f>
        <v/>
      </c>
      <c r="G4" s="62" t="str">
        <f>IF(IF(B4="", "", VLOOKUP(B4,'API Data Dictionary'!C:G,5,FALSE))=0, "", IF(B4="", "", VLOOKUP(B4,'API Data Dictionary'!C:G,5,FALSE)))</f>
        <v>Comma seperated list of applicantIDs as string</v>
      </c>
    </row>
    <row r="5" spans="1:7" x14ac:dyDescent="0.35">
      <c r="A5" s="64" t="s">
        <v>1120</v>
      </c>
      <c r="B5" s="62" t="str">
        <f t="shared" si="0"/>
        <v/>
      </c>
      <c r="C5" s="62" t="str">
        <f>IF(B5="", "", VLOOKUP(B5,'API Data Dictionary'!C:N,12,FALSE))</f>
        <v/>
      </c>
      <c r="D5" s="62" t="str">
        <f>IF(B5="", "", VLOOKUP(B5,'API Data Dictionary'!C:D,2,FALSE))</f>
        <v/>
      </c>
      <c r="E5" s="62" t="str">
        <f>IF(IF(B5="", "", VLOOKUP(B5,'API Data Dictionary'!C:E,3,FALSE))=0, "", IF(B5="", "", VLOOKUP(B5,'API Data Dictionary'!C:E,3,FALSE)))</f>
        <v/>
      </c>
      <c r="F5" s="62" t="str">
        <f>IF(IF(B5="", "", VLOOKUP(B5,'API Data Dictionary'!C:F,4,FALSE))=0, "", IF(B5="", "", VLOOKUP(B5,'API Data Dictionary'!C:F,4,FALSE)))</f>
        <v/>
      </c>
      <c r="G5" s="62" t="str">
        <f>IF(IF(B5="", "", VLOOKUP(B5,'API Data Dictionary'!C:G,5,FALSE))=0, "", IF(B5="", "", VLOOKUP(B5,'API Data Dictionary'!C:G,5,FALSE)))</f>
        <v/>
      </c>
    </row>
    <row r="6" spans="1:7" x14ac:dyDescent="0.35">
      <c r="A6" s="64"/>
      <c r="B6" s="62" t="str">
        <f t="shared" ref="B6:B26" si="1">IF(OR(ISNUMBER(SEARCH("{", A6)),ISNUMBER(SEARCH("[", A6))), "", IFERROR(MID(A6, SEARCH("""", A6) +1, SEARCH("""", A6, SEARCH("""",A6) +1) - SEARCH("""", A6) -1), ""))</f>
        <v/>
      </c>
      <c r="C6" s="62" t="str">
        <f>IF(B6="", "", VLOOKUP(B6,'API Data Dictionary'!C:N,12,FALSE))</f>
        <v/>
      </c>
      <c r="D6" s="62" t="str">
        <f>IF(B6="", "", VLOOKUP(B6,'API Data Dictionary'!C:D,2,FALSE))</f>
        <v/>
      </c>
      <c r="E6" s="62" t="str">
        <f>IF(IF(B6="", "", VLOOKUP(B6,'API Data Dictionary'!C:E,3,FALSE))=0, "", IF(B6="", "", VLOOKUP(B6,'API Data Dictionary'!C:E,3,FALSE)))</f>
        <v/>
      </c>
      <c r="F6" s="62" t="str">
        <f>IF(IF(B6="", "", VLOOKUP(B6,'API Data Dictionary'!C:F,4,FALSE))=0, "", IF(B6="", "", VLOOKUP(B6,'API Data Dictionary'!C:F,4,FALSE)))</f>
        <v/>
      </c>
      <c r="G6" s="62" t="str">
        <f>IF(IF(B6="", "", VLOOKUP(B6,'API Data Dictionary'!C:G,5,FALSE))=0, "", IF(B6="", "", VLOOKUP(B6,'API Data Dictionary'!C:G,5,FALSE)))</f>
        <v/>
      </c>
    </row>
    <row r="7" spans="1:7" x14ac:dyDescent="0.35">
      <c r="A7" s="103"/>
      <c r="B7" s="103"/>
      <c r="C7" s="103"/>
      <c r="D7" s="103"/>
      <c r="E7" s="103"/>
      <c r="F7" s="103"/>
      <c r="G7" s="103"/>
    </row>
    <row r="8" spans="1:7" x14ac:dyDescent="0.35">
      <c r="A8" s="222" t="s">
        <v>1751</v>
      </c>
      <c r="B8" s="222"/>
      <c r="C8" s="222"/>
      <c r="D8" s="222"/>
      <c r="E8" s="222"/>
      <c r="F8" s="222"/>
      <c r="G8" s="222"/>
    </row>
    <row r="9" spans="1:7" x14ac:dyDescent="0.35">
      <c r="A9" s="64" t="s">
        <v>1094</v>
      </c>
      <c r="B9" s="62" t="str">
        <f t="shared" si="1"/>
        <v/>
      </c>
      <c r="C9" s="62" t="str">
        <f>IF(B9="", "", VLOOKUP(B9,'API Data Dictionary'!C:N,12,FALSE))</f>
        <v/>
      </c>
      <c r="D9" s="62" t="str">
        <f>IF(B9="", "", VLOOKUP(B9,'API Data Dictionary'!C:D,2,FALSE))</f>
        <v/>
      </c>
      <c r="E9" s="62" t="str">
        <f>IF(IF(B9="", "", VLOOKUP(B9,'API Data Dictionary'!C:E,3,FALSE))=0, "", IF(B9="", "", VLOOKUP(B9,'API Data Dictionary'!C:E,3,FALSE)))</f>
        <v/>
      </c>
      <c r="F9" s="62" t="str">
        <f>IF(IF(B9="", "", VLOOKUP(B9,'API Data Dictionary'!C:F,4,FALSE))=0, "", IF(B9="", "", VLOOKUP(B9,'API Data Dictionary'!C:F,4,FALSE)))</f>
        <v/>
      </c>
      <c r="G9" s="62" t="str">
        <f>IF(IF(B9="", "", VLOOKUP(B9,'API Data Dictionary'!C:G,5,FALSE))=0, "", IF(B9="", "", VLOOKUP(B9,'API Data Dictionary'!C:G,5,FALSE)))</f>
        <v/>
      </c>
    </row>
    <row r="10" spans="1:7" x14ac:dyDescent="0.35">
      <c r="A10" s="64" t="s">
        <v>1350</v>
      </c>
      <c r="B10" s="62" t="str">
        <f t="shared" si="1"/>
        <v>success</v>
      </c>
      <c r="C10" s="62" t="s">
        <v>68</v>
      </c>
      <c r="D10" s="62" t="str">
        <f>IF(B10="", "", VLOOKUP(B10,'API Data Dictionary'!C:D,2,FALSE))</f>
        <v>string - Boolean</v>
      </c>
      <c r="E10" s="62">
        <f>IF(IF(B10="", "", VLOOKUP(B10,'API Data Dictionary'!C:E,3,FALSE))=0, "", IF(B10="", "", VLOOKUP(B10,'API Data Dictionary'!C:E,3,FALSE)))</f>
        <v>100</v>
      </c>
      <c r="F10" s="62" t="str">
        <f>IF(IF(B10="", "", VLOOKUP(B10,'API Data Dictionary'!C:F,4,FALSE))=0, "", IF(B10="", "", VLOOKUP(B10,'API Data Dictionary'!C:F,4,FALSE)))</f>
        <v/>
      </c>
      <c r="G10" s="62" t="str">
        <f>IF(IF(B10="", "", VLOOKUP(B10,'API Data Dictionary'!C:G,5,FALSE))=0, "", IF(B10="", "", VLOOKUP(B10,'API Data Dictionary'!C:G,5,FALSE)))</f>
        <v>Returns true when successful call/connection</v>
      </c>
    </row>
    <row r="11" spans="1:7" x14ac:dyDescent="0.35">
      <c r="A11" s="64" t="s">
        <v>1377</v>
      </c>
      <c r="B11" s="62" t="str">
        <f t="shared" si="1"/>
        <v/>
      </c>
      <c r="C11" s="62" t="str">
        <f>IF(B11="", "", VLOOKUP(B11,'API Data Dictionary'!C:N,12,FALSE))</f>
        <v/>
      </c>
      <c r="D11" s="62" t="str">
        <f>IF(B11="", "", VLOOKUP(B11,'API Data Dictionary'!C:D,2,FALSE))</f>
        <v/>
      </c>
      <c r="E11" s="62" t="str">
        <f>IF(IF(B11="", "", VLOOKUP(B11,'API Data Dictionary'!C:E,3,FALSE))=0, "", IF(B11="", "", VLOOKUP(B11,'API Data Dictionary'!C:E,3,FALSE)))</f>
        <v/>
      </c>
      <c r="F11" s="62" t="str">
        <f>IF(IF(B11="", "", VLOOKUP(B11,'API Data Dictionary'!C:F,4,FALSE))=0, "", IF(B11="", "", VLOOKUP(B11,'API Data Dictionary'!C:F,4,FALSE)))</f>
        <v/>
      </c>
      <c r="G11" s="62" t="str">
        <f>IF(IF(B11="", "", VLOOKUP(B11,'API Data Dictionary'!C:G,5,FALSE))=0, "", IF(B11="", "", VLOOKUP(B11,'API Data Dictionary'!C:G,5,FALSE)))</f>
        <v/>
      </c>
    </row>
    <row r="12" spans="1:7" x14ac:dyDescent="0.35">
      <c r="A12" s="64" t="s">
        <v>1378</v>
      </c>
      <c r="B12" s="62" t="str">
        <f t="shared" si="1"/>
        <v>agentCode</v>
      </c>
      <c r="C12" s="62" t="s">
        <v>68</v>
      </c>
      <c r="D12" s="62" t="str">
        <f>IF(B12="", "", VLOOKUP(B12,'API Data Dictionary'!C:D,2,FALSE))</f>
        <v>string</v>
      </c>
      <c r="E12" s="62">
        <f>IF(IF(B12="", "", VLOOKUP(B12,'API Data Dictionary'!C:E,3,FALSE))=0, "", IF(B12="", "", VLOOKUP(B12,'API Data Dictionary'!C:E,3,FALSE)))</f>
        <v>50</v>
      </c>
      <c r="F12" s="62" t="str">
        <f>IF(IF(B12="", "", VLOOKUP(B12,'API Data Dictionary'!C:F,4,FALSE))=0, "", IF(B12="", "", VLOOKUP(B12,'API Data Dictionary'!C:F,4,FALSE)))</f>
        <v/>
      </c>
      <c r="G12" s="62" t="str">
        <f>IF(IF(B12="", "", VLOOKUP(B12,'API Data Dictionary'!C:G,5,FALSE))=0, "", IF(B12="", "", VLOOKUP(B12,'API Data Dictionary'!C:G,5,FALSE)))</f>
        <v>AgentCode is the Unique Key provided to the Agent when onboarding as a Barbon Customer.
An AgentID may be linked to many Properties being managed by that Agent and Each property may be linked to 1 or more TenancyID's.</v>
      </c>
    </row>
    <row r="13" spans="1:7" x14ac:dyDescent="0.35">
      <c r="A13" s="64" t="s">
        <v>1406</v>
      </c>
      <c r="B13" s="62" t="str">
        <f t="shared" si="1"/>
        <v/>
      </c>
      <c r="C13" s="62" t="str">
        <f>IF(B13="", "", VLOOKUP(B13,'API Data Dictionary'!C:N,12,FALSE))</f>
        <v/>
      </c>
      <c r="D13" s="62" t="str">
        <f>IF(B13="", "", VLOOKUP(B13,'API Data Dictionary'!C:D,2,FALSE))</f>
        <v/>
      </c>
      <c r="E13" s="62" t="str">
        <f>IF(IF(B13="", "", VLOOKUP(B13,'API Data Dictionary'!C:E,3,FALSE))=0, "", IF(B13="", "", VLOOKUP(B13,'API Data Dictionary'!C:E,3,FALSE)))</f>
        <v/>
      </c>
      <c r="F13" s="62" t="str">
        <f>IF(IF(B13="", "", VLOOKUP(B13,'API Data Dictionary'!C:F,4,FALSE))=0, "", IF(B13="", "", VLOOKUP(B13,'API Data Dictionary'!C:F,4,FALSE)))</f>
        <v/>
      </c>
      <c r="G13" s="62" t="str">
        <f>IF(IF(B13="", "", VLOOKUP(B13,'API Data Dictionary'!C:G,5,FALSE))=0, "", IF(B13="", "", VLOOKUP(B13,'API Data Dictionary'!C:G,5,FALSE)))</f>
        <v/>
      </c>
    </row>
    <row r="14" spans="1:7" x14ac:dyDescent="0.35">
      <c r="A14" s="64" t="s">
        <v>1381</v>
      </c>
      <c r="B14" s="62" t="str">
        <f t="shared" si="1"/>
        <v/>
      </c>
      <c r="C14" s="62" t="str">
        <f>IF(B14="", "", VLOOKUP(B14,'API Data Dictionary'!C:N,12,FALSE))</f>
        <v/>
      </c>
      <c r="D14" s="62" t="str">
        <f>IF(B14="", "", VLOOKUP(B14,'API Data Dictionary'!C:D,2,FALSE))</f>
        <v/>
      </c>
      <c r="E14" s="62" t="str">
        <f>IF(IF(B14="", "", VLOOKUP(B14,'API Data Dictionary'!C:E,3,FALSE))=0, "", IF(B14="", "", VLOOKUP(B14,'API Data Dictionary'!C:E,3,FALSE)))</f>
        <v/>
      </c>
      <c r="F14" s="62" t="str">
        <f>IF(IF(B14="", "", VLOOKUP(B14,'API Data Dictionary'!C:F,4,FALSE))=0, "", IF(B14="", "", VLOOKUP(B14,'API Data Dictionary'!C:F,4,FALSE)))</f>
        <v/>
      </c>
      <c r="G14" s="62" t="str">
        <f>IF(IF(B14="", "", VLOOKUP(B14,'API Data Dictionary'!C:G,5,FALSE))=0, "", IF(B14="", "", VLOOKUP(B14,'API Data Dictionary'!C:G,5,FALSE)))</f>
        <v/>
      </c>
    </row>
    <row r="15" spans="1:7" x14ac:dyDescent="0.35">
      <c r="A15" s="64" t="s">
        <v>1382</v>
      </c>
      <c r="B15" s="62" t="str">
        <f t="shared" si="1"/>
        <v>applicantID</v>
      </c>
      <c r="C15" s="62" t="str">
        <f>IF(B15="", "", VLOOKUP(B15,'API Data Dictionary'!C:N,12,FALSE))</f>
        <v>M</v>
      </c>
      <c r="D15" s="62" t="str">
        <f>IF(B15="", "", VLOOKUP(B15,'API Data Dictionary'!C:D,2,FALSE))</f>
        <v>integer</v>
      </c>
      <c r="E15" s="62" t="str">
        <f>IF(IF(B15="", "", VLOOKUP(B15,'API Data Dictionary'!C:E,3,FALSE))=0, "", IF(B15="", "", VLOOKUP(B15,'API Data Dictionary'!C:E,3,FALSE)))</f>
        <v/>
      </c>
      <c r="F15" s="62" t="str">
        <f>IF(IF(B15="", "", VLOOKUP(B15,'API Data Dictionary'!C:F,4,FALSE))=0, "", IF(B15="", "", VLOOKUP(B15,'API Data Dictionary'!C:F,4,FALSE)))</f>
        <v/>
      </c>
      <c r="G15" s="62" t="str">
        <f>IF(IF(B15="", "", VLOOKUP(B15,'API Data Dictionary'!C:G,5,FALSE))=0, "", IF(B15="", "", VLOOKUP(B15,'API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16" spans="1:7" x14ac:dyDescent="0.35">
      <c r="A16" s="64" t="s">
        <v>1407</v>
      </c>
      <c r="B16" s="62" t="str">
        <f t="shared" si="1"/>
        <v>applicantStatus</v>
      </c>
      <c r="C16" s="62" t="s">
        <v>68</v>
      </c>
      <c r="D16" s="62" t="str">
        <f>IF(B16="", "", VLOOKUP(B16,'API Data Dictionary'!C:D,2,FALSE))</f>
        <v>enum -  Applicant Status</v>
      </c>
      <c r="E16" s="62" t="str">
        <f>IF(IF(B16="", "", VLOOKUP(B16,'API Data Dictionary'!C:E,3,FALSE))=0, "", IF(B16="", "", VLOOKUP(B16,'API Data Dictionary'!C:E,3,FALSE)))</f>
        <v/>
      </c>
      <c r="F16" s="62" t="str">
        <f>IF(IF(B16="", "", VLOOKUP(B16,'API Data Dictionary'!C:F,4,FALSE))=0, "", IF(B16="", "", VLOOKUP(B16,'API Data Dictionary'!C:F,4,FALSE)))</f>
        <v/>
      </c>
      <c r="G16" s="62" t="str">
        <f>IF(IF(B16="", "", VLOOKUP(B16,'API Data Dictionary'!C:G,5,FALSE))=0, "", IF(B16="", "", VLOOKUP(B16,'API Data Dictionary'!C:G,5,FALSE)))</f>
        <v xml:space="preserve">A return value for the tenant's status (using method GetApplicantReferenceStatus)
</v>
      </c>
    </row>
    <row r="17" spans="1:7" x14ac:dyDescent="0.35">
      <c r="A17" s="64" t="s">
        <v>1408</v>
      </c>
      <c r="B17" s="62" t="str">
        <f t="shared" si="1"/>
        <v>outcomeStatus</v>
      </c>
      <c r="C17" s="62" t="s">
        <v>68</v>
      </c>
      <c r="D17" s="62" t="str">
        <f>IF(B17="", "", VLOOKUP(B17,'API Data Dictionary'!C:D,2,FALSE))</f>
        <v>enum - outcome</v>
      </c>
      <c r="E17" s="62" t="str">
        <f>IF(IF(B17="", "", VLOOKUP(B17,'API Data Dictionary'!C:E,3,FALSE))=0, "", IF(B17="", "", VLOOKUP(B17,'API Data Dictionary'!C:E,3,FALSE)))</f>
        <v/>
      </c>
      <c r="F17" s="62" t="str">
        <f>IF(IF(B17="", "", VLOOKUP(B17,'API Data Dictionary'!C:F,4,FALSE))=0, "", IF(B17="", "", VLOOKUP(B17,'API Data Dictionary'!C:F,4,FALSE)))</f>
        <v/>
      </c>
      <c r="G17" s="62" t="str">
        <f>IF(IF(B17="", "", VLOOKUP(B17,'API Data Dictionary'!C:G,5,FALSE))=0, "", IF(B17="", "", VLOOKUP(B17,'API Data Dictionary'!C:G,5,FALSE)))</f>
        <v xml:space="preserve">A return value for the reference grading status (using method GetApplicantReferenceStatus)
</v>
      </c>
    </row>
    <row r="18" spans="1:7" x14ac:dyDescent="0.35">
      <c r="A18" s="64" t="s">
        <v>1801</v>
      </c>
      <c r="B18" s="62" t="str">
        <f t="shared" si="1"/>
        <v/>
      </c>
      <c r="C18" s="62" t="str">
        <f>IF(B18="", "", VLOOKUP(B18,'API Data Dictionary'!C:N,12,FALSE))</f>
        <v/>
      </c>
      <c r="D18" s="62" t="str">
        <f>IF(B18="", "", VLOOKUP(B18,'API Data Dictionary'!C:D,2,FALSE))</f>
        <v/>
      </c>
      <c r="E18" s="62" t="str">
        <f>IF(IF(B18="", "", VLOOKUP(B18,'API Data Dictionary'!C:E,3,FALSE))=0, "", IF(B18="", "", VLOOKUP(B18,'API Data Dictionary'!C:E,3,FALSE)))</f>
        <v/>
      </c>
      <c r="F18" s="62" t="str">
        <f>IF(IF(B18="", "", VLOOKUP(B18,'API Data Dictionary'!C:F,4,FALSE))=0, "", IF(B18="", "", VLOOKUP(B18,'API Data Dictionary'!C:F,4,FALSE)))</f>
        <v/>
      </c>
      <c r="G18" s="62" t="str">
        <f>IF(IF(B18="", "", VLOOKUP(B18,'API Data Dictionary'!C:G,5,FALSE))=0, "", IF(B18="", "", VLOOKUP(B18,'API Data Dictionary'!C:G,5,FALSE)))</f>
        <v/>
      </c>
    </row>
    <row r="19" spans="1:7" x14ac:dyDescent="0.35">
      <c r="A19" s="64" t="s">
        <v>1802</v>
      </c>
      <c r="B19" s="62" t="str">
        <f t="shared" si="1"/>
        <v/>
      </c>
      <c r="C19" s="62"/>
      <c r="D19" s="62"/>
      <c r="E19" s="62"/>
      <c r="F19" s="62"/>
      <c r="G19" s="62"/>
    </row>
    <row r="20" spans="1:7" ht="188.5" x14ac:dyDescent="0.35">
      <c r="A20" s="64" t="s">
        <v>1803</v>
      </c>
      <c r="B20" s="62" t="str">
        <f t="shared" si="1"/>
        <v>TaskName</v>
      </c>
      <c r="C20" s="62" t="s">
        <v>68</v>
      </c>
      <c r="D20" s="62" t="s">
        <v>64</v>
      </c>
      <c r="E20" s="62">
        <v>100</v>
      </c>
      <c r="F20" s="62"/>
      <c r="G20" s="66" t="s">
        <v>1808</v>
      </c>
    </row>
    <row r="21" spans="1:7" x14ac:dyDescent="0.35">
      <c r="A21" s="64" t="s">
        <v>1804</v>
      </c>
      <c r="B21" s="62" t="str">
        <f t="shared" si="1"/>
        <v>Status</v>
      </c>
      <c r="C21" s="62" t="s">
        <v>68</v>
      </c>
      <c r="D21" s="62" t="s">
        <v>64</v>
      </c>
      <c r="E21" s="62">
        <v>100</v>
      </c>
      <c r="F21" s="62"/>
      <c r="G21" s="62" t="s">
        <v>1807</v>
      </c>
    </row>
    <row r="22" spans="1:7" x14ac:dyDescent="0.35">
      <c r="A22" s="236" t="s">
        <v>1810</v>
      </c>
      <c r="B22" s="237" t="s">
        <v>1805</v>
      </c>
      <c r="C22" s="237" t="s">
        <v>68</v>
      </c>
      <c r="D22" s="237" t="s">
        <v>89</v>
      </c>
      <c r="E22" s="238"/>
      <c r="F22" s="237" t="s">
        <v>90</v>
      </c>
      <c r="G22" s="237" t="s">
        <v>1806</v>
      </c>
    </row>
    <row r="23" spans="1:7" x14ac:dyDescent="0.35">
      <c r="A23" s="236" t="s">
        <v>1811</v>
      </c>
      <c r="B23" s="237"/>
      <c r="C23" s="237"/>
      <c r="D23" s="237"/>
      <c r="E23" s="238"/>
      <c r="F23" s="237"/>
      <c r="G23" s="237"/>
    </row>
    <row r="24" spans="1:7" x14ac:dyDescent="0.35">
      <c r="A24" s="64" t="s">
        <v>1812</v>
      </c>
      <c r="B24" s="62"/>
      <c r="C24" s="62"/>
      <c r="D24" s="62"/>
      <c r="E24" s="62"/>
      <c r="F24" s="62"/>
      <c r="G24" s="62"/>
    </row>
    <row r="25" spans="1:7" x14ac:dyDescent="0.35">
      <c r="A25" s="64" t="s">
        <v>1809</v>
      </c>
      <c r="B25" s="62" t="str">
        <f t="shared" si="1"/>
        <v/>
      </c>
      <c r="C25" s="62" t="str">
        <f>IF(B25="", "", VLOOKUP(B25,'API Data Dictionary'!C:N,12,FALSE))</f>
        <v/>
      </c>
      <c r="D25" s="62" t="str">
        <f>IF(B25="", "", VLOOKUP(B25,'API Data Dictionary'!C:D,2,FALSE))</f>
        <v/>
      </c>
      <c r="E25" s="62" t="str">
        <f>IF(IF(B25="", "", VLOOKUP(B25,'API Data Dictionary'!C:E,3,FALSE))=0, "", IF(B25="", "", VLOOKUP(B25,'API Data Dictionary'!C:E,3,FALSE)))</f>
        <v/>
      </c>
      <c r="F25" s="62" t="str">
        <f>IF(IF(B25="", "", VLOOKUP(B25,'API Data Dictionary'!C:F,4,FALSE))=0, "", IF(B25="", "", VLOOKUP(B25,'API Data Dictionary'!C:F,4,FALSE)))</f>
        <v/>
      </c>
      <c r="G25" s="62" t="str">
        <f>IF(IF(B25="", "", VLOOKUP(B25,'API Data Dictionary'!C:G,5,FALSE))=0, "", IF(B25="", "", VLOOKUP(B25,'API Data Dictionary'!C:G,5,FALSE)))</f>
        <v/>
      </c>
    </row>
    <row r="26" spans="1:7" x14ac:dyDescent="0.35">
      <c r="A26" s="64" t="s">
        <v>1383</v>
      </c>
      <c r="B26" s="62" t="str">
        <f t="shared" si="1"/>
        <v/>
      </c>
      <c r="C26" s="62" t="str">
        <f>IF(B26="", "", VLOOKUP(B26,'API Data Dictionary'!C:N,12,FALSE))</f>
        <v/>
      </c>
      <c r="D26" s="62" t="str">
        <f>IF(B26="", "", VLOOKUP(B26,'API Data Dictionary'!C:D,2,FALSE))</f>
        <v/>
      </c>
      <c r="E26" s="62" t="str">
        <f>IF(IF(B26="", "", VLOOKUP(B26,'API Data Dictionary'!C:E,3,FALSE))=0, "", IF(B26="", "", VLOOKUP(B26,'API Data Dictionary'!C:E,3,FALSE)))</f>
        <v/>
      </c>
      <c r="F26" s="62" t="str">
        <f>IF(IF(B26="", "", VLOOKUP(B26,'API Data Dictionary'!C:F,4,FALSE))=0, "", IF(B26="", "", VLOOKUP(B26,'API Data Dictionary'!C:F,4,FALSE)))</f>
        <v/>
      </c>
      <c r="G26" s="62" t="str">
        <f>IF(IF(B26="", "", VLOOKUP(B26,'API Data Dictionary'!C:G,5,FALSE))=0, "", IF(B26="", "", VLOOKUP(B26,'API Data Dictionary'!C:G,5,FALSE)))</f>
        <v/>
      </c>
    </row>
    <row r="27" spans="1:7" x14ac:dyDescent="0.35">
      <c r="A27" s="64" t="s">
        <v>1105</v>
      </c>
      <c r="B27" s="62" t="str">
        <f t="shared" ref="B27:B30" si="2">IF(OR(ISNUMBER(SEARCH("{", A27)),ISNUMBER(SEARCH("[", A27))), "", IFERROR(MID(A27, SEARCH("""", A27) +1, SEARCH("""", A27, SEARCH("""",A27) +1) - SEARCH("""", A27) -1), ""))</f>
        <v/>
      </c>
      <c r="C27" s="62" t="str">
        <f>IF(B27="", "", VLOOKUP(B27,'API Data Dictionary'!C:N,12,FALSE))</f>
        <v/>
      </c>
      <c r="D27" s="62" t="str">
        <f>IF(B27="", "", VLOOKUP(B27,'API Data Dictionary'!C:D,2,FALSE))</f>
        <v/>
      </c>
      <c r="E27" s="62" t="str">
        <f>IF(IF(B27="", "", VLOOKUP(B27,'API Data Dictionary'!C:E,3,FALSE))=0, "", IF(B27="", "", VLOOKUP(B27,'API Data Dictionary'!C:E,3,FALSE)))</f>
        <v/>
      </c>
      <c r="F27" s="62" t="str">
        <f>IF(IF(B27="", "", VLOOKUP(B27,'API Data Dictionary'!C:F,4,FALSE))=0, "", IF(B27="", "", VLOOKUP(B27,'API Data Dictionary'!C:F,4,FALSE)))</f>
        <v/>
      </c>
      <c r="G27" s="62" t="str">
        <f>IF(IF(B27="", "", VLOOKUP(B27,'API Data Dictionary'!C:G,5,FALSE))=0, "", IF(B27="", "", VLOOKUP(B27,'API Data Dictionary'!C:G,5,FALSE)))</f>
        <v/>
      </c>
    </row>
    <row r="28" spans="1:7" x14ac:dyDescent="0.35">
      <c r="A28" s="64" t="s">
        <v>1410</v>
      </c>
      <c r="B28" s="62" t="str">
        <f t="shared" si="2"/>
        <v>message</v>
      </c>
      <c r="C28" s="62" t="s">
        <v>68</v>
      </c>
      <c r="D28" s="62" t="str">
        <f>IF(B28="", "", VLOOKUP(B28,'API Data Dictionary'!C:D,2,FALSE))</f>
        <v>string</v>
      </c>
      <c r="E28" s="62">
        <f>IF(IF(B28="", "", VLOOKUP(B28,'API Data Dictionary'!C:E,3,FALSE))=0, "", IF(B28="", "", VLOOKUP(B28,'API Data Dictionary'!C:E,3,FALSE)))</f>
        <v>100</v>
      </c>
      <c r="F28" s="62" t="str">
        <f>IF(IF(B28="", "", VLOOKUP(B28,'API Data Dictionary'!C:F,4,FALSE))=0, "", IF(B28="", "", VLOOKUP(B28,'API Data Dictionary'!C:F,4,FALSE)))</f>
        <v/>
      </c>
      <c r="G28" s="62" t="str">
        <f>IF(IF(B28="", "", VLOOKUP(B28,'API Data Dictionary'!C:G,5,FALSE))=0, "", IF(B28="", "", VLOOKUP(B28,'API Data Dictionary'!C:G,5,FALSE)))</f>
        <v>return value, null or success, unless there has been error</v>
      </c>
    </row>
    <row r="29" spans="1:7" x14ac:dyDescent="0.35">
      <c r="A29" s="64" t="s">
        <v>1120</v>
      </c>
      <c r="B29" s="62" t="str">
        <f t="shared" si="2"/>
        <v/>
      </c>
      <c r="C29" s="62" t="str">
        <f>IF(B29="", "", VLOOKUP(B29,'API Data Dictionary'!C:N,12,FALSE))</f>
        <v/>
      </c>
      <c r="D29" s="62" t="str">
        <f>IF(B29="", "", VLOOKUP(B29,'API Data Dictionary'!C:D,2,FALSE))</f>
        <v/>
      </c>
      <c r="E29" s="62" t="str">
        <f>IF(IF(B29="", "", VLOOKUP(B29,'API Data Dictionary'!C:E,3,FALSE))=0, "", IF(B29="", "", VLOOKUP(B29,'API Data Dictionary'!C:E,3,FALSE)))</f>
        <v/>
      </c>
      <c r="F29" s="62" t="str">
        <f>IF(IF(B29="", "", VLOOKUP(B29,'API Data Dictionary'!C:F,4,FALSE))=0, "", IF(B29="", "", VLOOKUP(B29,'API Data Dictionary'!C:F,4,FALSE)))</f>
        <v/>
      </c>
      <c r="G29" s="62" t="str">
        <f>IF(IF(B29="", "", VLOOKUP(B29,'API Data Dictionary'!C:G,5,FALSE))=0, "", IF(B29="", "", VLOOKUP(B29,'API Data Dictionary'!C:G,5,FALSE)))</f>
        <v/>
      </c>
    </row>
    <row r="30" spans="1:7" x14ac:dyDescent="0.35">
      <c r="A30" s="64"/>
      <c r="B30" s="62" t="str">
        <f t="shared" si="2"/>
        <v/>
      </c>
      <c r="C30" s="62" t="str">
        <f>IF(B30="", "", VLOOKUP(B30,'API Data Dictionary'!C:N,12,FALSE))</f>
        <v/>
      </c>
      <c r="D30" s="62" t="str">
        <f>IF(B30="", "", VLOOKUP(B30,'API Data Dictionary'!C:D,2,FALSE))</f>
        <v/>
      </c>
      <c r="E30" s="62" t="str">
        <f>IF(IF(B30="", "", VLOOKUP(B30,'API Data Dictionary'!C:E,3,FALSE))=0, "", IF(B30="", "", VLOOKUP(B30,'API Data Dictionary'!C:E,3,FALSE)))</f>
        <v/>
      </c>
      <c r="F30" s="62" t="str">
        <f>IF(IF(B30="", "", VLOOKUP(B30,'API Data Dictionary'!C:F,4,FALSE))=0, "", IF(B30="", "", VLOOKUP(B30,'API Data Dictionary'!C:F,4,FALSE)))</f>
        <v/>
      </c>
      <c r="G30" s="62" t="str">
        <f>IF(IF(B30="", "", VLOOKUP(B30,'API Data Dictionary'!C:G,5,FALSE))=0, "", IF(B30="", "", VLOOKUP(B30,'API Data Dictionary'!C:G,5,FALSE)))</f>
        <v/>
      </c>
    </row>
    <row r="32" spans="1:7" x14ac:dyDescent="0.35">
      <c r="A32" s="114" t="s">
        <v>1613</v>
      </c>
      <c r="B32" s="114"/>
      <c r="C32" s="114"/>
      <c r="D32" s="114"/>
      <c r="E32" s="114"/>
      <c r="F32" s="114"/>
      <c r="G32" s="115"/>
    </row>
    <row r="33" spans="1:7" x14ac:dyDescent="0.35">
      <c r="A33" s="108" t="s">
        <v>1094</v>
      </c>
      <c r="B33" s="89"/>
      <c r="C33" s="89"/>
      <c r="D33" s="89"/>
      <c r="E33" s="89"/>
      <c r="F33" s="89"/>
      <c r="G33" s="89"/>
    </row>
    <row r="34" spans="1:7" x14ac:dyDescent="0.35">
      <c r="A34" s="108" t="s">
        <v>1350</v>
      </c>
      <c r="B34" s="89" t="s">
        <v>1354</v>
      </c>
      <c r="C34" s="89" t="s">
        <v>68</v>
      </c>
      <c r="D34" s="89" t="s">
        <v>1357</v>
      </c>
      <c r="E34" s="89">
        <v>100</v>
      </c>
      <c r="F34" s="89" t="s">
        <v>1433</v>
      </c>
      <c r="G34" s="89" t="s">
        <v>1572</v>
      </c>
    </row>
    <row r="35" spans="1:7" x14ac:dyDescent="0.35">
      <c r="A35" s="108" t="s">
        <v>1377</v>
      </c>
      <c r="B35" s="89"/>
      <c r="C35" s="89"/>
      <c r="D35" s="89"/>
      <c r="E35" s="89"/>
      <c r="F35" s="89"/>
      <c r="G35" s="89"/>
    </row>
    <row r="36" spans="1:7" x14ac:dyDescent="0.35">
      <c r="A36" s="108" t="s">
        <v>1725</v>
      </c>
      <c r="B36" s="89" t="str">
        <f t="shared" ref="B36" si="3">IF(OR(ISNUMBER(SEARCH("{", A36)),ISNUMBER(SEARCH("[", A36))), "", IFERROR(MID(A36, SEARCH("""", A36) +1, SEARCH("""", A36, SEARCH("""",A36) +1) - SEARCH("""", A36) -1), ""))</f>
        <v>agentCode</v>
      </c>
      <c r="C36" s="89" t="s">
        <v>68</v>
      </c>
      <c r="D36" s="89" t="str">
        <f>IF(B36="", "", VLOOKUP(B36,'API Data Dictionary'!C:D,2,FALSE))</f>
        <v>string</v>
      </c>
      <c r="E36" s="89">
        <f>IF(IF(B36="", "", VLOOKUP(B36,'API Data Dictionary'!C:E,3,FALSE))=0, "", IF(B36="", "", VLOOKUP(B36,'API Data Dictionary'!C:E,3,FALSE)))</f>
        <v>50</v>
      </c>
      <c r="F36" s="89" t="str">
        <f>IF(IF(B36="", "", VLOOKUP(B36,'API Data Dictionary'!C:F,4,FALSE))=0, "", IF(B36="", "", VLOOKUP(B36,'API Data Dictionary'!C:F,4,FALSE)))</f>
        <v/>
      </c>
      <c r="G36" s="89" t="str">
        <f>IF(IF(B36="", "", VLOOKUP(B36,'API Data Dictionary'!C:G,5,FALSE))=0, "", IF(B36="", "", VLOOKUP(B36,'API Data Dictionary'!C:G,5,FALSE)))</f>
        <v>AgentCode is the Unique Key provided to the Agent when onboarding as a Barbon Customer.
An AgentID may be linked to many Properties being managed by that Agent and Each property may be linked to 1 or more TenancyID's.</v>
      </c>
    </row>
    <row r="37" spans="1:7" x14ac:dyDescent="0.35">
      <c r="A37" s="108" t="s">
        <v>1609</v>
      </c>
      <c r="B37" s="89" t="s">
        <v>1618</v>
      </c>
      <c r="C37" s="89" t="s">
        <v>68</v>
      </c>
      <c r="D37" s="89" t="s">
        <v>1593</v>
      </c>
      <c r="E37" s="89"/>
      <c r="F37" s="89"/>
      <c r="G37" s="89" t="s">
        <v>1622</v>
      </c>
    </row>
    <row r="38" spans="1:7" x14ac:dyDescent="0.35">
      <c r="A38" s="108" t="s">
        <v>1611</v>
      </c>
      <c r="B38" s="89" t="s">
        <v>67</v>
      </c>
      <c r="C38" s="89" t="s">
        <v>68</v>
      </c>
      <c r="D38" s="89" t="s">
        <v>78</v>
      </c>
      <c r="E38" s="89" t="s">
        <v>1433</v>
      </c>
      <c r="F38" s="89" t="s">
        <v>1433</v>
      </c>
      <c r="G38" s="89" t="s">
        <v>1615</v>
      </c>
    </row>
    <row r="39" spans="1:7" x14ac:dyDescent="0.35">
      <c r="A39" s="108" t="s">
        <v>1614</v>
      </c>
      <c r="B39" s="89" t="s">
        <v>67</v>
      </c>
      <c r="C39" s="89" t="s">
        <v>68</v>
      </c>
      <c r="D39" s="89" t="s">
        <v>78</v>
      </c>
      <c r="E39" s="89" t="s">
        <v>1433</v>
      </c>
      <c r="F39" s="89" t="s">
        <v>1433</v>
      </c>
      <c r="G39" s="89" t="s">
        <v>1615</v>
      </c>
    </row>
    <row r="40" spans="1:7" x14ac:dyDescent="0.35">
      <c r="A40" s="108" t="s">
        <v>1610</v>
      </c>
      <c r="B40" s="89"/>
      <c r="C40" s="89"/>
      <c r="D40" s="89"/>
      <c r="E40" s="89"/>
      <c r="F40" s="89"/>
      <c r="G40" s="89"/>
    </row>
    <row r="41" spans="1:7" x14ac:dyDescent="0.35">
      <c r="A41" s="108" t="s">
        <v>1406</v>
      </c>
      <c r="B41" s="89" t="s">
        <v>1619</v>
      </c>
      <c r="C41" s="89" t="s">
        <v>68</v>
      </c>
      <c r="D41" s="89" t="s">
        <v>1593</v>
      </c>
      <c r="E41" s="89"/>
      <c r="F41" s="89"/>
      <c r="G41" s="89" t="s">
        <v>1623</v>
      </c>
    </row>
    <row r="42" spans="1:7" x14ac:dyDescent="0.35">
      <c r="A42" s="108" t="s">
        <v>1381</v>
      </c>
      <c r="B42" s="89"/>
      <c r="C42" s="89"/>
      <c r="D42" s="89"/>
      <c r="E42" s="89"/>
      <c r="F42" s="89"/>
      <c r="G42" s="89"/>
    </row>
    <row r="43" spans="1:7" x14ac:dyDescent="0.35">
      <c r="A43" s="108" t="s">
        <v>1612</v>
      </c>
      <c r="B43" s="89" t="s">
        <v>67</v>
      </c>
      <c r="C43" s="89" t="s">
        <v>68</v>
      </c>
      <c r="D43" s="89" t="s">
        <v>78</v>
      </c>
      <c r="E43" s="89" t="s">
        <v>1433</v>
      </c>
      <c r="F43" s="89" t="s">
        <v>1433</v>
      </c>
      <c r="G43" s="89" t="s">
        <v>1615</v>
      </c>
    </row>
    <row r="44" spans="1:7" x14ac:dyDescent="0.35">
      <c r="A44" s="108" t="s">
        <v>1409</v>
      </c>
      <c r="B44" s="89" t="s">
        <v>1616</v>
      </c>
      <c r="C44" s="89" t="s">
        <v>68</v>
      </c>
      <c r="D44" s="89" t="s">
        <v>1515</v>
      </c>
      <c r="E44" s="89" t="s">
        <v>1433</v>
      </c>
      <c r="F44" s="89" t="s">
        <v>1433</v>
      </c>
      <c r="G44" s="89" t="s">
        <v>1517</v>
      </c>
    </row>
    <row r="45" spans="1:7" x14ac:dyDescent="0.35">
      <c r="A45" s="108" t="s">
        <v>1408</v>
      </c>
      <c r="B45" s="89" t="s">
        <v>1617</v>
      </c>
      <c r="C45" s="89" t="s">
        <v>68</v>
      </c>
      <c r="D45" s="89" t="s">
        <v>1510</v>
      </c>
      <c r="E45" s="89" t="s">
        <v>1433</v>
      </c>
      <c r="F45" s="89" t="s">
        <v>1433</v>
      </c>
      <c r="G45" s="89" t="s">
        <v>1516</v>
      </c>
    </row>
    <row r="46" spans="1:7" x14ac:dyDescent="0.35">
      <c r="A46" s="108" t="s">
        <v>1117</v>
      </c>
      <c r="B46" s="89"/>
      <c r="C46" s="89"/>
      <c r="D46" s="89"/>
      <c r="E46" s="89"/>
      <c r="F46" s="89"/>
      <c r="G46" s="89"/>
    </row>
    <row r="47" spans="1:7" x14ac:dyDescent="0.35">
      <c r="A47" s="108" t="s">
        <v>1383</v>
      </c>
      <c r="B47" s="89"/>
      <c r="C47" s="89"/>
      <c r="D47" s="89"/>
      <c r="E47" s="89"/>
      <c r="F47" s="89"/>
      <c r="G47" s="89"/>
    </row>
    <row r="48" spans="1:7" x14ac:dyDescent="0.35">
      <c r="A48" s="108" t="s">
        <v>1105</v>
      </c>
      <c r="B48" s="89"/>
      <c r="C48" s="89"/>
      <c r="D48" s="89"/>
      <c r="E48" s="89"/>
      <c r="F48" s="89"/>
      <c r="G48" s="89"/>
    </row>
    <row r="49" spans="1:7" x14ac:dyDescent="0.35">
      <c r="A49" s="108" t="s">
        <v>1410</v>
      </c>
      <c r="B49" s="89" t="s">
        <v>1356</v>
      </c>
      <c r="C49" s="89" t="s">
        <v>68</v>
      </c>
      <c r="D49" s="89" t="s">
        <v>64</v>
      </c>
      <c r="E49" s="89">
        <v>100</v>
      </c>
      <c r="F49" s="89" t="s">
        <v>1433</v>
      </c>
      <c r="G49" s="89" t="s">
        <v>1563</v>
      </c>
    </row>
    <row r="50" spans="1:7" x14ac:dyDescent="0.35">
      <c r="A50" s="113" t="s">
        <v>1120</v>
      </c>
      <c r="B50" s="89"/>
      <c r="C50" s="89"/>
      <c r="D50" s="89"/>
      <c r="E50" s="89"/>
      <c r="F50" s="89"/>
      <c r="G50" s="89"/>
    </row>
    <row r="52" spans="1:7" x14ac:dyDescent="0.35">
      <c r="A52" s="219" t="s">
        <v>1625</v>
      </c>
      <c r="B52" s="220"/>
      <c r="C52" s="220"/>
      <c r="D52" s="220"/>
      <c r="E52" s="220"/>
      <c r="F52" s="220"/>
      <c r="G52" s="220"/>
    </row>
    <row r="53" spans="1:7" x14ac:dyDescent="0.35">
      <c r="A53" s="88" t="s">
        <v>1561</v>
      </c>
      <c r="B53" s="62" t="s">
        <v>1359</v>
      </c>
      <c r="C53" s="89" t="s">
        <v>1359</v>
      </c>
      <c r="D53" s="62" t="s">
        <v>64</v>
      </c>
      <c r="E53" s="89">
        <v>100</v>
      </c>
      <c r="F53" s="89"/>
      <c r="G53" s="89" t="s">
        <v>1562</v>
      </c>
    </row>
    <row r="55" spans="1:7" x14ac:dyDescent="0.35">
      <c r="A55" s="219" t="s">
        <v>1764</v>
      </c>
      <c r="B55" s="220"/>
      <c r="C55" s="220"/>
      <c r="D55" s="220"/>
      <c r="E55" s="220"/>
      <c r="F55" s="220"/>
      <c r="G55" s="220"/>
    </row>
    <row r="56" spans="1:7" x14ac:dyDescent="0.35">
      <c r="A56" s="88" t="s">
        <v>1763</v>
      </c>
      <c r="B56" s="62" t="s">
        <v>1359</v>
      </c>
      <c r="C56" s="89" t="s">
        <v>1359</v>
      </c>
      <c r="D56" s="62" t="s">
        <v>64</v>
      </c>
      <c r="E56" s="89">
        <v>100</v>
      </c>
      <c r="F56" s="89"/>
      <c r="G56" s="89" t="s">
        <v>1765</v>
      </c>
    </row>
    <row r="58" spans="1:7" x14ac:dyDescent="0.35">
      <c r="A58" s="219" t="s">
        <v>1608</v>
      </c>
      <c r="B58" s="219"/>
      <c r="C58" s="219"/>
      <c r="D58" s="219"/>
      <c r="E58" s="219"/>
      <c r="F58" s="219"/>
      <c r="G58" s="223"/>
    </row>
    <row r="59" spans="1:7" x14ac:dyDescent="0.35">
      <c r="A59" s="64" t="s">
        <v>1094</v>
      </c>
      <c r="B59" s="62" t="str">
        <f>IF(OR(ISNUMBER(SEARCH("{", A59)),ISNUMBER(SEARCH("[", A59))), "", IFERROR(MID(A59, SEARCH("""", A59) +1, SEARCH("""", A59, SEARCH("""",A59) +1) - SEARCH("""", A59) -1), ""))</f>
        <v/>
      </c>
      <c r="C59" s="62" t="str">
        <f>IF(B59="", "", VLOOKUP(B59,'API Data Dictionary'!C:N,12,FALSE))</f>
        <v/>
      </c>
      <c r="D59" s="62" t="str">
        <f>IF(B59="", "", VLOOKUP(B59,'API Data Dictionary'!C:D,2,FALSE))</f>
        <v/>
      </c>
      <c r="E59" s="62" t="str">
        <f>IF(IF(B59="", "", VLOOKUP(B59,'API Data Dictionary'!C:E,3,FALSE))=0, "", IF(B59="", "", VLOOKUP(B59,'API Data Dictionary'!C:E,3,FALSE)))</f>
        <v/>
      </c>
      <c r="F59" s="62" t="str">
        <f>IF(IF(B59="", "", VLOOKUP(B59,'API Data Dictionary'!C:F,4,FALSE))=0, "", IF(B59="", "", VLOOKUP(B59,'API Data Dictionary'!C:F,4,FALSE)))</f>
        <v/>
      </c>
      <c r="G59" s="62" t="str">
        <f>IF(IF(B59="", "", VLOOKUP(B59,'API Data Dictionary'!C:G,5,FALSE))=0, "", IF(B59="", "", VLOOKUP(B59,'API Data Dictionary'!C:G,5,FALSE)))</f>
        <v/>
      </c>
    </row>
    <row r="60" spans="1:7" x14ac:dyDescent="0.35">
      <c r="A60" s="64" t="s">
        <v>1574</v>
      </c>
      <c r="B60" s="62" t="str">
        <f>IF(OR(ISNUMBER(SEARCH("{", A60)),ISNUMBER(SEARCH("[", A60))), "", IFERROR(MID(A60, SEARCH("""", A60) +1, SEARCH("""", A60, SEARCH("""",A60) +1) - SEARCH("""", A60) -1), ""))</f>
        <v>success</v>
      </c>
      <c r="C60" s="62" t="s">
        <v>68</v>
      </c>
      <c r="D60" s="62" t="str">
        <f>IF(B60="", "", VLOOKUP(B60,'API Data Dictionary'!C:D,2,FALSE))</f>
        <v>string - Boolean</v>
      </c>
      <c r="E60" s="62">
        <f>IF(IF(B60="", "", VLOOKUP(B60,'API Data Dictionary'!C:E,3,FALSE))=0, "", IF(B60="", "", VLOOKUP(B60,'API Data Dictionary'!C:E,3,FALSE)))</f>
        <v>100</v>
      </c>
      <c r="F60" s="62" t="str">
        <f>IF(IF(B60="", "", VLOOKUP(B60,'API Data Dictionary'!C:F,4,FALSE))=0, "", IF(B60="", "", VLOOKUP(B60,'API Data Dictionary'!C:F,4,FALSE)))</f>
        <v/>
      </c>
      <c r="G60" s="62" t="str">
        <f>IF(IF(B60="", "", VLOOKUP(B60,'API Data Dictionary'!C:G,5,FALSE))=0, "", IF(B60="", "", VLOOKUP(B60,'API Data Dictionary'!C:G,5,FALSE)))</f>
        <v>Returns true when successful call/connection</v>
      </c>
    </row>
    <row r="61" spans="1:7" x14ac:dyDescent="0.35">
      <c r="A61" s="64" t="s">
        <v>1377</v>
      </c>
      <c r="B61" s="62" t="str">
        <f>IF(OR(ISNUMBER(SEARCH("{", A61)),ISNUMBER(SEARCH("[", A61))), "", IFERROR(MID(A61, SEARCH("""", A61) +1, SEARCH("""", A61, SEARCH("""",A61) +1) - SEARCH("""", A61) -1), ""))</f>
        <v/>
      </c>
      <c r="C61" s="62"/>
      <c r="D61" s="62" t="str">
        <f>IF(B61="", "", VLOOKUP(B61,'API Data Dictionary'!C:D,2,FALSE))</f>
        <v/>
      </c>
      <c r="E61" s="62" t="str">
        <f>IF(IF(B61="", "", VLOOKUP(B61,'API Data Dictionary'!C:E,3,FALSE))=0, "", IF(B61="", "", VLOOKUP(B61,'API Data Dictionary'!C:E,3,FALSE)))</f>
        <v/>
      </c>
      <c r="F61" s="62" t="str">
        <f>IF(IF(B61="", "", VLOOKUP(B61,'API Data Dictionary'!C:F,4,FALSE))=0, "", IF(B61="", "", VLOOKUP(B61,'API Data Dictionary'!C:F,4,FALSE)))</f>
        <v/>
      </c>
      <c r="G61" s="62" t="str">
        <f>IF(IF(B61="", "", VLOOKUP(B61,'API Data Dictionary'!C:G,5,FALSE))=0, "", IF(B61="", "", VLOOKUP(B61,'API Data Dictionary'!C:G,5,FALSE)))</f>
        <v/>
      </c>
    </row>
    <row r="62" spans="1:7" x14ac:dyDescent="0.35">
      <c r="A62" s="64" t="s">
        <v>1564</v>
      </c>
      <c r="B62" s="62" t="s">
        <v>1589</v>
      </c>
      <c r="C62" s="62" t="s">
        <v>68</v>
      </c>
      <c r="D62" t="s">
        <v>1593</v>
      </c>
      <c r="E62" s="62"/>
      <c r="F62" s="62"/>
      <c r="G62" s="62"/>
    </row>
    <row r="63" spans="1:7" x14ac:dyDescent="0.35">
      <c r="A63" s="64" t="s">
        <v>1573</v>
      </c>
      <c r="B63" s="62" t="s">
        <v>1590</v>
      </c>
      <c r="C63" s="62" t="s">
        <v>68</v>
      </c>
      <c r="D63" s="62" t="s">
        <v>64</v>
      </c>
      <c r="E63" s="106" t="s">
        <v>1594</v>
      </c>
      <c r="F63" s="62"/>
      <c r="G63" s="62"/>
    </row>
    <row r="64" spans="1:7" x14ac:dyDescent="0.35">
      <c r="A64" s="64" t="s">
        <v>1575</v>
      </c>
      <c r="B64" s="62" t="s">
        <v>1591</v>
      </c>
      <c r="C64" s="62" t="s">
        <v>68</v>
      </c>
      <c r="D64" s="62" t="s">
        <v>64</v>
      </c>
      <c r="E64" s="106" t="s">
        <v>1594</v>
      </c>
      <c r="F64" s="62"/>
      <c r="G64" s="62"/>
    </row>
    <row r="65" spans="1:7" x14ac:dyDescent="0.35">
      <c r="A65" s="64" t="s">
        <v>1566</v>
      </c>
      <c r="B65" s="62"/>
      <c r="C65" s="62"/>
      <c r="D65" s="62"/>
      <c r="E65" s="62"/>
      <c r="F65" s="62"/>
      <c r="G65" s="62"/>
    </row>
    <row r="66" spans="1:7" x14ac:dyDescent="0.35">
      <c r="A66" s="64" t="s">
        <v>1413</v>
      </c>
      <c r="B66" s="62"/>
      <c r="C66" s="62"/>
      <c r="D66" s="62"/>
      <c r="E66" s="62"/>
      <c r="F66" s="62"/>
      <c r="G66" s="62"/>
    </row>
    <row r="67" spans="1:7" x14ac:dyDescent="0.35">
      <c r="A67" s="64" t="s">
        <v>1576</v>
      </c>
      <c r="B67" s="62" t="s">
        <v>1579</v>
      </c>
      <c r="C67" s="62" t="s">
        <v>68</v>
      </c>
      <c r="D67" s="62" t="s">
        <v>64</v>
      </c>
      <c r="E67" s="106" t="s">
        <v>1594</v>
      </c>
      <c r="F67" s="62"/>
      <c r="G67" s="62"/>
    </row>
    <row r="68" spans="1:7" x14ac:dyDescent="0.35">
      <c r="A68" s="64" t="s">
        <v>1577</v>
      </c>
      <c r="B68" s="62" t="s">
        <v>1580</v>
      </c>
      <c r="C68" s="62" t="s">
        <v>68</v>
      </c>
      <c r="D68" s="62" t="s">
        <v>64</v>
      </c>
      <c r="E68" s="106" t="s">
        <v>1594</v>
      </c>
      <c r="F68" s="62"/>
      <c r="G68" s="62"/>
    </row>
    <row r="69" spans="1:7" x14ac:dyDescent="0.35">
      <c r="A69" s="64" t="s">
        <v>1105</v>
      </c>
      <c r="B69" s="62" t="str">
        <f t="shared" ref="B69" si="4">IF(OR(ISNUMBER(SEARCH("{", A69)),ISNUMBER(SEARCH("[", A69))), "", IFERROR(MID(A69, SEARCH("""", A69) +1, SEARCH("""", A69, SEARCH("""",A69) +1) - SEARCH("""", A69) -1), ""))</f>
        <v/>
      </c>
      <c r="C69" s="62" t="str">
        <f>IF(B69="", "", VLOOKUP(B69,'API Data Dictionary'!C:L,10,FALSE))</f>
        <v/>
      </c>
      <c r="D69" s="62" t="str">
        <f>IF(B69="", "", VLOOKUP(B69,'API Data Dictionary'!C:D,2,FALSE))</f>
        <v/>
      </c>
      <c r="E69" s="106" t="str">
        <f>IF(IF(B69="", "", VLOOKUP(B69,'API Data Dictionary'!C:E,3,FALSE))=0, "", IF(B69="", "", VLOOKUP(B69,'API Data Dictionary'!C:E,3,FALSE)))</f>
        <v/>
      </c>
      <c r="F69" s="62" t="str">
        <f>IF(IF(B69="", "", VLOOKUP(B69,'API Data Dictionary'!C:F,4,FALSE))=0, "", IF(B69="", "", VLOOKUP(B69,'API Data Dictionary'!C:F,4,FALSE)))</f>
        <v/>
      </c>
      <c r="G69" s="62"/>
    </row>
    <row r="70" spans="1:7" x14ac:dyDescent="0.35">
      <c r="A70" s="64" t="s">
        <v>1578</v>
      </c>
      <c r="B70" s="62" t="s">
        <v>1592</v>
      </c>
      <c r="C70" s="62" t="s">
        <v>68</v>
      </c>
      <c r="D70" s="62" t="s">
        <v>64</v>
      </c>
      <c r="E70" s="106" t="s">
        <v>1594</v>
      </c>
      <c r="F70" s="62"/>
      <c r="G70" s="62"/>
    </row>
    <row r="71" spans="1:7" x14ac:dyDescent="0.35">
      <c r="A71" s="64" t="s">
        <v>1120</v>
      </c>
      <c r="B71" s="62" t="str">
        <f t="shared" ref="B71" si="5">IF(OR(ISNUMBER(SEARCH("{", A71)),ISNUMBER(SEARCH("[", A71))), "", IFERROR(MID(A71, SEARCH("""", A71) +1, SEARCH("""", A71, SEARCH("""",A71) +1) - SEARCH("""", A71) -1), ""))</f>
        <v/>
      </c>
      <c r="C71" s="62" t="str">
        <f>IF(B71="", "", VLOOKUP(B71,'API Data Dictionary'!C:N,12,FALSE))</f>
        <v/>
      </c>
      <c r="D71" s="62" t="str">
        <f>IF(B71="", "", VLOOKUP(B71,'API Data Dictionary'!C:D,2,FALSE))</f>
        <v/>
      </c>
      <c r="E71" s="62" t="str">
        <f>IF(IF(B71="", "", VLOOKUP(B71,'API Data Dictionary'!C:E,3,FALSE))=0, "", IF(B71="", "", VLOOKUP(B71,'API Data Dictionary'!C:E,3,FALSE)))</f>
        <v/>
      </c>
      <c r="F71" s="62" t="str">
        <f>IF(IF(B71="", "", VLOOKUP(B71,'API Data Dictionary'!C:F,4,FALSE))=0, "", IF(B71="", "", VLOOKUP(B71,'API Data Dictionary'!C:F,4,FALSE)))</f>
        <v/>
      </c>
      <c r="G71" s="62" t="str">
        <f>IF(IF(B71="", "", VLOOKUP(B71,'API Data Dictionary'!C:G,5,FALSE))=0, "", IF(B71="", "", VLOOKUP(B71,'API Data Dictionary'!C:G,5,FALSE)))</f>
        <v/>
      </c>
    </row>
    <row r="73" spans="1:7" x14ac:dyDescent="0.35">
      <c r="A73" s="220" t="s">
        <v>1598</v>
      </c>
      <c r="B73" s="220"/>
      <c r="C73" s="220"/>
      <c r="D73" s="220"/>
      <c r="E73" s="220"/>
      <c r="F73" s="220"/>
      <c r="G73" s="220"/>
    </row>
    <row r="74" spans="1:7" x14ac:dyDescent="0.35">
      <c r="A74" s="110" t="s">
        <v>1094</v>
      </c>
      <c r="B74" s="89" t="str">
        <f t="shared" ref="B74:B78" si="6">IF(OR(ISNUMBER(SEARCH("{", A74)),ISNUMBER(SEARCH("[", A74))), "", IFERROR(MID(A74, SEARCH("""", A74) +1, SEARCH("""", A74, SEARCH("""",A74) +1) - SEARCH("""", A74) -1), ""))</f>
        <v/>
      </c>
      <c r="C74" s="89" t="str">
        <f>IF(B74="", "", VLOOKUP(B74,'API Data Dictionary'!C:J,8,FALSE))</f>
        <v/>
      </c>
      <c r="D74" s="89" t="str">
        <f>IF(B74="", "", VLOOKUP(B74,'API Data Dictionary'!C:D,2,FALSE))</f>
        <v/>
      </c>
      <c r="E74" s="89" t="str">
        <f>IF(IF(B74="", "", VLOOKUP(B74,'API Data Dictionary'!C:E,3,FALSE))=0, "", IF(B74="", "", VLOOKUP(B74,'API Data Dictionary'!C:E,3,FALSE)))</f>
        <v/>
      </c>
      <c r="F74" s="89" t="str">
        <f>IF(IF(B74="", "", VLOOKUP(B74,'API Data Dictionary'!C:F,4,FALSE))=0, "", IF(B74="", "", VLOOKUP(B74,'API Data Dictionary'!C:F,4,FALSE)))</f>
        <v/>
      </c>
      <c r="G74" s="89" t="str">
        <f>IF(IF(B74="", "", VLOOKUP(B74,'API Data Dictionary'!C:G,5,FALSE))=0, "", IF(B74="", "", VLOOKUP(B74,'API Data Dictionary'!C:G,5,FALSE)))</f>
        <v/>
      </c>
    </row>
    <row r="75" spans="1:7" x14ac:dyDescent="0.35">
      <c r="A75" s="110" t="s">
        <v>1567</v>
      </c>
      <c r="B75" s="89" t="str">
        <f t="shared" si="6"/>
        <v>success</v>
      </c>
      <c r="C75" s="89" t="s">
        <v>68</v>
      </c>
      <c r="D75" s="89" t="str">
        <f>IF(B75="", "", VLOOKUP(B75,'API Data Dictionary'!C:D,2,FALSE))</f>
        <v>string - Boolean</v>
      </c>
      <c r="E75" s="89">
        <f>IF(IF(B75="", "", VLOOKUP(B75,'API Data Dictionary'!C:E,3,FALSE))=0, "", IF(B75="", "", VLOOKUP(B75,'API Data Dictionary'!C:E,3,FALSE)))</f>
        <v>100</v>
      </c>
      <c r="F75" s="89" t="str">
        <f>IF(IF(B75="", "", VLOOKUP(B75,'API Data Dictionary'!C:F,4,FALSE))=0, "", IF(B75="", "", VLOOKUP(B75,'API Data Dictionary'!C:F,4,FALSE)))</f>
        <v/>
      </c>
      <c r="G75" s="89" t="str">
        <f>IF(IF(B75="", "", VLOOKUP(B75,'API Data Dictionary'!C:G,5,FALSE))=0, "", IF(B75="", "", VLOOKUP(B75,'API Data Dictionary'!C:G,5,FALSE)))</f>
        <v>Returns true when successful call/connection</v>
      </c>
    </row>
    <row r="76" spans="1:7" x14ac:dyDescent="0.35">
      <c r="A76" s="110" t="s">
        <v>1596</v>
      </c>
      <c r="B76" s="89" t="str">
        <f t="shared" si="6"/>
        <v>payload</v>
      </c>
      <c r="C76" s="89" t="s">
        <v>68</v>
      </c>
      <c r="D76" s="89" t="str">
        <f>IF(B76="", "", VLOOKUP(B76,'API Data Dictionary'!C:D,2,FALSE))</f>
        <v>string</v>
      </c>
      <c r="E76" s="89">
        <f>IF(IF(B76="", "", VLOOKUP(B76,'API Data Dictionary'!C:E,3,FALSE))=0, "", IF(B76="", "", VLOOKUP(B76,'API Data Dictionary'!C:E,3,FALSE)))</f>
        <v>100</v>
      </c>
      <c r="F76" s="89" t="str">
        <f>IF(IF(B76="", "", VLOOKUP(B76,'API Data Dictionary'!C:F,4,FALSE))=0, "", IF(B76="", "", VLOOKUP(B76,'API Data Dictionary'!C:F,4,FALSE)))</f>
        <v/>
      </c>
      <c r="G76" s="89" t="str">
        <f>IF(IF(B76="", "", VLOOKUP(B76,'API Data Dictionary'!C:G,5,FALSE))=0, "", IF(B76="", "", VLOOKUP(B76,'API Data Dictionary'!C:G,5,FALSE)))</f>
        <v>Returns healthy when connection has worked properly</v>
      </c>
    </row>
    <row r="77" spans="1:7" x14ac:dyDescent="0.35">
      <c r="A77" s="110" t="s">
        <v>1597</v>
      </c>
      <c r="B77" s="89" t="str">
        <f t="shared" si="6"/>
        <v>message</v>
      </c>
      <c r="C77" s="89" t="s">
        <v>68</v>
      </c>
      <c r="D77" s="89" t="str">
        <f>IF(B77="", "", VLOOKUP(B77,'API Data Dictionary'!C:D,2,FALSE))</f>
        <v>string</v>
      </c>
      <c r="E77" s="89">
        <f>IF(IF(B77="", "", VLOOKUP(B77,'API Data Dictionary'!C:E,3,FALSE))=0, "", IF(B77="", "", VLOOKUP(B77,'API Data Dictionary'!C:E,3,FALSE)))</f>
        <v>100</v>
      </c>
      <c r="F77" s="89" t="str">
        <f>IF(IF(B77="", "", VLOOKUP(B77,'API Data Dictionary'!C:F,4,FALSE))=0, "", IF(B77="", "", VLOOKUP(B77,'API Data Dictionary'!C:F,4,FALSE)))</f>
        <v/>
      </c>
      <c r="G77" s="89" t="str">
        <f>IF(IF(B77="", "", VLOOKUP(B77,'API Data Dictionary'!C:G,5,FALSE))=0, "", IF(B77="", "", VLOOKUP(B77,'API Data Dictionary'!C:G,5,FALSE)))</f>
        <v>return value, null or success, unless there has been error</v>
      </c>
    </row>
    <row r="78" spans="1:7" x14ac:dyDescent="0.35">
      <c r="A78" s="110" t="s">
        <v>1120</v>
      </c>
      <c r="B78" s="89" t="str">
        <f t="shared" si="6"/>
        <v/>
      </c>
      <c r="C78" s="89" t="str">
        <f>IF(B78="", "", VLOOKUP(B78,'API Data Dictionary'!C:J,8,FALSE))</f>
        <v/>
      </c>
      <c r="D78" s="89" t="str">
        <f>IF(B78="", "", VLOOKUP(B78,'API Data Dictionary'!C:D,2,FALSE))</f>
        <v/>
      </c>
      <c r="E78" s="89" t="str">
        <f>IF(IF(B78="", "", VLOOKUP(B78,'API Data Dictionary'!C:E,3,FALSE))=0, "", IF(B78="", "", VLOOKUP(B78,'API Data Dictionary'!C:E,3,FALSE)))</f>
        <v/>
      </c>
      <c r="F78" s="89" t="str">
        <f>IF(IF(B78="", "", VLOOKUP(B78,'API Data Dictionary'!C:F,4,FALSE))=0, "", IF(B78="", "", VLOOKUP(B78,'API Data Dictionary'!C:F,4,FALSE)))</f>
        <v/>
      </c>
      <c r="G78" s="89" t="str">
        <f>IF(IF(B78="", "", VLOOKUP(B78,'API Data Dictionary'!C:G,5,FALSE))=0, "", IF(B78="", "", VLOOKUP(B78,'API Data Dictionary'!C:G,5,FALSE)))</f>
        <v/>
      </c>
    </row>
  </sheetData>
  <mergeCells count="6">
    <mergeCell ref="A2:G2"/>
    <mergeCell ref="A8:G8"/>
    <mergeCell ref="A58:G58"/>
    <mergeCell ref="A73:G73"/>
    <mergeCell ref="A52:G52"/>
    <mergeCell ref="A55:G5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BB9CA-2CE3-4409-8C80-8FFC90832EE9}">
  <sheetPr>
    <tabColor rgb="FF4472C4"/>
  </sheetPr>
  <dimension ref="A1:G60"/>
  <sheetViews>
    <sheetView zoomScaleNormal="100" workbookViewId="0">
      <selection activeCell="A13" sqref="A13"/>
    </sheetView>
  </sheetViews>
  <sheetFormatPr defaultRowHeight="14.5" x14ac:dyDescent="0.35"/>
  <cols>
    <col min="1" max="1" width="92.26953125" bestFit="1" customWidth="1"/>
    <col min="2" max="2" width="22.1796875" bestFit="1" customWidth="1"/>
    <col min="3" max="3" width="16" bestFit="1" customWidth="1"/>
    <col min="4" max="4" width="16.7265625" bestFit="1" customWidth="1"/>
    <col min="5" max="5" width="10.54296875" customWidth="1"/>
    <col min="6" max="6" width="14.453125" customWidth="1"/>
    <col min="7" max="7" width="243" bestFit="1" customWidth="1"/>
  </cols>
  <sheetData>
    <row r="1" spans="1:7" ht="44" customHeight="1" x14ac:dyDescent="0.35">
      <c r="A1" s="63" t="s">
        <v>1129</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 si="0">IF(OR(ISNUMBER(SEARCH("{", A3)),ISNUMBER(SEARCH("[", A3))), "", IFERROR(MID(A3, SEARCH("""", A3) +1, SEARCH("""", A3, SEARCH("""",A3) +1) - SEARCH("""", A3) -1), ""))</f>
        <v/>
      </c>
      <c r="C3" s="62" t="str">
        <f>IF(B3="", "", VLOOKUP(B3,'API Data Dictionary'!C:P,14,FALSE))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1130</v>
      </c>
      <c r="B4" s="62" t="str">
        <f>IF(OR(ISNUMBER(SEARCH("{", A4)),ISNUMBER(SEARCH("[", A4))), "", IFERROR(MID(A4, SEARCH("""", A4) +1, SEARCH("""", A4, SEARCH("""",A4) +1) - SEARCH("""", A4) -1), ""))</f>
        <v>agentCode</v>
      </c>
      <c r="C4" s="62" t="str">
        <f>IF(B4="", "", VLOOKUP(B4,'API Data Dictionary'!C:P,14,FALSE))</f>
        <v>M</v>
      </c>
      <c r="D4" s="62" t="str">
        <f>IF(B4="", "", VLOOKUP(B4,'API Data Dictionary'!C:D,2,FALSE))</f>
        <v>string</v>
      </c>
      <c r="E4" s="62">
        <f>IF(IF(B4="", "", VLOOKUP(B4,'API Data Dictionary'!C:E,3,FALSE))=0, "", IF(B4="", "", VLOOKUP(B4,'API Data Dictionary'!C:E,3,FALSE)))</f>
        <v>50</v>
      </c>
      <c r="F4" s="62" t="str">
        <f>IF(IF(B4="", "", VLOOKUP(B4,'API Data Dictionary'!C:F,4,FALSE))=0, "", IF(B4="", "", VLOOKUP(B4,'API Data Dictionary'!C:F,4,FALSE)))</f>
        <v/>
      </c>
      <c r="G4" s="62"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x14ac:dyDescent="0.35">
      <c r="A5" s="64" t="s">
        <v>1120</v>
      </c>
      <c r="B5" s="62" t="str">
        <f>IF(OR(ISNUMBER(SEARCH("{", A5)),ISNUMBER(SEARCH("[", A5))), "", IFERROR(MID(A5, SEARCH("""", A5) +1, SEARCH("""", A5, SEARCH("""",A5) +1) - SEARCH("""", A5) -1), ""))</f>
        <v/>
      </c>
      <c r="C5" s="62" t="str">
        <f>IF(B5="", "", VLOOKUP(B5,'API Data Dictionary'!C:P,14,FALSE))</f>
        <v/>
      </c>
      <c r="D5" s="62" t="str">
        <f>IF(B5="", "", VLOOKUP(B5,'API Data Dictionary'!C:D,2,FALSE))</f>
        <v/>
      </c>
      <c r="E5" s="62" t="str">
        <f>IF(IF(B5="", "", VLOOKUP(B5,'API Data Dictionary'!C:E,3,FALSE))=0, "", IF(B5="", "", VLOOKUP(B5,'API Data Dictionary'!C:E,3,FALSE)))</f>
        <v/>
      </c>
      <c r="F5" s="62" t="str">
        <f>IF(IF(B5="", "", VLOOKUP(B5,'API Data Dictionary'!C:F,4,FALSE))=0, "", IF(B5="", "", VLOOKUP(B5,'API Data Dictionary'!C:F,4,FALSE)))</f>
        <v/>
      </c>
      <c r="G5" s="62" t="str">
        <f>IF(IF(B5="", "", VLOOKUP(B5,'API Data Dictionary'!C:G,5,FALSE))=0, "", IF(B5="", "", VLOOKUP(B5,'API Data Dictionary'!C:G,5,FALSE)))</f>
        <v/>
      </c>
    </row>
    <row r="6" spans="1:7" x14ac:dyDescent="0.35">
      <c r="A6" s="64"/>
      <c r="B6" s="62" t="str">
        <f t="shared" ref="B6:B23" si="1">IF(OR(ISNUMBER(SEARCH("{", A6)),ISNUMBER(SEARCH("[", A6))), "", IFERROR(MID(A6, SEARCH("""", A6) +1, SEARCH("""", A6, SEARCH("""",A6) +1) - SEARCH("""", A6) -1), ""))</f>
        <v/>
      </c>
      <c r="C6" s="62" t="str">
        <f>IF(B6="", "", VLOOKUP(B6,'API Data Dictionary'!C:P,14,FALSE))</f>
        <v/>
      </c>
      <c r="D6" s="62" t="str">
        <f>IF(B6="", "", VLOOKUP(B6,'API Data Dictionary'!C:D,2,FALSE))</f>
        <v/>
      </c>
      <c r="E6" s="62" t="str">
        <f>IF(IF(B6="", "", VLOOKUP(B6,'API Data Dictionary'!C:E,3,FALSE))=0, "", IF(B6="", "", VLOOKUP(B6,'API Data Dictionary'!C:E,3,FALSE)))</f>
        <v/>
      </c>
      <c r="F6" s="62" t="str">
        <f>IF(IF(B6="", "", VLOOKUP(B6,'API Data Dictionary'!C:F,4,FALSE))=0, "", IF(B6="", "", VLOOKUP(B6,'API Data Dictionary'!C:F,4,FALSE)))</f>
        <v/>
      </c>
      <c r="G6" s="62" t="str">
        <f>IF(IF(B6="", "", VLOOKUP(B6,'API Data Dictionary'!C:G,5,FALSE))=0, "", IF(B6="", "", VLOOKUP(B6,'API Data Dictionary'!C:G,5,FALSE)))</f>
        <v/>
      </c>
    </row>
    <row r="7" spans="1:7" x14ac:dyDescent="0.35">
      <c r="A7" s="103"/>
      <c r="B7" s="103"/>
      <c r="C7" s="103"/>
      <c r="D7" s="103"/>
      <c r="E7" s="103"/>
      <c r="F7" s="103"/>
      <c r="G7" s="103"/>
    </row>
    <row r="8" spans="1:7" x14ac:dyDescent="0.35">
      <c r="A8" s="222" t="s">
        <v>1751</v>
      </c>
      <c r="B8" s="222"/>
      <c r="C8" s="222"/>
      <c r="D8" s="222"/>
      <c r="E8" s="222"/>
      <c r="F8" s="222"/>
      <c r="G8" s="222"/>
    </row>
    <row r="9" spans="1:7" x14ac:dyDescent="0.35">
      <c r="A9" s="64" t="s">
        <v>1094</v>
      </c>
      <c r="B9" s="62" t="str">
        <f t="shared" si="1"/>
        <v/>
      </c>
      <c r="C9" s="62" t="str">
        <f>IF(B9="", "", VLOOKUP(B9,'API Data Dictionary'!C:P,14,FALSE))</f>
        <v/>
      </c>
      <c r="D9" s="62" t="str">
        <f>IF(B9="", "", VLOOKUP(B9,'API Data Dictionary'!C:D,2,FALSE))</f>
        <v/>
      </c>
      <c r="E9" s="62" t="str">
        <f>IF(IF(B9="", "", VLOOKUP(B9,'API Data Dictionary'!C:E,3,FALSE))=0, "", IF(B9="", "", VLOOKUP(B9,'API Data Dictionary'!C:E,3,FALSE)))</f>
        <v/>
      </c>
      <c r="F9" s="62" t="str">
        <f>IF(IF(B9="", "", VLOOKUP(B9,'API Data Dictionary'!C:F,4,FALSE))=0, "", IF(B9="", "", VLOOKUP(B9,'API Data Dictionary'!C:F,4,FALSE)))</f>
        <v/>
      </c>
      <c r="G9" s="62" t="str">
        <f>IF(IF(B9="", "", VLOOKUP(B9,'API Data Dictionary'!C:G,5,FALSE))=0, "", IF(B9="", "", VLOOKUP(B9,'API Data Dictionary'!C:G,5,FALSE)))</f>
        <v/>
      </c>
    </row>
    <row r="10" spans="1:7" x14ac:dyDescent="0.35">
      <c r="A10" s="64" t="s">
        <v>1350</v>
      </c>
      <c r="B10" s="62" t="str">
        <f t="shared" si="1"/>
        <v>success</v>
      </c>
      <c r="C10" s="62" t="s">
        <v>68</v>
      </c>
      <c r="D10" s="62" t="str">
        <f>IF(B10="", "", VLOOKUP(B10,'API Data Dictionary'!C:D,2,FALSE))</f>
        <v>string - Boolean</v>
      </c>
      <c r="E10" s="62">
        <f>IF(IF(B10="", "", VLOOKUP(B10,'API Data Dictionary'!C:E,3,FALSE))=0, "", IF(B10="", "", VLOOKUP(B10,'API Data Dictionary'!C:E,3,FALSE)))</f>
        <v>100</v>
      </c>
      <c r="F10" s="62" t="str">
        <f>IF(IF(B10="", "", VLOOKUP(B10,'API Data Dictionary'!C:F,4,FALSE))=0, "", IF(B10="", "", VLOOKUP(B10,'API Data Dictionary'!C:F,4,FALSE)))</f>
        <v/>
      </c>
      <c r="G10" s="62" t="str">
        <f>IF(IF(B10="", "", VLOOKUP(B10,'API Data Dictionary'!C:G,5,FALSE))=0, "", IF(B10="", "", VLOOKUP(B10,'API Data Dictionary'!C:G,5,FALSE)))</f>
        <v>Returns true when successful call/connection</v>
      </c>
    </row>
    <row r="11" spans="1:7" x14ac:dyDescent="0.35">
      <c r="A11" s="64" t="s">
        <v>1411</v>
      </c>
      <c r="B11" s="62" t="str">
        <f t="shared" si="1"/>
        <v/>
      </c>
      <c r="C11" s="62" t="str">
        <f>IF(B11="", "", VLOOKUP(B11,'API Data Dictionary'!C:P,14,FALSE))</f>
        <v/>
      </c>
      <c r="D11" s="62" t="str">
        <f>IF(B11="", "", VLOOKUP(B11,'API Data Dictionary'!C:D,2,FALSE))</f>
        <v/>
      </c>
      <c r="E11" s="62" t="str">
        <f>IF(IF(B11="", "", VLOOKUP(B11,'API Data Dictionary'!C:E,3,FALSE))=0, "", IF(B11="", "", VLOOKUP(B11,'API Data Dictionary'!C:E,3,FALSE)))</f>
        <v/>
      </c>
      <c r="F11" s="62" t="str">
        <f>IF(IF(B11="", "", VLOOKUP(B11,'API Data Dictionary'!C:F,4,FALSE))=0, "", IF(B11="", "", VLOOKUP(B11,'API Data Dictionary'!C:F,4,FALSE)))</f>
        <v/>
      </c>
      <c r="G11" s="62" t="str">
        <f>IF(IF(B11="", "", VLOOKUP(B11,'API Data Dictionary'!C:G,5,FALSE))=0, "", IF(B11="", "", VLOOKUP(B11,'API Data Dictionary'!C:G,5,FALSE)))</f>
        <v/>
      </c>
    </row>
    <row r="12" spans="1:7" x14ac:dyDescent="0.35">
      <c r="A12" s="64" t="s">
        <v>1107</v>
      </c>
      <c r="B12" s="62" t="str">
        <f t="shared" si="1"/>
        <v/>
      </c>
      <c r="C12" s="62" t="str">
        <f>IF(B12="", "", VLOOKUP(B12,'API Data Dictionary'!C:P,14,FALSE))</f>
        <v/>
      </c>
      <c r="D12" s="62" t="str">
        <f>IF(B12="", "", VLOOKUP(B12,'API Data Dictionary'!C:D,2,FALSE))</f>
        <v/>
      </c>
      <c r="E12" s="62" t="str">
        <f>IF(IF(B12="", "", VLOOKUP(B12,'API Data Dictionary'!C:E,3,FALSE))=0, "", IF(B12="", "", VLOOKUP(B12,'API Data Dictionary'!C:E,3,FALSE)))</f>
        <v/>
      </c>
      <c r="F12" s="62" t="str">
        <f>IF(IF(B12="", "", VLOOKUP(B12,'API Data Dictionary'!C:F,4,FALSE))=0, "", IF(B12="", "", VLOOKUP(B12,'API Data Dictionary'!C:F,4,FALSE)))</f>
        <v/>
      </c>
      <c r="G12" s="62" t="str">
        <f>IF(IF(B12="", "", VLOOKUP(B12,'API Data Dictionary'!C:G,5,FALSE))=0, "", IF(B12="", "", VLOOKUP(B12,'API Data Dictionary'!C:G,5,FALSE)))</f>
        <v/>
      </c>
    </row>
    <row r="13" spans="1:7" x14ac:dyDescent="0.35">
      <c r="A13" s="64" t="s">
        <v>1412</v>
      </c>
      <c r="B13" s="62" t="str">
        <f t="shared" si="1"/>
        <v>product</v>
      </c>
      <c r="C13" s="62" t="s">
        <v>68</v>
      </c>
      <c r="D13" s="62" t="str">
        <f>IF(B13="", "", VLOOKUP(B13,'API Data Dictionary'!C:D,2,FALSE))</f>
        <v>string</v>
      </c>
      <c r="E13" s="62">
        <f>IF(IF(B13="", "", VLOOKUP(B13,'API Data Dictionary'!C:E,3,FALSE))=0, "", IF(B13="", "", VLOOKUP(B13,'API Data Dictionary'!C:E,3,FALSE)))</f>
        <v>200</v>
      </c>
      <c r="F13" s="62" t="str">
        <f>IF(IF(B13="", "", VLOOKUP(B13,'API Data Dictionary'!C:F,4,FALSE))=0, "", IF(B13="", "", VLOOKUP(B13,'API Data Dictionary'!C:F,4,FALSE)))</f>
        <v/>
      </c>
      <c r="G13" s="62" t="str">
        <f>IF(IF(B13="", "", VLOOKUP(B13,'API Data Dictionary'!C:G,5,FALSE))=0, "", IF(B13="", "", VLOOKUP(B13,'API Data Dictionary'!C:G,5,FALSE)))</f>
        <v>Product is a return value for Product description for product(s) available and enabled for the API Authenticated Agent. This includes Referencing Products (Ultimate, Express etc..) and Other services such as Insurance products (Rent on Time, Rent Guarantee etc…) and Media and Utilities.</v>
      </c>
    </row>
    <row r="14" spans="1:7" x14ac:dyDescent="0.35">
      <c r="A14" s="64" t="s">
        <v>1413</v>
      </c>
      <c r="B14" s="62" t="str">
        <f t="shared" si="1"/>
        <v/>
      </c>
      <c r="C14" s="62" t="str">
        <f>IF(B14="", "", VLOOKUP(B14,'API Data Dictionary'!C:P,14,FALSE))</f>
        <v/>
      </c>
      <c r="D14" s="62" t="str">
        <f>IF(B14="", "", VLOOKUP(B14,'API Data Dictionary'!C:D,2,FALSE))</f>
        <v/>
      </c>
      <c r="E14" s="62" t="str">
        <f>IF(IF(B14="", "", VLOOKUP(B14,'API Data Dictionary'!C:E,3,FALSE))=0, "", IF(B14="", "", VLOOKUP(B14,'API Data Dictionary'!C:E,3,FALSE)))</f>
        <v/>
      </c>
      <c r="F14" s="62" t="str">
        <f>IF(IF(B14="", "", VLOOKUP(B14,'API Data Dictionary'!C:F,4,FALSE))=0, "", IF(B14="", "", VLOOKUP(B14,'API Data Dictionary'!C:F,4,FALSE)))</f>
        <v/>
      </c>
      <c r="G14" s="62" t="str">
        <f>IF(IF(B14="", "", VLOOKUP(B14,'API Data Dictionary'!C:G,5,FALSE))=0, "", IF(B14="", "", VLOOKUP(B14,'API Data Dictionary'!C:G,5,FALSE)))</f>
        <v/>
      </c>
    </row>
    <row r="15" spans="1:7" x14ac:dyDescent="0.35">
      <c r="A15" s="64" t="s">
        <v>1107</v>
      </c>
      <c r="B15" s="62" t="str">
        <f t="shared" si="1"/>
        <v/>
      </c>
      <c r="C15" s="62" t="str">
        <f>IF(B15="", "", VLOOKUP(B15,'API Data Dictionary'!C:P,14,FALSE))</f>
        <v/>
      </c>
      <c r="D15" s="62" t="str">
        <f>IF(B15="", "", VLOOKUP(B15,'API Data Dictionary'!C:D,2,FALSE))</f>
        <v/>
      </c>
      <c r="E15" s="62" t="str">
        <f>IF(IF(B15="", "", VLOOKUP(B15,'API Data Dictionary'!C:E,3,FALSE))=0, "", IF(B15="", "", VLOOKUP(B15,'API Data Dictionary'!C:E,3,FALSE)))</f>
        <v/>
      </c>
      <c r="F15" s="62" t="str">
        <f>IF(IF(B15="", "", VLOOKUP(B15,'API Data Dictionary'!C:F,4,FALSE))=0, "", IF(B15="", "", VLOOKUP(B15,'API Data Dictionary'!C:F,4,FALSE)))</f>
        <v/>
      </c>
      <c r="G15" s="62" t="str">
        <f>IF(IF(B15="", "", VLOOKUP(B15,'API Data Dictionary'!C:G,5,FALSE))=0, "", IF(B15="", "", VLOOKUP(B15,'API Data Dictionary'!C:G,5,FALSE)))</f>
        <v/>
      </c>
    </row>
    <row r="16" spans="1:7" x14ac:dyDescent="0.35">
      <c r="A16" s="64" t="s">
        <v>1414</v>
      </c>
      <c r="B16" s="62" t="str">
        <f t="shared" si="1"/>
        <v>product</v>
      </c>
      <c r="C16" s="62" t="s">
        <v>68</v>
      </c>
      <c r="D16" s="62" t="str">
        <f>IF(B16="", "", VLOOKUP(B16,'API Data Dictionary'!C:D,2,FALSE))</f>
        <v>string</v>
      </c>
      <c r="E16" s="62">
        <f>IF(IF(B16="", "", VLOOKUP(B16,'API Data Dictionary'!C:E,3,FALSE))=0, "", IF(B16="", "", VLOOKUP(B16,'API Data Dictionary'!C:E,3,FALSE)))</f>
        <v>200</v>
      </c>
      <c r="F16" s="62" t="str">
        <f>IF(IF(B16="", "", VLOOKUP(B16,'API Data Dictionary'!C:F,4,FALSE))=0, "", IF(B16="", "", VLOOKUP(B16,'API Data Dictionary'!C:F,4,FALSE)))</f>
        <v/>
      </c>
      <c r="G16" s="62" t="str">
        <f>IF(IF(B16="", "", VLOOKUP(B16,'API Data Dictionary'!C:G,5,FALSE))=0, "", IF(B16="", "", VLOOKUP(B16,'API Data Dictionary'!C:G,5,FALSE)))</f>
        <v>Product is a return value for Product description for product(s) available and enabled for the API Authenticated Agent. This includes Referencing Products (Ultimate, Express etc..) and Other services such as Insurance products (Rent on Time, Rent Guarantee etc…) and Media and Utilities.</v>
      </c>
    </row>
    <row r="17" spans="1:7" x14ac:dyDescent="0.35">
      <c r="A17" s="64" t="s">
        <v>1413</v>
      </c>
      <c r="B17" s="62" t="str">
        <f t="shared" si="1"/>
        <v/>
      </c>
      <c r="C17" s="62" t="str">
        <f>IF(B17="", "", VLOOKUP(B17,'API Data Dictionary'!C:P,14,FALSE))</f>
        <v/>
      </c>
      <c r="D17" s="62" t="str">
        <f>IF(B17="", "", VLOOKUP(B17,'API Data Dictionary'!C:D,2,FALSE))</f>
        <v/>
      </c>
      <c r="E17" s="62" t="str">
        <f>IF(IF(B17="", "", VLOOKUP(B17,'API Data Dictionary'!C:E,3,FALSE))=0, "", IF(B17="", "", VLOOKUP(B17,'API Data Dictionary'!C:E,3,FALSE)))</f>
        <v/>
      </c>
      <c r="F17" s="62" t="str">
        <f>IF(IF(B17="", "", VLOOKUP(B17,'API Data Dictionary'!C:F,4,FALSE))=0, "", IF(B17="", "", VLOOKUP(B17,'API Data Dictionary'!C:F,4,FALSE)))</f>
        <v/>
      </c>
      <c r="G17" s="62" t="str">
        <f>IF(IF(B17="", "", VLOOKUP(B17,'API Data Dictionary'!C:G,5,FALSE))=0, "", IF(B17="", "", VLOOKUP(B17,'API Data Dictionary'!C:G,5,FALSE)))</f>
        <v/>
      </c>
    </row>
    <row r="18" spans="1:7" x14ac:dyDescent="0.35">
      <c r="A18" s="64" t="s">
        <v>1107</v>
      </c>
      <c r="B18" s="62" t="str">
        <f t="shared" si="1"/>
        <v/>
      </c>
      <c r="C18" s="62" t="str">
        <f>IF(B18="", "", VLOOKUP(B18,'API Data Dictionary'!C:P,14,FALSE))</f>
        <v/>
      </c>
      <c r="D18" s="62" t="str">
        <f>IF(B18="", "", VLOOKUP(B18,'API Data Dictionary'!C:D,2,FALSE))</f>
        <v/>
      </c>
      <c r="E18" s="62" t="str">
        <f>IF(IF(B18="", "", VLOOKUP(B18,'API Data Dictionary'!C:E,3,FALSE))=0, "", IF(B18="", "", VLOOKUP(B18,'API Data Dictionary'!C:E,3,FALSE)))</f>
        <v/>
      </c>
      <c r="F18" s="62" t="str">
        <f>IF(IF(B18="", "", VLOOKUP(B18,'API Data Dictionary'!C:F,4,FALSE))=0, "", IF(B18="", "", VLOOKUP(B18,'API Data Dictionary'!C:F,4,FALSE)))</f>
        <v/>
      </c>
      <c r="G18" s="62" t="str">
        <f>IF(IF(B18="", "", VLOOKUP(B18,'API Data Dictionary'!C:G,5,FALSE))=0, "", IF(B18="", "", VLOOKUP(B18,'API Data Dictionary'!C:G,5,FALSE)))</f>
        <v/>
      </c>
    </row>
    <row r="19" spans="1:7" x14ac:dyDescent="0.35">
      <c r="A19" s="64" t="s">
        <v>1415</v>
      </c>
      <c r="B19" s="62" t="str">
        <f t="shared" si="1"/>
        <v>product</v>
      </c>
      <c r="C19" s="62" t="s">
        <v>68</v>
      </c>
      <c r="D19" s="62" t="str">
        <f>IF(B19="", "", VLOOKUP(B19,'API Data Dictionary'!C:D,2,FALSE))</f>
        <v>string</v>
      </c>
      <c r="E19" s="62">
        <f>IF(IF(B19="", "", VLOOKUP(B19,'API Data Dictionary'!C:E,3,FALSE))=0, "", IF(B19="", "", VLOOKUP(B19,'API Data Dictionary'!C:E,3,FALSE)))</f>
        <v>200</v>
      </c>
      <c r="F19" s="62" t="str">
        <f>IF(IF(B19="", "", VLOOKUP(B19,'API Data Dictionary'!C:F,4,FALSE))=0, "", IF(B19="", "", VLOOKUP(B19,'API Data Dictionary'!C:F,4,FALSE)))</f>
        <v/>
      </c>
      <c r="G19" s="62" t="str">
        <f>IF(IF(B19="", "", VLOOKUP(B19,'API Data Dictionary'!C:G,5,FALSE))=0, "", IF(B19="", "", VLOOKUP(B19,'API Data Dictionary'!C:G,5,FALSE)))</f>
        <v>Product is a return value for Product description for product(s) available and enabled for the API Authenticated Agent. This includes Referencing Products (Ultimate, Express etc..) and Other services such as Insurance products (Rent on Time, Rent Guarantee etc…) and Media and Utilities.</v>
      </c>
    </row>
    <row r="20" spans="1:7" x14ac:dyDescent="0.35">
      <c r="A20" s="64" t="s">
        <v>1413</v>
      </c>
      <c r="B20" s="62" t="str">
        <f t="shared" si="1"/>
        <v/>
      </c>
      <c r="C20" s="62" t="str">
        <f>IF(B20="", "", VLOOKUP(B20,'API Data Dictionary'!C:P,14,FALSE))</f>
        <v/>
      </c>
      <c r="D20" s="62" t="str">
        <f>IF(B20="", "", VLOOKUP(B20,'API Data Dictionary'!C:D,2,FALSE))</f>
        <v/>
      </c>
      <c r="E20" s="62" t="str">
        <f>IF(IF(B20="", "", VLOOKUP(B20,'API Data Dictionary'!C:E,3,FALSE))=0, "", IF(B20="", "", VLOOKUP(B20,'API Data Dictionary'!C:E,3,FALSE)))</f>
        <v/>
      </c>
      <c r="F20" s="62" t="str">
        <f>IF(IF(B20="", "", VLOOKUP(B20,'API Data Dictionary'!C:F,4,FALSE))=0, "", IF(B20="", "", VLOOKUP(B20,'API Data Dictionary'!C:F,4,FALSE)))</f>
        <v/>
      </c>
      <c r="G20" s="62" t="str">
        <f>IF(IF(B20="", "", VLOOKUP(B20,'API Data Dictionary'!C:G,5,FALSE))=0, "", IF(B20="", "", VLOOKUP(B20,'API Data Dictionary'!C:G,5,FALSE)))</f>
        <v/>
      </c>
    </row>
    <row r="21" spans="1:7" x14ac:dyDescent="0.35">
      <c r="A21" s="64" t="s">
        <v>1107</v>
      </c>
      <c r="B21" s="62" t="str">
        <f t="shared" si="1"/>
        <v/>
      </c>
      <c r="C21" s="62" t="str">
        <f>IF(B21="", "", VLOOKUP(B21,'API Data Dictionary'!C:P,14,FALSE))</f>
        <v/>
      </c>
      <c r="D21" s="62" t="str">
        <f>IF(B21="", "", VLOOKUP(B21,'API Data Dictionary'!C:D,2,FALSE))</f>
        <v/>
      </c>
      <c r="E21" s="62" t="str">
        <f>IF(IF(B21="", "", VLOOKUP(B21,'API Data Dictionary'!C:E,3,FALSE))=0, "", IF(B21="", "", VLOOKUP(B21,'API Data Dictionary'!C:E,3,FALSE)))</f>
        <v/>
      </c>
      <c r="F21" s="62" t="str">
        <f>IF(IF(B21="", "", VLOOKUP(B21,'API Data Dictionary'!C:F,4,FALSE))=0, "", IF(B21="", "", VLOOKUP(B21,'API Data Dictionary'!C:F,4,FALSE)))</f>
        <v/>
      </c>
      <c r="G21" s="62" t="str">
        <f>IF(IF(B21="", "", VLOOKUP(B21,'API Data Dictionary'!C:G,5,FALSE))=0, "", IF(B21="", "", VLOOKUP(B21,'API Data Dictionary'!C:G,5,FALSE)))</f>
        <v/>
      </c>
    </row>
    <row r="22" spans="1:7" x14ac:dyDescent="0.35">
      <c r="A22" s="64" t="s">
        <v>1416</v>
      </c>
      <c r="B22" s="62" t="str">
        <f t="shared" si="1"/>
        <v>product</v>
      </c>
      <c r="C22" s="62" t="s">
        <v>68</v>
      </c>
      <c r="D22" s="62" t="str">
        <f>IF(B22="", "", VLOOKUP(B22,'API Data Dictionary'!C:D,2,FALSE))</f>
        <v>string</v>
      </c>
      <c r="E22" s="62">
        <f>IF(IF(B22="", "", VLOOKUP(B22,'API Data Dictionary'!C:E,3,FALSE))=0, "", IF(B22="", "", VLOOKUP(B22,'API Data Dictionary'!C:E,3,FALSE)))</f>
        <v>200</v>
      </c>
      <c r="F22" s="62" t="str">
        <f>IF(IF(B22="", "", VLOOKUP(B22,'API Data Dictionary'!C:F,4,FALSE))=0, "", IF(B22="", "", VLOOKUP(B22,'API Data Dictionary'!C:F,4,FALSE)))</f>
        <v/>
      </c>
      <c r="G22" s="62" t="str">
        <f>IF(IF(B22="", "", VLOOKUP(B22,'API Data Dictionary'!C:G,5,FALSE))=0, "", IF(B22="", "", VLOOKUP(B22,'API Data Dictionary'!C:G,5,FALSE)))</f>
        <v>Product is a return value for Product description for product(s) available and enabled for the API Authenticated Agent. This includes Referencing Products (Ultimate, Express etc..) and Other services such as Insurance products (Rent on Time, Rent Guarantee etc…) and Media and Utilities.</v>
      </c>
    </row>
    <row r="23" spans="1:7" x14ac:dyDescent="0.35">
      <c r="A23" s="64" t="s">
        <v>1413</v>
      </c>
      <c r="B23" s="62" t="str">
        <f t="shared" si="1"/>
        <v/>
      </c>
      <c r="C23" s="62" t="str">
        <f>IF(B23="", "", VLOOKUP(B23,'API Data Dictionary'!C:P,14,FALSE))</f>
        <v/>
      </c>
      <c r="D23" s="62" t="str">
        <f>IF(B23="", "", VLOOKUP(B23,'API Data Dictionary'!C:D,2,FALSE))</f>
        <v/>
      </c>
      <c r="E23" s="62" t="str">
        <f>IF(IF(B23="", "", VLOOKUP(B23,'API Data Dictionary'!C:E,3,FALSE))=0, "", IF(B23="", "", VLOOKUP(B23,'API Data Dictionary'!C:E,3,FALSE)))</f>
        <v/>
      </c>
      <c r="F23" s="62" t="str">
        <f>IF(IF(B23="", "", VLOOKUP(B23,'API Data Dictionary'!C:F,4,FALSE))=0, "", IF(B23="", "", VLOOKUP(B23,'API Data Dictionary'!C:F,4,FALSE)))</f>
        <v/>
      </c>
      <c r="G23" s="62" t="str">
        <f>IF(IF(B23="", "", VLOOKUP(B23,'API Data Dictionary'!C:G,5,FALSE))=0, "", IF(B23="", "", VLOOKUP(B23,'API Data Dictionary'!C:G,5,FALSE)))</f>
        <v/>
      </c>
    </row>
    <row r="24" spans="1:7" x14ac:dyDescent="0.35">
      <c r="A24" s="64" t="s">
        <v>1107</v>
      </c>
      <c r="B24" s="62" t="str">
        <f t="shared" ref="B24:B32" si="2">IF(OR(ISNUMBER(SEARCH("{", A24)),ISNUMBER(SEARCH("[", A24))), "", IFERROR(MID(A24, SEARCH("""", A24) +1, SEARCH("""", A24, SEARCH("""",A24) +1) - SEARCH("""", A24) -1), ""))</f>
        <v/>
      </c>
      <c r="C24" s="62"/>
      <c r="D24" s="62" t="str">
        <f>IF(B24="", "", VLOOKUP(B24,'API Data Dictionary'!C:D,2,FALSE))</f>
        <v/>
      </c>
      <c r="E24" s="62" t="str">
        <f>IF(IF(B24="", "", VLOOKUP(B24,'API Data Dictionary'!C:E,3,FALSE))=0, "", IF(B24="", "", VLOOKUP(B24,'API Data Dictionary'!C:E,3,FALSE)))</f>
        <v/>
      </c>
      <c r="F24" s="62" t="str">
        <f>IF(IF(B24="", "", VLOOKUP(B24,'API Data Dictionary'!C:F,4,FALSE))=0, "", IF(B24="", "", VLOOKUP(B24,'API Data Dictionary'!C:F,4,FALSE)))</f>
        <v/>
      </c>
      <c r="G24" s="62" t="str">
        <f>IF(IF(B24="", "", VLOOKUP(B24,'API Data Dictionary'!C:G,5,FALSE))=0, "", IF(B24="", "", VLOOKUP(B24,'API Data Dictionary'!C:G,5,FALSE)))</f>
        <v/>
      </c>
    </row>
    <row r="25" spans="1:7" x14ac:dyDescent="0.35">
      <c r="A25" s="64" t="s">
        <v>1417</v>
      </c>
      <c r="B25" s="62" t="str">
        <f t="shared" si="2"/>
        <v>product</v>
      </c>
      <c r="C25" s="62" t="s">
        <v>68</v>
      </c>
      <c r="D25" s="62" t="str">
        <f>IF(B25="", "", VLOOKUP(B25,'API Data Dictionary'!C:D,2,FALSE))</f>
        <v>string</v>
      </c>
      <c r="E25" s="62">
        <f>IF(IF(B25="", "", VLOOKUP(B25,'API Data Dictionary'!C:E,3,FALSE))=0, "", IF(B25="", "", VLOOKUP(B25,'API Data Dictionary'!C:E,3,FALSE)))</f>
        <v>200</v>
      </c>
      <c r="F25" s="62" t="str">
        <f>IF(IF(B25="", "", VLOOKUP(B25,'API Data Dictionary'!C:F,4,FALSE))=0, "", IF(B25="", "", VLOOKUP(B25,'API Data Dictionary'!C:F,4,FALSE)))</f>
        <v/>
      </c>
      <c r="G25" s="62" t="str">
        <f>IF(IF(B25="", "", VLOOKUP(B25,'API Data Dictionary'!C:G,5,FALSE))=0, "", IF(B25="", "", VLOOKUP(B25,'API Data Dictionary'!C:G,5,FALSE)))</f>
        <v>Product is a return value for Product description for product(s) available and enabled for the API Authenticated Agent. This includes Referencing Products (Ultimate, Express etc..) and Other services such as Insurance products (Rent on Time, Rent Guarantee etc…) and Media and Utilities.</v>
      </c>
    </row>
    <row r="26" spans="1:7" x14ac:dyDescent="0.35">
      <c r="A26" s="64" t="s">
        <v>1413</v>
      </c>
      <c r="B26" s="62" t="str">
        <f t="shared" si="2"/>
        <v/>
      </c>
      <c r="C26" s="62"/>
      <c r="D26" s="62" t="str">
        <f>IF(B26="", "", VLOOKUP(B26,'API Data Dictionary'!C:D,2,FALSE))</f>
        <v/>
      </c>
      <c r="E26" s="62" t="str">
        <f>IF(IF(B26="", "", VLOOKUP(B26,'API Data Dictionary'!C:E,3,FALSE))=0, "", IF(B26="", "", VLOOKUP(B26,'API Data Dictionary'!C:E,3,FALSE)))</f>
        <v/>
      </c>
      <c r="F26" s="62" t="str">
        <f>IF(IF(B26="", "", VLOOKUP(B26,'API Data Dictionary'!C:F,4,FALSE))=0, "", IF(B26="", "", VLOOKUP(B26,'API Data Dictionary'!C:F,4,FALSE)))</f>
        <v/>
      </c>
      <c r="G26" s="62" t="str">
        <f>IF(IF(B26="", "", VLOOKUP(B26,'API Data Dictionary'!C:G,5,FALSE))=0, "", IF(B26="", "", VLOOKUP(B26,'API Data Dictionary'!C:G,5,FALSE)))</f>
        <v/>
      </c>
    </row>
    <row r="27" spans="1:7" x14ac:dyDescent="0.35">
      <c r="A27" s="64" t="s">
        <v>1107</v>
      </c>
      <c r="B27" s="62" t="str">
        <f t="shared" si="2"/>
        <v/>
      </c>
      <c r="C27" s="62" t="str">
        <f>IF(B27="", "", VLOOKUP(B27,'API Data Dictionary'!C:P,14,FALSE))</f>
        <v/>
      </c>
      <c r="D27" s="62" t="str">
        <f>IF(B27="", "", VLOOKUP(B27,'API Data Dictionary'!C:D,2,FALSE))</f>
        <v/>
      </c>
      <c r="E27" s="62" t="str">
        <f>IF(IF(B27="", "", VLOOKUP(B27,'API Data Dictionary'!C:E,3,FALSE))=0, "", IF(B27="", "", VLOOKUP(B27,'API Data Dictionary'!C:E,3,FALSE)))</f>
        <v/>
      </c>
      <c r="F27" s="62" t="str">
        <f>IF(IF(B27="", "", VLOOKUP(B27,'API Data Dictionary'!C:F,4,FALSE))=0, "", IF(B27="", "", VLOOKUP(B27,'API Data Dictionary'!C:F,4,FALSE)))</f>
        <v/>
      </c>
      <c r="G27" s="62" t="str">
        <f>IF(IF(B27="", "", VLOOKUP(B27,'API Data Dictionary'!C:G,5,FALSE))=0, "", IF(B27="", "", VLOOKUP(B27,'API Data Dictionary'!C:G,5,FALSE)))</f>
        <v/>
      </c>
    </row>
    <row r="28" spans="1:7" x14ac:dyDescent="0.35">
      <c r="A28" s="64" t="s">
        <v>1418</v>
      </c>
      <c r="B28" s="62" t="str">
        <f t="shared" si="2"/>
        <v>product</v>
      </c>
      <c r="C28" s="62" t="s">
        <v>68</v>
      </c>
      <c r="D28" s="62" t="str">
        <f>IF(B28="", "", VLOOKUP(B28,'API Data Dictionary'!C:D,2,FALSE))</f>
        <v>string</v>
      </c>
      <c r="E28" s="62">
        <f>IF(IF(B28="", "", VLOOKUP(B28,'API Data Dictionary'!C:E,3,FALSE))=0, "", IF(B28="", "", VLOOKUP(B28,'API Data Dictionary'!C:E,3,FALSE)))</f>
        <v>200</v>
      </c>
      <c r="F28" s="62" t="str">
        <f>IF(IF(B28="", "", VLOOKUP(B28,'API Data Dictionary'!C:F,4,FALSE))=0, "", IF(B28="", "", VLOOKUP(B28,'API Data Dictionary'!C:F,4,FALSE)))</f>
        <v/>
      </c>
      <c r="G28" s="62" t="str">
        <f>IF(IF(B28="", "", VLOOKUP(B28,'API Data Dictionary'!C:G,5,FALSE))=0, "", IF(B28="", "", VLOOKUP(B28,'API Data Dictionary'!C:G,5,FALSE)))</f>
        <v>Product is a return value for Product description for product(s) available and enabled for the API Authenticated Agent. This includes Referencing Products (Ultimate, Express etc..) and Other services such as Insurance products (Rent on Time, Rent Guarantee etc…) and Media and Utilities.</v>
      </c>
    </row>
    <row r="29" spans="1:7" x14ac:dyDescent="0.35">
      <c r="A29" s="64" t="s">
        <v>1118</v>
      </c>
      <c r="B29" s="62" t="str">
        <f t="shared" si="2"/>
        <v/>
      </c>
      <c r="C29" s="62" t="str">
        <f>IF(B29="", "", VLOOKUP(B29,'API Data Dictionary'!C:P,14,FALSE))</f>
        <v/>
      </c>
      <c r="D29" s="62" t="str">
        <f>IF(B29="", "", VLOOKUP(B29,'API Data Dictionary'!C:D,2,FALSE))</f>
        <v/>
      </c>
      <c r="E29" s="62" t="str">
        <f>IF(IF(B29="", "", VLOOKUP(B29,'API Data Dictionary'!C:E,3,FALSE))=0, "", IF(B29="", "", VLOOKUP(B29,'API Data Dictionary'!C:E,3,FALSE)))</f>
        <v/>
      </c>
      <c r="F29" s="62" t="str">
        <f>IF(IF(B29="", "", VLOOKUP(B29,'API Data Dictionary'!C:F,4,FALSE))=0, "", IF(B29="", "", VLOOKUP(B29,'API Data Dictionary'!C:F,4,FALSE)))</f>
        <v/>
      </c>
      <c r="G29" s="62" t="str">
        <f>IF(IF(B29="", "", VLOOKUP(B29,'API Data Dictionary'!C:G,5,FALSE))=0, "", IF(B29="", "", VLOOKUP(B29,'API Data Dictionary'!C:G,5,FALSE)))</f>
        <v/>
      </c>
    </row>
    <row r="30" spans="1:7" x14ac:dyDescent="0.35">
      <c r="A30" s="64" t="s">
        <v>1139</v>
      </c>
      <c r="B30" s="62" t="str">
        <f t="shared" si="2"/>
        <v/>
      </c>
      <c r="C30" s="62"/>
      <c r="D30" s="62" t="str">
        <f>IF(B30="", "", VLOOKUP(B30,'API Data Dictionary'!C:D,2,FALSE))</f>
        <v/>
      </c>
      <c r="E30" s="62" t="str">
        <f>IF(IF(B30="", "", VLOOKUP(B30,'API Data Dictionary'!C:E,3,FALSE))=0, "", IF(B30="", "", VLOOKUP(B30,'API Data Dictionary'!C:E,3,FALSE)))</f>
        <v/>
      </c>
      <c r="F30" s="62" t="str">
        <f>IF(IF(B30="", "", VLOOKUP(B30,'API Data Dictionary'!C:F,4,FALSE))=0, "", IF(B30="", "", VLOOKUP(B30,'API Data Dictionary'!C:F,4,FALSE)))</f>
        <v/>
      </c>
      <c r="G30" s="62" t="str">
        <f>IF(IF(B30="", "", VLOOKUP(B30,'API Data Dictionary'!C:G,5,FALSE))=0, "", IF(B30="", "", VLOOKUP(B30,'API Data Dictionary'!C:G,5,FALSE)))</f>
        <v/>
      </c>
    </row>
    <row r="31" spans="1:7" x14ac:dyDescent="0.35">
      <c r="A31" s="64" t="s">
        <v>1419</v>
      </c>
      <c r="B31" s="62" t="str">
        <f t="shared" si="2"/>
        <v>message</v>
      </c>
      <c r="C31" s="62" t="s">
        <v>68</v>
      </c>
      <c r="D31" s="62" t="str">
        <f>IF(B31="", "", VLOOKUP(B31,'API Data Dictionary'!C:D,2,FALSE))</f>
        <v>string</v>
      </c>
      <c r="E31" s="62">
        <f>IF(IF(B31="", "", VLOOKUP(B31,'API Data Dictionary'!C:E,3,FALSE))=0, "", IF(B31="", "", VLOOKUP(B31,'API Data Dictionary'!C:E,3,FALSE)))</f>
        <v>100</v>
      </c>
      <c r="F31" s="62" t="str">
        <f>IF(IF(B31="", "", VLOOKUP(B31,'API Data Dictionary'!C:F,4,FALSE))=0, "", IF(B31="", "", VLOOKUP(B31,'API Data Dictionary'!C:F,4,FALSE)))</f>
        <v/>
      </c>
      <c r="G31" s="62" t="str">
        <f>IF(IF(B31="", "", VLOOKUP(B31,'API Data Dictionary'!C:G,5,FALSE))=0, "", IF(B31="", "", VLOOKUP(B31,'API Data Dictionary'!C:G,5,FALSE)))</f>
        <v>return value, null or success, unless there has been error</v>
      </c>
    </row>
    <row r="32" spans="1:7" x14ac:dyDescent="0.35">
      <c r="A32" s="64" t="s">
        <v>1120</v>
      </c>
      <c r="B32" s="62" t="str">
        <f t="shared" si="2"/>
        <v/>
      </c>
      <c r="C32" s="62"/>
      <c r="D32" s="62" t="str">
        <f>IF(B32="", "", VLOOKUP(B32,'API Data Dictionary'!C:D,2,FALSE))</f>
        <v/>
      </c>
      <c r="E32" s="62" t="str">
        <f>IF(IF(B32="", "", VLOOKUP(B32,'API Data Dictionary'!C:E,3,FALSE))=0, "", IF(B32="", "", VLOOKUP(B32,'API Data Dictionary'!C:E,3,FALSE)))</f>
        <v/>
      </c>
      <c r="F32" s="62" t="str">
        <f>IF(IF(B32="", "", VLOOKUP(B32,'API Data Dictionary'!C:F,4,FALSE))=0, "", IF(B32="", "", VLOOKUP(B32,'API Data Dictionary'!C:F,4,FALSE)))</f>
        <v/>
      </c>
      <c r="G32" s="62" t="str">
        <f>IF(IF(B32="", "", VLOOKUP(B32,'API Data Dictionary'!C:G,5,FALSE))=0, "", IF(B32="", "", VLOOKUP(B32,'API Data Dictionary'!C:G,5,FALSE)))</f>
        <v/>
      </c>
    </row>
    <row r="34" spans="1:7" x14ac:dyDescent="0.35">
      <c r="A34" s="219" t="s">
        <v>1625</v>
      </c>
      <c r="B34" s="220"/>
      <c r="C34" s="220"/>
      <c r="D34" s="220"/>
      <c r="E34" s="220"/>
      <c r="F34" s="220"/>
      <c r="G34" s="220"/>
    </row>
    <row r="35" spans="1:7" x14ac:dyDescent="0.35">
      <c r="A35" s="88" t="s">
        <v>1561</v>
      </c>
      <c r="B35" s="62" t="s">
        <v>1359</v>
      </c>
      <c r="C35" s="89" t="s">
        <v>1359</v>
      </c>
      <c r="D35" s="62" t="s">
        <v>64</v>
      </c>
      <c r="E35" s="89">
        <v>100</v>
      </c>
      <c r="F35" s="89"/>
      <c r="G35" s="89" t="s">
        <v>1562</v>
      </c>
    </row>
    <row r="37" spans="1:7" x14ac:dyDescent="0.35">
      <c r="A37" s="219" t="s">
        <v>1764</v>
      </c>
      <c r="B37" s="220"/>
      <c r="C37" s="220"/>
      <c r="D37" s="220"/>
      <c r="E37" s="220"/>
      <c r="F37" s="220"/>
      <c r="G37" s="220"/>
    </row>
    <row r="38" spans="1:7" x14ac:dyDescent="0.35">
      <c r="A38" s="88" t="s">
        <v>1763</v>
      </c>
      <c r="B38" s="62" t="s">
        <v>1359</v>
      </c>
      <c r="C38" s="89" t="s">
        <v>1359</v>
      </c>
      <c r="D38" s="62" t="s">
        <v>64</v>
      </c>
      <c r="E38" s="89">
        <v>100</v>
      </c>
      <c r="F38" s="89"/>
      <c r="G38" s="89" t="s">
        <v>1765</v>
      </c>
    </row>
    <row r="40" spans="1:7" x14ac:dyDescent="0.35">
      <c r="A40" s="219" t="s">
        <v>1608</v>
      </c>
      <c r="B40" s="219"/>
      <c r="C40" s="219"/>
      <c r="D40" s="219"/>
      <c r="E40" s="219"/>
      <c r="F40" s="219"/>
      <c r="G40" s="223"/>
    </row>
    <row r="41" spans="1:7" x14ac:dyDescent="0.35">
      <c r="A41" s="96" t="s">
        <v>1094</v>
      </c>
      <c r="B41" s="62" t="str">
        <f t="shared" ref="B41:B53" si="3">IF(OR(ISNUMBER(SEARCH("{", A41)),ISNUMBER(SEARCH("[", A41))), "", IFERROR(MID(A41, SEARCH("""", A41) +1, SEARCH("""", A41, SEARCH("""",A41) +1) - SEARCH("""", A41) -1), ""))</f>
        <v/>
      </c>
      <c r="C41" s="62" t="str">
        <f>IF(B41="", "", VLOOKUP(B41,'API Data Dictionary'!C:P,14,FALSE))</f>
        <v/>
      </c>
      <c r="D41" s="62" t="str">
        <f>IF(B41="", "", VLOOKUP(B41,'API Data Dictionary'!C:D,2,FALSE))</f>
        <v/>
      </c>
      <c r="E41" s="62" t="str">
        <f>IF(IF(B41="", "", VLOOKUP(B41,'API Data Dictionary'!C:E,3,FALSE))=0, "", IF(B41="", "", VLOOKUP(B41,'API Data Dictionary'!C:E,3,FALSE)))</f>
        <v/>
      </c>
      <c r="F41" s="62" t="str">
        <f>IF(IF(B41="", "", VLOOKUP(B41,'API Data Dictionary'!C:F,4,FALSE))=0, "", IF(B41="", "", VLOOKUP(B41,'API Data Dictionary'!C:F,4,FALSE)))</f>
        <v/>
      </c>
      <c r="G41" s="62" t="str">
        <f>IF(IF(B41="", "", VLOOKUP(B41,'API Data Dictionary'!C:G,5,FALSE))=0, "", IF(B41="", "", VLOOKUP(B41,'API Data Dictionary'!C:G,5,FALSE)))</f>
        <v/>
      </c>
    </row>
    <row r="42" spans="1:7" x14ac:dyDescent="0.35">
      <c r="A42" s="96" t="s">
        <v>1567</v>
      </c>
      <c r="B42" s="62" t="str">
        <f t="shared" si="3"/>
        <v>success</v>
      </c>
      <c r="C42" s="62" t="s">
        <v>68</v>
      </c>
      <c r="D42" s="62" t="str">
        <f>IF(B42="", "", VLOOKUP(B42,'API Data Dictionary'!C:D,2,FALSE))</f>
        <v>string - Boolean</v>
      </c>
      <c r="E42" s="62">
        <f>IF(IF(B42="", "", VLOOKUP(B42,'API Data Dictionary'!C:E,3,FALSE))=0, "", IF(B42="", "", VLOOKUP(B42,'API Data Dictionary'!C:E,3,FALSE)))</f>
        <v>100</v>
      </c>
      <c r="F42" s="62" t="str">
        <f>IF(IF(B42="", "", VLOOKUP(B42,'API Data Dictionary'!C:F,4,FALSE))=0, "", IF(B42="", "", VLOOKUP(B42,'API Data Dictionary'!C:F,4,FALSE)))</f>
        <v/>
      </c>
      <c r="G42" s="62" t="str">
        <f>IF(IF(B42="", "", VLOOKUP(B42,'API Data Dictionary'!C:G,5,FALSE))=0, "", IF(B42="", "", VLOOKUP(B42,'API Data Dictionary'!C:G,5,FALSE)))</f>
        <v>Returns true when successful call/connection</v>
      </c>
    </row>
    <row r="43" spans="1:7" x14ac:dyDescent="0.35">
      <c r="A43" s="96" t="s">
        <v>1377</v>
      </c>
      <c r="B43" s="62" t="str">
        <f t="shared" si="3"/>
        <v/>
      </c>
      <c r="C43" s="62" t="str">
        <f>IF(B43="", "", VLOOKUP(B43,'API Data Dictionary'!C:P,14,FALSE))</f>
        <v/>
      </c>
      <c r="D43" s="62" t="str">
        <f>IF(B43="", "", VLOOKUP(B43,'API Data Dictionary'!C:D,2,FALSE))</f>
        <v/>
      </c>
      <c r="E43" s="62" t="str">
        <f>IF(IF(B43="", "", VLOOKUP(B43,'API Data Dictionary'!C:E,3,FALSE))=0, "", IF(B43="", "", VLOOKUP(B43,'API Data Dictionary'!C:E,3,FALSE)))</f>
        <v/>
      </c>
      <c r="F43" s="62" t="str">
        <f>IF(IF(B43="", "", VLOOKUP(B43,'API Data Dictionary'!C:F,4,FALSE))=0, "", IF(B43="", "", VLOOKUP(B43,'API Data Dictionary'!C:F,4,FALSE)))</f>
        <v/>
      </c>
      <c r="G43" s="62" t="str">
        <f>IF(IF(B43="", "", VLOOKUP(B43,'API Data Dictionary'!C:G,5,FALSE))=0, "", IF(B43="", "", VLOOKUP(B43,'API Data Dictionary'!C:G,5,FALSE)))</f>
        <v/>
      </c>
    </row>
    <row r="44" spans="1:7" x14ac:dyDescent="0.35">
      <c r="A44" s="96" t="s">
        <v>1564</v>
      </c>
      <c r="B44" s="62" t="s">
        <v>1589</v>
      </c>
      <c r="C44" s="62" t="s">
        <v>68</v>
      </c>
      <c r="D44" t="s">
        <v>1593</v>
      </c>
      <c r="E44" s="62"/>
      <c r="F44" s="62"/>
      <c r="G44" s="62"/>
    </row>
    <row r="45" spans="1:7" x14ac:dyDescent="0.35">
      <c r="A45" s="96" t="s">
        <v>1565</v>
      </c>
      <c r="B45" s="62" t="s">
        <v>1590</v>
      </c>
      <c r="C45" s="62" t="s">
        <v>68</v>
      </c>
      <c r="D45" s="62" t="s">
        <v>64</v>
      </c>
      <c r="E45" s="106" t="s">
        <v>1594</v>
      </c>
      <c r="F45" s="62"/>
      <c r="G45" s="62"/>
    </row>
    <row r="46" spans="1:7" x14ac:dyDescent="0.35">
      <c r="A46" s="96" t="s">
        <v>1568</v>
      </c>
      <c r="B46" s="62" t="s">
        <v>1591</v>
      </c>
      <c r="C46" s="62" t="s">
        <v>68</v>
      </c>
      <c r="D46" s="62" t="s">
        <v>64</v>
      </c>
      <c r="E46" s="106" t="s">
        <v>1594</v>
      </c>
      <c r="F46" s="62"/>
      <c r="G46" s="62"/>
    </row>
    <row r="47" spans="1:7" x14ac:dyDescent="0.35">
      <c r="A47" s="96" t="s">
        <v>1566</v>
      </c>
      <c r="B47" s="62" t="str">
        <f t="shared" si="3"/>
        <v/>
      </c>
      <c r="C47" s="62" t="str">
        <f>IF(B47="", "", VLOOKUP(B47,'API Data Dictionary'!C:P,14,FALSE))</f>
        <v/>
      </c>
      <c r="D47" s="62" t="str">
        <f>IF(B47="", "", VLOOKUP(B47,'API Data Dictionary'!C:D,2,FALSE))</f>
        <v/>
      </c>
      <c r="E47" s="62" t="str">
        <f>IF(IF(B47="", "", VLOOKUP(B47,'API Data Dictionary'!C:E,3,FALSE))=0, "", IF(B47="", "", VLOOKUP(B47,'API Data Dictionary'!C:E,3,FALSE)))</f>
        <v/>
      </c>
      <c r="F47" s="62" t="str">
        <f>IF(IF(B47="", "", VLOOKUP(B47,'API Data Dictionary'!C:F,4,FALSE))=0, "", IF(B47="", "", VLOOKUP(B47,'API Data Dictionary'!C:F,4,FALSE)))</f>
        <v/>
      </c>
      <c r="G47" s="62" t="str">
        <f>IF(IF(B47="", "", VLOOKUP(B47,'API Data Dictionary'!C:G,5,FALSE))=0, "", IF(B47="", "", VLOOKUP(B47,'API Data Dictionary'!C:G,5,FALSE)))</f>
        <v/>
      </c>
    </row>
    <row r="48" spans="1:7" x14ac:dyDescent="0.35">
      <c r="A48" s="96" t="s">
        <v>1413</v>
      </c>
      <c r="B48" s="62" t="str">
        <f t="shared" si="3"/>
        <v/>
      </c>
      <c r="C48" s="62"/>
      <c r="D48" s="62" t="str">
        <f>IF(B48="", "", VLOOKUP(B48,'API Data Dictionary'!C:D,2,FALSE))</f>
        <v/>
      </c>
      <c r="E48" s="62" t="str">
        <f>IF(IF(B48="", "", VLOOKUP(B48,'API Data Dictionary'!C:E,3,FALSE))=0, "", IF(B48="", "", VLOOKUP(B48,'API Data Dictionary'!C:E,3,FALSE)))</f>
        <v/>
      </c>
      <c r="F48" s="62" t="str">
        <f>IF(IF(B48="", "", VLOOKUP(B48,'API Data Dictionary'!C:F,4,FALSE))=0, "", IF(B48="", "", VLOOKUP(B48,'API Data Dictionary'!C:F,4,FALSE)))</f>
        <v/>
      </c>
      <c r="G48" s="62" t="str">
        <f>IF(IF(B48="", "", VLOOKUP(B48,'API Data Dictionary'!C:G,5,FALSE))=0, "", IF(B48="", "", VLOOKUP(B48,'API Data Dictionary'!C:G,5,FALSE)))</f>
        <v/>
      </c>
    </row>
    <row r="49" spans="1:7" x14ac:dyDescent="0.35">
      <c r="A49" s="96" t="s">
        <v>1569</v>
      </c>
      <c r="B49" s="62" t="s">
        <v>1579</v>
      </c>
      <c r="C49" s="62" t="s">
        <v>68</v>
      </c>
      <c r="D49" s="62" t="s">
        <v>64</v>
      </c>
      <c r="E49" s="106" t="s">
        <v>1594</v>
      </c>
      <c r="F49" s="62"/>
      <c r="G49" s="62"/>
    </row>
    <row r="50" spans="1:7" x14ac:dyDescent="0.35">
      <c r="A50" s="96" t="s">
        <v>1570</v>
      </c>
      <c r="B50" s="62" t="s">
        <v>1580</v>
      </c>
      <c r="C50" s="62" t="s">
        <v>68</v>
      </c>
      <c r="D50" s="62" t="s">
        <v>64</v>
      </c>
      <c r="E50" s="106" t="s">
        <v>1594</v>
      </c>
      <c r="F50" s="62"/>
      <c r="G50" s="62"/>
    </row>
    <row r="51" spans="1:7" x14ac:dyDescent="0.35">
      <c r="A51" s="96" t="s">
        <v>1105</v>
      </c>
      <c r="B51" s="62" t="str">
        <f t="shared" ref="B51" si="4">IF(OR(ISNUMBER(SEARCH("{", A51)),ISNUMBER(SEARCH("[", A51))), "", IFERROR(MID(A51, SEARCH("""", A51) +1, SEARCH("""", A51, SEARCH("""",A51) +1) - SEARCH("""", A51) -1), ""))</f>
        <v/>
      </c>
      <c r="C51" s="62" t="str">
        <f>IF(B51="", "", VLOOKUP(B51,'API Data Dictionary'!C:L,10,FALSE))</f>
        <v/>
      </c>
      <c r="D51" s="62" t="str">
        <f>IF(B51="", "", VLOOKUP(B51,'API Data Dictionary'!C:D,2,FALSE))</f>
        <v/>
      </c>
      <c r="E51" s="106" t="str">
        <f>IF(IF(B51="", "", VLOOKUP(B51,'API Data Dictionary'!C:E,3,FALSE))=0, "", IF(B51="", "", VLOOKUP(B51,'API Data Dictionary'!C:E,3,FALSE)))</f>
        <v/>
      </c>
      <c r="F51" s="62" t="str">
        <f>IF(IF(B51="", "", VLOOKUP(B51,'API Data Dictionary'!C:F,4,FALSE))=0, "", IF(B51="", "", VLOOKUP(B51,'API Data Dictionary'!C:F,4,FALSE)))</f>
        <v/>
      </c>
      <c r="G51" s="62"/>
    </row>
    <row r="52" spans="1:7" x14ac:dyDescent="0.35">
      <c r="A52" s="96" t="s">
        <v>1571</v>
      </c>
      <c r="B52" s="62" t="s">
        <v>1592</v>
      </c>
      <c r="C52" s="62" t="s">
        <v>68</v>
      </c>
      <c r="D52" s="62" t="s">
        <v>64</v>
      </c>
      <c r="E52" s="106" t="s">
        <v>1594</v>
      </c>
      <c r="F52" s="62"/>
      <c r="G52" s="62"/>
    </row>
    <row r="53" spans="1:7" x14ac:dyDescent="0.35">
      <c r="A53" s="96" t="s">
        <v>1120</v>
      </c>
      <c r="B53" s="62" t="str">
        <f t="shared" si="3"/>
        <v/>
      </c>
      <c r="C53" s="62"/>
      <c r="D53" s="62" t="str">
        <f>IF(B53="", "", VLOOKUP(B53,'API Data Dictionary'!C:D,2,FALSE))</f>
        <v/>
      </c>
      <c r="E53" s="62" t="str">
        <f>IF(IF(B53="", "", VLOOKUP(B53,'API Data Dictionary'!C:E,3,FALSE))=0, "", IF(B53="", "", VLOOKUP(B53,'API Data Dictionary'!C:E,3,FALSE)))</f>
        <v/>
      </c>
      <c r="F53" s="62" t="str">
        <f>IF(IF(B53="", "", VLOOKUP(B53,'API Data Dictionary'!C:F,4,FALSE))=0, "", IF(B53="", "", VLOOKUP(B53,'API Data Dictionary'!C:F,4,FALSE)))</f>
        <v/>
      </c>
      <c r="G53" s="62" t="str">
        <f>IF(IF(B53="", "", VLOOKUP(B53,'API Data Dictionary'!C:G,5,FALSE))=0, "", IF(B53="", "", VLOOKUP(B53,'API Data Dictionary'!C:G,5,FALSE)))</f>
        <v/>
      </c>
    </row>
    <row r="55" spans="1:7" x14ac:dyDescent="0.35">
      <c r="A55" s="220" t="s">
        <v>1598</v>
      </c>
      <c r="B55" s="220"/>
      <c r="C55" s="220"/>
      <c r="D55" s="220"/>
      <c r="E55" s="220"/>
      <c r="F55" s="220"/>
      <c r="G55" s="220"/>
    </row>
    <row r="56" spans="1:7" x14ac:dyDescent="0.35">
      <c r="A56" s="110" t="s">
        <v>1094</v>
      </c>
      <c r="B56" s="89" t="str">
        <f t="shared" ref="B56:B60" si="5">IF(OR(ISNUMBER(SEARCH("{", A56)),ISNUMBER(SEARCH("[", A56))), "", IFERROR(MID(A56, SEARCH("""", A56) +1, SEARCH("""", A56, SEARCH("""",A56) +1) - SEARCH("""", A56) -1), ""))</f>
        <v/>
      </c>
      <c r="C56" s="89" t="str">
        <f>IF(B56="", "", VLOOKUP(B56,'API Data Dictionary'!C:J,8,FALSE))</f>
        <v/>
      </c>
      <c r="D56" s="89" t="str">
        <f>IF(B56="", "", VLOOKUP(B56,'API Data Dictionary'!C:D,2,FALSE))</f>
        <v/>
      </c>
      <c r="E56" s="89" t="str">
        <f>IF(IF(B56="", "", VLOOKUP(B56,'API Data Dictionary'!C:E,3,FALSE))=0, "", IF(B56="", "", VLOOKUP(B56,'API Data Dictionary'!C:E,3,FALSE)))</f>
        <v/>
      </c>
      <c r="F56" s="89" t="str">
        <f>IF(IF(B56="", "", VLOOKUP(B56,'API Data Dictionary'!C:F,4,FALSE))=0, "", IF(B56="", "", VLOOKUP(B56,'API Data Dictionary'!C:F,4,FALSE)))</f>
        <v/>
      </c>
      <c r="G56" s="89" t="str">
        <f>IF(IF(B56="", "", VLOOKUP(B56,'API Data Dictionary'!C:G,5,FALSE))=0, "", IF(B56="", "", VLOOKUP(B56,'API Data Dictionary'!C:G,5,FALSE)))</f>
        <v/>
      </c>
    </row>
    <row r="57" spans="1:7" x14ac:dyDescent="0.35">
      <c r="A57" s="110" t="s">
        <v>1567</v>
      </c>
      <c r="B57" s="89" t="str">
        <f t="shared" si="5"/>
        <v>success</v>
      </c>
      <c r="C57" s="89" t="s">
        <v>68</v>
      </c>
      <c r="D57" s="89" t="str">
        <f>IF(B57="", "", VLOOKUP(B57,'API Data Dictionary'!C:D,2,FALSE))</f>
        <v>string - Boolean</v>
      </c>
      <c r="E57" s="89">
        <f>IF(IF(B57="", "", VLOOKUP(B57,'API Data Dictionary'!C:E,3,FALSE))=0, "", IF(B57="", "", VLOOKUP(B57,'API Data Dictionary'!C:E,3,FALSE)))</f>
        <v>100</v>
      </c>
      <c r="F57" s="89" t="str">
        <f>IF(IF(B57="", "", VLOOKUP(B57,'API Data Dictionary'!C:F,4,FALSE))=0, "", IF(B57="", "", VLOOKUP(B57,'API Data Dictionary'!C:F,4,FALSE)))</f>
        <v/>
      </c>
      <c r="G57" s="89" t="str">
        <f>IF(IF(B57="", "", VLOOKUP(B57,'API Data Dictionary'!C:G,5,FALSE))=0, "", IF(B57="", "", VLOOKUP(B57,'API Data Dictionary'!C:G,5,FALSE)))</f>
        <v>Returns true when successful call/connection</v>
      </c>
    </row>
    <row r="58" spans="1:7" x14ac:dyDescent="0.35">
      <c r="A58" s="110" t="s">
        <v>1596</v>
      </c>
      <c r="B58" s="89" t="str">
        <f t="shared" si="5"/>
        <v>payload</v>
      </c>
      <c r="C58" s="89" t="s">
        <v>68</v>
      </c>
      <c r="D58" s="89" t="str">
        <f>IF(B58="", "", VLOOKUP(B58,'API Data Dictionary'!C:D,2,FALSE))</f>
        <v>string</v>
      </c>
      <c r="E58" s="89">
        <f>IF(IF(B58="", "", VLOOKUP(B58,'API Data Dictionary'!C:E,3,FALSE))=0, "", IF(B58="", "", VLOOKUP(B58,'API Data Dictionary'!C:E,3,FALSE)))</f>
        <v>100</v>
      </c>
      <c r="F58" s="89" t="str">
        <f>IF(IF(B58="", "", VLOOKUP(B58,'API Data Dictionary'!C:F,4,FALSE))=0, "", IF(B58="", "", VLOOKUP(B58,'API Data Dictionary'!C:F,4,FALSE)))</f>
        <v/>
      </c>
      <c r="G58" s="89" t="str">
        <f>IF(IF(B58="", "", VLOOKUP(B58,'API Data Dictionary'!C:G,5,FALSE))=0, "", IF(B58="", "", VLOOKUP(B58,'API Data Dictionary'!C:G,5,FALSE)))</f>
        <v>Returns healthy when connection has worked properly</v>
      </c>
    </row>
    <row r="59" spans="1:7" x14ac:dyDescent="0.35">
      <c r="A59" s="110" t="s">
        <v>1597</v>
      </c>
      <c r="B59" s="89" t="str">
        <f t="shared" si="5"/>
        <v>message</v>
      </c>
      <c r="C59" s="89" t="s">
        <v>68</v>
      </c>
      <c r="D59" s="89" t="str">
        <f>IF(B59="", "", VLOOKUP(B59,'API Data Dictionary'!C:D,2,FALSE))</f>
        <v>string</v>
      </c>
      <c r="E59" s="89">
        <f>IF(IF(B59="", "", VLOOKUP(B59,'API Data Dictionary'!C:E,3,FALSE))=0, "", IF(B59="", "", VLOOKUP(B59,'API Data Dictionary'!C:E,3,FALSE)))</f>
        <v>100</v>
      </c>
      <c r="F59" s="89" t="str">
        <f>IF(IF(B59="", "", VLOOKUP(B59,'API Data Dictionary'!C:F,4,FALSE))=0, "", IF(B59="", "", VLOOKUP(B59,'API Data Dictionary'!C:F,4,FALSE)))</f>
        <v/>
      </c>
      <c r="G59" s="89" t="str">
        <f>IF(IF(B59="", "", VLOOKUP(B59,'API Data Dictionary'!C:G,5,FALSE))=0, "", IF(B59="", "", VLOOKUP(B59,'API Data Dictionary'!C:G,5,FALSE)))</f>
        <v>return value, null or success, unless there has been error</v>
      </c>
    </row>
    <row r="60" spans="1:7" x14ac:dyDescent="0.35">
      <c r="A60" s="110" t="s">
        <v>1120</v>
      </c>
      <c r="B60" s="89" t="str">
        <f t="shared" si="5"/>
        <v/>
      </c>
      <c r="C60" s="89" t="str">
        <f>IF(B60="", "", VLOOKUP(B60,'API Data Dictionary'!C:J,8,FALSE))</f>
        <v/>
      </c>
      <c r="D60" s="89" t="str">
        <f>IF(B60="", "", VLOOKUP(B60,'API Data Dictionary'!C:D,2,FALSE))</f>
        <v/>
      </c>
      <c r="E60" s="89" t="str">
        <f>IF(IF(B60="", "", VLOOKUP(B60,'API Data Dictionary'!C:E,3,FALSE))=0, "", IF(B60="", "", VLOOKUP(B60,'API Data Dictionary'!C:E,3,FALSE)))</f>
        <v/>
      </c>
      <c r="F60" s="89" t="str">
        <f>IF(IF(B60="", "", VLOOKUP(B60,'API Data Dictionary'!C:F,4,FALSE))=0, "", IF(B60="", "", VLOOKUP(B60,'API Data Dictionary'!C:F,4,FALSE)))</f>
        <v/>
      </c>
      <c r="G60" s="89" t="str">
        <f>IF(IF(B60="", "", VLOOKUP(B60,'API Data Dictionary'!C:G,5,FALSE))=0, "", IF(B60="", "", VLOOKUP(B60,'API Data Dictionary'!C:G,5,FALSE)))</f>
        <v/>
      </c>
    </row>
  </sheetData>
  <mergeCells count="6">
    <mergeCell ref="A2:G2"/>
    <mergeCell ref="A8:G8"/>
    <mergeCell ref="A40:G40"/>
    <mergeCell ref="A55:G55"/>
    <mergeCell ref="A34:G34"/>
    <mergeCell ref="A37:G3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267C-2826-43ED-888F-2CA98C587ECD}">
  <sheetPr>
    <tabColor rgb="FF4472C4"/>
  </sheetPr>
  <dimension ref="A1:G174"/>
  <sheetViews>
    <sheetView zoomScaleNormal="100" workbookViewId="0"/>
  </sheetViews>
  <sheetFormatPr defaultRowHeight="14.5" x14ac:dyDescent="0.35"/>
  <cols>
    <col min="1" max="1" width="85.08984375" customWidth="1"/>
    <col min="2" max="2" width="22.1796875" bestFit="1" customWidth="1"/>
    <col min="3" max="3" width="16" bestFit="1" customWidth="1"/>
    <col min="4" max="4" width="20.08984375" bestFit="1" customWidth="1"/>
    <col min="5" max="5" width="10.54296875" customWidth="1"/>
    <col min="6" max="6" width="14.453125" customWidth="1"/>
    <col min="7" max="7" width="255.6328125" bestFit="1" customWidth="1"/>
  </cols>
  <sheetData>
    <row r="1" spans="1:7" ht="43.5" x14ac:dyDescent="0.35">
      <c r="A1" s="63" t="s">
        <v>1131</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B5" si="0">IF(OR(ISNUMBER(SEARCH("{", A3)),ISNUMBER(SEARCH("[", A3))), "", IFERROR(MID(A3, SEARCH("""", A3) +1, SEARCH("""", A3, SEARCH("""",A3) +1) - SEARCH("""", A3) -1), ""))</f>
        <v/>
      </c>
      <c r="C3" s="62" t="str">
        <f>IF(B3="", "", VLOOKUP(B3,'API Data Dictionary'!C:R,16,FALSE))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1635</v>
      </c>
      <c r="B4" s="62" t="str">
        <f t="shared" si="0"/>
        <v>applicantId</v>
      </c>
      <c r="C4" s="62" t="str">
        <f>IF(B4="", "", VLOOKUP(B4,'API Data Dictionary'!C:R,16,FALSE))</f>
        <v>M</v>
      </c>
      <c r="D4" s="62" t="str">
        <f>IF(B4="", "", VLOOKUP(B4,'API Data Dictionary'!C:D,2,FALSE))</f>
        <v>integer</v>
      </c>
      <c r="E4" s="62" t="str">
        <f>IF(IF(B4="", "", VLOOKUP(B4,'API Data Dictionary'!C:E,3,FALSE))=0, "", IF(B4="", "", VLOOKUP(B4,'API Data Dictionary'!C:E,3,FALSE)))</f>
        <v/>
      </c>
      <c r="F4" s="62" t="str">
        <f>IF(IF(B4="", "", VLOOKUP(B4,'API Data Dictionary'!C:F,4,FALSE))=0, "", IF(B4="", "", VLOOKUP(B4,'API Data Dictionary'!C:F,4,FALSE)))</f>
        <v/>
      </c>
      <c r="G4" s="62" t="str">
        <f>IF(IF(B4="", "", VLOOKUP(B4,'API Data Dictionary'!C:G,5,FALSE))=0, "", IF(B4="", "", VLOOKUP(B4,'API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5" spans="1:7" x14ac:dyDescent="0.35">
      <c r="A5" s="64" t="s">
        <v>1120</v>
      </c>
      <c r="B5" s="62" t="str">
        <f t="shared" si="0"/>
        <v/>
      </c>
      <c r="C5" s="62" t="str">
        <f>IF(B5="", "", VLOOKUP(B5,'API Data Dictionary'!C:R,16,FALSE))</f>
        <v/>
      </c>
      <c r="D5" s="62" t="str">
        <f>IF(B5="", "", VLOOKUP(B5,'API Data Dictionary'!C:D,2,FALSE))</f>
        <v/>
      </c>
      <c r="E5" s="62" t="str">
        <f>IF(IF(B5="", "", VLOOKUP(B5,'API Data Dictionary'!C:E,3,FALSE))=0, "", IF(B5="", "", VLOOKUP(B5,'API Data Dictionary'!C:E,3,FALSE)))</f>
        <v/>
      </c>
      <c r="F5" s="62" t="str">
        <f>IF(IF(B5="", "", VLOOKUP(B5,'API Data Dictionary'!C:F,4,FALSE))=0, "", IF(B5="", "", VLOOKUP(B5,'API Data Dictionary'!C:F,4,FALSE)))</f>
        <v/>
      </c>
      <c r="G5" s="62" t="str">
        <f>IF(IF(B5="", "", VLOOKUP(B5,'API Data Dictionary'!C:G,5,FALSE))=0, "", IF(B5="", "", VLOOKUP(B5,'API Data Dictionary'!C:G,5,FALSE)))</f>
        <v/>
      </c>
    </row>
    <row r="7" spans="1:7" x14ac:dyDescent="0.35">
      <c r="A7" s="222" t="s">
        <v>1751</v>
      </c>
      <c r="B7" s="222"/>
      <c r="C7" s="222"/>
      <c r="D7" s="222"/>
      <c r="E7" s="222"/>
      <c r="F7" s="222"/>
      <c r="G7" s="222"/>
    </row>
    <row r="8" spans="1:7" x14ac:dyDescent="0.35">
      <c r="A8" s="64" t="s">
        <v>1094</v>
      </c>
      <c r="B8" s="62" t="str">
        <f t="shared" ref="B8:B52" si="1">IF(OR(ISNUMBER(SEARCH("{", A8)),ISNUMBER(SEARCH("[", A8))), "", IFERROR(MID(A8, SEARCH("""", A8) +1, SEARCH("""", A8, SEARCH("""",A8) +1) - SEARCH("""", A8) -1), ""))</f>
        <v/>
      </c>
      <c r="C8" s="62" t="str">
        <f>IF(B8="", "", VLOOKUP(B8,'API Data Dictionary'!C:R,16,FALSE))</f>
        <v/>
      </c>
      <c r="D8" s="62" t="str">
        <f>IF(B8="", "", VLOOKUP(B8,'API Data Dictionary'!C:D,2,FALSE))</f>
        <v/>
      </c>
      <c r="E8" s="62" t="str">
        <f>IF(IF(B8="", "", VLOOKUP(B8,'API Data Dictionary'!C:E,3,FALSE))=0, "", IF(B8="", "", VLOOKUP(B8,'API Data Dictionary'!C:E,3,FALSE)))</f>
        <v/>
      </c>
      <c r="F8" s="62" t="str">
        <f>IF(IF(B8="", "", VLOOKUP(B8,'API Data Dictionary'!C:F,4,FALSE))=0, "", IF(B8="", "", VLOOKUP(B8,'API Data Dictionary'!C:F,4,FALSE)))</f>
        <v/>
      </c>
      <c r="G8" s="62" t="str">
        <f>IF(IF(B8="", "", VLOOKUP(B8,'API Data Dictionary'!C:G,5,FALSE))=0, "", IF(B8="", "", VLOOKUP(B8,'API Data Dictionary'!C:G,5,FALSE)))</f>
        <v/>
      </c>
    </row>
    <row r="9" spans="1:7" x14ac:dyDescent="0.35">
      <c r="A9" s="64" t="s">
        <v>1350</v>
      </c>
      <c r="B9" s="62" t="str">
        <f t="shared" si="1"/>
        <v>success</v>
      </c>
      <c r="C9" s="62" t="s">
        <v>68</v>
      </c>
      <c r="D9" s="62" t="str">
        <f>IF(B9="", "", VLOOKUP(B9,'API Data Dictionary'!C:D,2,FALSE))</f>
        <v>string - Boolean</v>
      </c>
      <c r="E9" s="62">
        <f>IF(IF(B9="", "", VLOOKUP(B9,'API Data Dictionary'!C:E,3,FALSE))=0, "", IF(B9="", "", VLOOKUP(B9,'API Data Dictionary'!C:E,3,FALSE)))</f>
        <v>100</v>
      </c>
      <c r="F9" s="62" t="str">
        <f>IF(IF(B9="", "", VLOOKUP(B9,'API Data Dictionary'!C:F,4,FALSE))=0, "", IF(B9="", "", VLOOKUP(B9,'API Data Dictionary'!C:F,4,FALSE)))</f>
        <v/>
      </c>
      <c r="G9" s="62" t="str">
        <f>IF(IF(B9="", "", VLOOKUP(B9,'API Data Dictionary'!C:G,5,FALSE))=0, "", IF(B9="", "", VLOOKUP(B9,'API Data Dictionary'!C:G,5,FALSE)))</f>
        <v>Returns true when successful call/connection</v>
      </c>
    </row>
    <row r="10" spans="1:7" x14ac:dyDescent="0.35">
      <c r="A10" s="64" t="s">
        <v>1377</v>
      </c>
      <c r="B10" s="62" t="str">
        <f t="shared" si="1"/>
        <v/>
      </c>
      <c r="C10" s="62" t="str">
        <f>IF(B10="", "", VLOOKUP(B10,'API Data Dictionary'!C:R,16,FALSE))</f>
        <v/>
      </c>
      <c r="D10" s="62" t="str">
        <f>IF(B10="", "", VLOOKUP(B10,'API Data Dictionary'!C:D,2,FALSE))</f>
        <v/>
      </c>
      <c r="E10" s="62" t="str">
        <f>IF(IF(B10="", "", VLOOKUP(B10,'API Data Dictionary'!C:E,3,FALSE))=0, "", IF(B10="", "", VLOOKUP(B10,'API Data Dictionary'!C:E,3,FALSE)))</f>
        <v/>
      </c>
      <c r="F10" s="62" t="str">
        <f>IF(IF(B10="", "", VLOOKUP(B10,'API Data Dictionary'!C:F,4,FALSE))=0, "", IF(B10="", "", VLOOKUP(B10,'API Data Dictionary'!C:F,4,FALSE)))</f>
        <v/>
      </c>
      <c r="G10" s="62" t="str">
        <f>IF(IF(B10="", "", VLOOKUP(B10,'API Data Dictionary'!C:G,5,FALSE))=0, "", IF(B10="", "", VLOOKUP(B10,'API Data Dictionary'!C:G,5,FALSE)))</f>
        <v/>
      </c>
    </row>
    <row r="11" spans="1:7" x14ac:dyDescent="0.35">
      <c r="A11" s="64" t="s">
        <v>1378</v>
      </c>
      <c r="B11" s="62" t="str">
        <f t="shared" si="1"/>
        <v>agentCode</v>
      </c>
      <c r="C11" s="62" t="s">
        <v>68</v>
      </c>
      <c r="D11" s="62" t="str">
        <f>IF(B11="", "", VLOOKUP(B11,'API Data Dictionary'!C:D,2,FALSE))</f>
        <v>string</v>
      </c>
      <c r="E11" s="62">
        <f>IF(IF(B11="", "", VLOOKUP(B11,'API Data Dictionary'!C:E,3,FALSE))=0, "", IF(B11="", "", VLOOKUP(B11,'API Data Dictionary'!C:E,3,FALSE)))</f>
        <v>50</v>
      </c>
      <c r="F11" s="62" t="str">
        <f>IF(IF(B11="", "", VLOOKUP(B11,'API Data Dictionary'!C:F,4,FALSE))=0, "", IF(B11="", "", VLOOKUP(B11,'API Data Dictionary'!C:F,4,FALSE)))</f>
        <v/>
      </c>
      <c r="G11" s="62" t="str">
        <f>IF(IF(B11="", "", VLOOKUP(B11,'API Data Dictionary'!C:G,5,FALSE))=0, "", IF(B11="", "", VLOOKUP(B11,'API Data Dictionary'!C:G,5,FALSE)))</f>
        <v>AgentCode is the Unique Key provided to the Agent when onboarding as a Barbon Customer.
An AgentID may be linked to many Properties being managed by that Agent and Each property may be linked to 1 or more TenancyID's.</v>
      </c>
    </row>
    <row r="12" spans="1:7" x14ac:dyDescent="0.35">
      <c r="A12" s="64" t="s">
        <v>1421</v>
      </c>
      <c r="B12" s="62" t="str">
        <f t="shared" si="1"/>
        <v>applicantID</v>
      </c>
      <c r="C12" s="62" t="str">
        <f>IF(B12="", "", VLOOKUP(B12,'API Data Dictionary'!C:R,16,FALSE))</f>
        <v>M</v>
      </c>
      <c r="D12" s="62" t="str">
        <f>IF(B12="", "", VLOOKUP(B12,'API Data Dictionary'!C:D,2,FALSE))</f>
        <v>integer</v>
      </c>
      <c r="E12" s="62" t="str">
        <f>IF(IF(B12="", "", VLOOKUP(B12,'API Data Dictionary'!C:E,3,FALSE))=0, "", IF(B12="", "", VLOOKUP(B12,'API Data Dictionary'!C:E,3,FALSE)))</f>
        <v/>
      </c>
      <c r="F12" s="62" t="str">
        <f>IF(IF(B12="", "", VLOOKUP(B12,'API Data Dictionary'!C:F,4,FALSE))=0, "", IF(B12="", "", VLOOKUP(B12,'API Data Dictionary'!C:F,4,FALSE)))</f>
        <v/>
      </c>
      <c r="G12" s="62" t="str">
        <f>IF(IF(B12="", "", VLOOKUP(B12,'API Data Dictionary'!C:G,5,FALSE))=0, "", IF(B12="", "", VLOOKUP(B12,'API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13" spans="1:7" x14ac:dyDescent="0.35">
      <c r="A13" s="64" t="s">
        <v>1420</v>
      </c>
      <c r="B13" s="62" t="str">
        <f t="shared" si="1"/>
        <v/>
      </c>
      <c r="C13" s="62" t="str">
        <f>IF(B13="", "", VLOOKUP(B13,'API Data Dictionary'!C:R,16,FALSE))</f>
        <v/>
      </c>
      <c r="D13" s="62" t="str">
        <f>IF(B13="", "", VLOOKUP(B13,'API Data Dictionary'!C:D,2,FALSE))</f>
        <v/>
      </c>
      <c r="E13" s="62" t="str">
        <f>IF(IF(B13="", "", VLOOKUP(B13,'API Data Dictionary'!C:E,3,FALSE))=0, "", IF(B13="", "", VLOOKUP(B13,'API Data Dictionary'!C:E,3,FALSE)))</f>
        <v/>
      </c>
      <c r="F13" s="62" t="str">
        <f>IF(IF(B13="", "", VLOOKUP(B13,'API Data Dictionary'!C:F,4,FALSE))=0, "", IF(B13="", "", VLOOKUP(B13,'API Data Dictionary'!C:F,4,FALSE)))</f>
        <v/>
      </c>
      <c r="G13" s="62" t="str">
        <f>IF(IF(B13="", "", VLOOKUP(B13,'API Data Dictionary'!C:G,5,FALSE))=0, "", IF(B13="", "", VLOOKUP(B13,'API Data Dictionary'!C:G,5,FALSE)))</f>
        <v/>
      </c>
    </row>
    <row r="14" spans="1:7" x14ac:dyDescent="0.35">
      <c r="A14" s="64" t="s">
        <v>1381</v>
      </c>
      <c r="B14" s="62" t="str">
        <f t="shared" si="1"/>
        <v/>
      </c>
      <c r="C14" s="62" t="str">
        <f>IF(B14="", "", VLOOKUP(B14,'API Data Dictionary'!C:R,16,FALSE))</f>
        <v/>
      </c>
      <c r="D14" s="62" t="str">
        <f>IF(B14="", "", VLOOKUP(B14,'API Data Dictionary'!C:D,2,FALSE))</f>
        <v/>
      </c>
      <c r="E14" s="62" t="str">
        <f>IF(IF(B14="", "", VLOOKUP(B14,'API Data Dictionary'!C:E,3,FALSE))=0, "", IF(B14="", "", VLOOKUP(B14,'API Data Dictionary'!C:E,3,FALSE)))</f>
        <v/>
      </c>
      <c r="F14" s="62" t="str">
        <f>IF(IF(B14="", "", VLOOKUP(B14,'API Data Dictionary'!C:F,4,FALSE))=0, "", IF(B14="", "", VLOOKUP(B14,'API Data Dictionary'!C:F,4,FALSE)))</f>
        <v/>
      </c>
      <c r="G14" s="62" t="str">
        <f>IF(IF(B14="", "", VLOOKUP(B14,'API Data Dictionary'!C:G,5,FALSE))=0, "", IF(B14="", "", VLOOKUP(B14,'API Data Dictionary'!C:G,5,FALSE)))</f>
        <v/>
      </c>
    </row>
    <row r="15" spans="1:7" x14ac:dyDescent="0.35">
      <c r="A15" s="64" t="s">
        <v>1422</v>
      </c>
      <c r="B15" s="62" t="str">
        <f t="shared" si="1"/>
        <v>documentType</v>
      </c>
      <c r="C15" s="62" t="s">
        <v>68</v>
      </c>
      <c r="D15" s="62" t="s">
        <v>1426</v>
      </c>
      <c r="E15" s="62"/>
      <c r="F15" s="62"/>
      <c r="G15" s="62" t="s">
        <v>1429</v>
      </c>
    </row>
    <row r="16" spans="1:7" x14ac:dyDescent="0.35">
      <c r="A16" s="64" t="s">
        <v>1423</v>
      </c>
      <c r="B16" s="62" t="str">
        <f t="shared" si="1"/>
        <v>documentData</v>
      </c>
      <c r="C16" s="62" t="s">
        <v>68</v>
      </c>
      <c r="D16" s="62" t="s">
        <v>1427</v>
      </c>
      <c r="E16" s="62"/>
      <c r="F16" s="62"/>
      <c r="G16" s="62" t="s">
        <v>1428</v>
      </c>
    </row>
    <row r="17" spans="1:7" x14ac:dyDescent="0.35">
      <c r="A17" s="64" t="s">
        <v>1425</v>
      </c>
      <c r="B17" s="62" t="str">
        <f t="shared" si="1"/>
        <v/>
      </c>
      <c r="C17" s="62" t="str">
        <f>IF(B17="", "", VLOOKUP(B17,'API Data Dictionary'!C:R,16,FALSE))</f>
        <v/>
      </c>
      <c r="D17" s="62" t="str">
        <f>IF(B17="", "", VLOOKUP(B17,'API Data Dictionary'!C:D,2,FALSE))</f>
        <v/>
      </c>
      <c r="E17" s="62" t="str">
        <f>IF(IF(B17="", "", VLOOKUP(B17,'API Data Dictionary'!C:E,3,FALSE))=0, "", IF(B17="", "", VLOOKUP(B17,'API Data Dictionary'!C:E,3,FALSE)))</f>
        <v/>
      </c>
      <c r="F17" s="62" t="str">
        <f>IF(IF(B17="", "", VLOOKUP(B17,'API Data Dictionary'!C:F,4,FALSE))=0, "", IF(B17="", "", VLOOKUP(B17,'API Data Dictionary'!C:F,4,FALSE)))</f>
        <v/>
      </c>
      <c r="G17" s="62" t="str">
        <f>IF(IF(B17="", "", VLOOKUP(B17,'API Data Dictionary'!C:G,5,FALSE))=0, "", IF(B17="", "", VLOOKUP(B17,'API Data Dictionary'!C:G,5,FALSE)))</f>
        <v/>
      </c>
    </row>
    <row r="18" spans="1:7" x14ac:dyDescent="0.35">
      <c r="A18" s="64" t="s">
        <v>1424</v>
      </c>
      <c r="B18" s="62" t="str">
        <f t="shared" si="1"/>
        <v/>
      </c>
      <c r="C18" s="62" t="str">
        <f>IF(B18="", "", VLOOKUP(B18,'API Data Dictionary'!C:R,16,FALSE))</f>
        <v/>
      </c>
      <c r="D18" s="62" t="str">
        <f>IF(B18="", "", VLOOKUP(B18,'API Data Dictionary'!C:D,2,FALSE))</f>
        <v/>
      </c>
      <c r="E18" s="62" t="str">
        <f>IF(IF(B18="", "", VLOOKUP(B18,'API Data Dictionary'!C:E,3,FALSE))=0, "", IF(B18="", "", VLOOKUP(B18,'API Data Dictionary'!C:E,3,FALSE)))</f>
        <v/>
      </c>
      <c r="F18" s="62" t="str">
        <f>IF(IF(B18="", "", VLOOKUP(B18,'API Data Dictionary'!C:F,4,FALSE))=0, "", IF(B18="", "", VLOOKUP(B18,'API Data Dictionary'!C:F,4,FALSE)))</f>
        <v/>
      </c>
      <c r="G18" s="62" t="str">
        <f>IF(IF(B18="", "", VLOOKUP(B18,'API Data Dictionary'!C:G,5,FALSE))=0, "", IF(B18="", "", VLOOKUP(B18,'API Data Dictionary'!C:G,5,FALSE)))</f>
        <v/>
      </c>
    </row>
    <row r="19" spans="1:7" x14ac:dyDescent="0.35">
      <c r="A19" s="64" t="s">
        <v>1117</v>
      </c>
      <c r="B19" s="62" t="str">
        <f t="shared" si="1"/>
        <v/>
      </c>
      <c r="C19" s="62" t="str">
        <f>IF(B19="", "", VLOOKUP(B19,'API Data Dictionary'!C:R,16,FALSE))</f>
        <v/>
      </c>
      <c r="D19" s="62" t="str">
        <f>IF(B19="", "", VLOOKUP(B19,'API Data Dictionary'!C:D,2,FALSE))</f>
        <v/>
      </c>
      <c r="E19" s="62" t="str">
        <f>IF(IF(B19="", "", VLOOKUP(B19,'API Data Dictionary'!C:E,3,FALSE))=0, "", IF(B19="", "", VLOOKUP(B19,'API Data Dictionary'!C:E,3,FALSE)))</f>
        <v/>
      </c>
      <c r="F19" s="62" t="str">
        <f>IF(IF(B19="", "", VLOOKUP(B19,'API Data Dictionary'!C:F,4,FALSE))=0, "", IF(B19="", "", VLOOKUP(B19,'API Data Dictionary'!C:F,4,FALSE)))</f>
        <v/>
      </c>
      <c r="G19" s="62" t="str">
        <f>IF(IF(B19="", "", VLOOKUP(B19,'API Data Dictionary'!C:G,5,FALSE))=0, "", IF(B19="", "", VLOOKUP(B19,'API Data Dictionary'!C:G,5,FALSE)))</f>
        <v/>
      </c>
    </row>
    <row r="20" spans="1:7" x14ac:dyDescent="0.35">
      <c r="A20" s="64" t="s">
        <v>1383</v>
      </c>
      <c r="B20" s="62" t="str">
        <f t="shared" si="1"/>
        <v/>
      </c>
      <c r="C20" s="62" t="str">
        <f>IF(B20="", "", VLOOKUP(B20,'API Data Dictionary'!C:R,16,FALSE))</f>
        <v/>
      </c>
      <c r="D20" s="62" t="str">
        <f>IF(B20="", "", VLOOKUP(B20,'API Data Dictionary'!C:D,2,FALSE))</f>
        <v/>
      </c>
      <c r="E20" s="62" t="str">
        <f>IF(IF(B20="", "", VLOOKUP(B20,'API Data Dictionary'!C:E,3,FALSE))=0, "", IF(B20="", "", VLOOKUP(B20,'API Data Dictionary'!C:E,3,FALSE)))</f>
        <v/>
      </c>
      <c r="F20" s="62" t="str">
        <f>IF(IF(B20="", "", VLOOKUP(B20,'API Data Dictionary'!C:F,4,FALSE))=0, "", IF(B20="", "", VLOOKUP(B20,'API Data Dictionary'!C:F,4,FALSE)))</f>
        <v/>
      </c>
      <c r="G20" s="62" t="str">
        <f>IF(IF(B20="", "", VLOOKUP(B20,'API Data Dictionary'!C:G,5,FALSE))=0, "", IF(B20="", "", VLOOKUP(B20,'API Data Dictionary'!C:G,5,FALSE)))</f>
        <v/>
      </c>
    </row>
    <row r="21" spans="1:7" x14ac:dyDescent="0.35">
      <c r="A21" s="64" t="s">
        <v>1105</v>
      </c>
      <c r="B21" s="62" t="str">
        <f t="shared" si="1"/>
        <v/>
      </c>
      <c r="C21" s="62" t="str">
        <f>IF(B21="", "", VLOOKUP(B21,'API Data Dictionary'!C:R,16,FALSE))</f>
        <v/>
      </c>
      <c r="D21" s="62" t="str">
        <f>IF(B21="", "", VLOOKUP(B21,'API Data Dictionary'!C:D,2,FALSE))</f>
        <v/>
      </c>
      <c r="E21" s="62" t="str">
        <f>IF(IF(B21="", "", VLOOKUP(B21,'API Data Dictionary'!C:E,3,FALSE))=0, "", IF(B21="", "", VLOOKUP(B21,'API Data Dictionary'!C:E,3,FALSE)))</f>
        <v/>
      </c>
      <c r="F21" s="62" t="str">
        <f>IF(IF(B21="", "", VLOOKUP(B21,'API Data Dictionary'!C:F,4,FALSE))=0, "", IF(B21="", "", VLOOKUP(B21,'API Data Dictionary'!C:F,4,FALSE)))</f>
        <v/>
      </c>
      <c r="G21" s="62" t="str">
        <f>IF(IF(B21="", "", VLOOKUP(B21,'API Data Dictionary'!C:G,5,FALSE))=0, "", IF(B21="", "", VLOOKUP(B21,'API Data Dictionary'!C:G,5,FALSE)))</f>
        <v/>
      </c>
    </row>
    <row r="22" spans="1:7" x14ac:dyDescent="0.35">
      <c r="A22" s="64" t="s">
        <v>1352</v>
      </c>
      <c r="B22" s="62" t="str">
        <f t="shared" si="1"/>
        <v>message</v>
      </c>
      <c r="C22" s="62" t="s">
        <v>68</v>
      </c>
      <c r="D22" s="62" t="str">
        <f>IF(B22="", "", VLOOKUP(B22,'API Data Dictionary'!C:D,2,FALSE))</f>
        <v>string</v>
      </c>
      <c r="E22" s="62">
        <f>IF(IF(B22="", "", VLOOKUP(B22,'API Data Dictionary'!C:E,3,FALSE))=0, "", IF(B22="", "", VLOOKUP(B22,'API Data Dictionary'!C:E,3,FALSE)))</f>
        <v>100</v>
      </c>
      <c r="F22" s="62" t="str">
        <f>IF(IF(B22="", "", VLOOKUP(B22,'API Data Dictionary'!C:F,4,FALSE))=0, "", IF(B22="", "", VLOOKUP(B22,'API Data Dictionary'!C:F,4,FALSE)))</f>
        <v/>
      </c>
      <c r="G22" s="62" t="str">
        <f>IF(IF(B22="", "", VLOOKUP(B22,'API Data Dictionary'!C:G,5,FALSE))=0, "", IF(B22="", "", VLOOKUP(B22,'API Data Dictionary'!C:G,5,FALSE)))</f>
        <v>return value, null or success, unless there has been error</v>
      </c>
    </row>
    <row r="23" spans="1:7" x14ac:dyDescent="0.35">
      <c r="A23" s="64" t="s">
        <v>1120</v>
      </c>
      <c r="B23" s="62" t="str">
        <f t="shared" si="1"/>
        <v/>
      </c>
      <c r="C23" s="62" t="str">
        <f>IF(B23="", "", VLOOKUP(B23,'API Data Dictionary'!C:R,16,FALSE))</f>
        <v/>
      </c>
      <c r="D23" s="62" t="str">
        <f>IF(B23="", "", VLOOKUP(B23,'API Data Dictionary'!C:D,2,FALSE))</f>
        <v/>
      </c>
      <c r="E23" s="62" t="str">
        <f>IF(IF(B23="", "", VLOOKUP(B23,'API Data Dictionary'!C:E,3,FALSE))=0, "", IF(B23="", "", VLOOKUP(B23,'API Data Dictionary'!C:E,3,FALSE)))</f>
        <v/>
      </c>
      <c r="F23" s="62" t="str">
        <f>IF(IF(B23="", "", VLOOKUP(B23,'API Data Dictionary'!C:F,4,FALSE))=0, "", IF(B23="", "", VLOOKUP(B23,'API Data Dictionary'!C:F,4,FALSE)))</f>
        <v/>
      </c>
      <c r="G23" s="62" t="str">
        <f>IF(IF(B23="", "", VLOOKUP(B23,'API Data Dictionary'!C:G,5,FALSE))=0, "", IF(B23="", "", VLOOKUP(B23,'API Data Dictionary'!C:G,5,FALSE)))</f>
        <v/>
      </c>
    </row>
    <row r="25" spans="1:7" x14ac:dyDescent="0.35">
      <c r="A25" s="219" t="s">
        <v>1625</v>
      </c>
      <c r="B25" s="220"/>
      <c r="C25" s="220"/>
      <c r="D25" s="220"/>
      <c r="E25" s="220"/>
      <c r="F25" s="220"/>
      <c r="G25" s="220"/>
    </row>
    <row r="26" spans="1:7" x14ac:dyDescent="0.35">
      <c r="A26" s="88" t="s">
        <v>1561</v>
      </c>
      <c r="B26" s="62" t="s">
        <v>1359</v>
      </c>
      <c r="C26" s="89" t="s">
        <v>1359</v>
      </c>
      <c r="D26" s="62" t="s">
        <v>64</v>
      </c>
      <c r="E26" s="89">
        <v>100</v>
      </c>
      <c r="F26" s="89"/>
      <c r="G26" s="89" t="s">
        <v>1562</v>
      </c>
    </row>
    <row r="28" spans="1:7" x14ac:dyDescent="0.35">
      <c r="A28" s="219" t="s">
        <v>1764</v>
      </c>
      <c r="B28" s="220"/>
      <c r="C28" s="220"/>
      <c r="D28" s="220"/>
      <c r="E28" s="220"/>
      <c r="F28" s="220"/>
      <c r="G28" s="220"/>
    </row>
    <row r="29" spans="1:7" x14ac:dyDescent="0.35">
      <c r="A29" s="88" t="s">
        <v>1763</v>
      </c>
      <c r="B29" s="62" t="s">
        <v>1359</v>
      </c>
      <c r="C29" s="89" t="s">
        <v>1359</v>
      </c>
      <c r="D29" s="62" t="s">
        <v>64</v>
      </c>
      <c r="E29" s="89">
        <v>100</v>
      </c>
      <c r="F29" s="89"/>
      <c r="G29" s="89" t="s">
        <v>1765</v>
      </c>
    </row>
    <row r="31" spans="1:7" x14ac:dyDescent="0.35">
      <c r="A31" s="219" t="s">
        <v>1632</v>
      </c>
      <c r="B31" s="219"/>
      <c r="C31" s="219"/>
      <c r="D31" s="219"/>
      <c r="E31" s="219"/>
      <c r="F31" s="219"/>
      <c r="G31" s="223"/>
    </row>
    <row r="32" spans="1:7" x14ac:dyDescent="0.35">
      <c r="A32" s="64" t="s">
        <v>1094</v>
      </c>
      <c r="B32" s="62" t="str">
        <f t="shared" si="1"/>
        <v/>
      </c>
      <c r="C32" s="62" t="str">
        <f>IF(B32="", "", VLOOKUP(B32,'API Data Dictionary'!C:R,16,FALSE))</f>
        <v/>
      </c>
      <c r="D32" s="62" t="str">
        <f>IF(B32="", "", VLOOKUP(B32,'API Data Dictionary'!C:D,2,FALSE))</f>
        <v/>
      </c>
      <c r="E32" s="62" t="str">
        <f>IF(IF(B32="", "", VLOOKUP(B32,'API Data Dictionary'!C:E,3,FALSE))=0, "", IF(B32="", "", VLOOKUP(B32,'API Data Dictionary'!C:E,3,FALSE)))</f>
        <v/>
      </c>
      <c r="F32" s="62" t="str">
        <f>IF(IF(B32="", "", VLOOKUP(B32,'API Data Dictionary'!C:F,4,FALSE))=0, "", IF(B32="", "", VLOOKUP(B32,'API Data Dictionary'!C:F,4,FALSE)))</f>
        <v/>
      </c>
      <c r="G32" s="62" t="str">
        <f>IF(IF(B32="", "", VLOOKUP(B32,'API Data Dictionary'!C:G,5,FALSE))=0, "", IF(B32="", "", VLOOKUP(B32,'API Data Dictionary'!C:G,5,FALSE)))</f>
        <v/>
      </c>
    </row>
    <row r="33" spans="1:7" x14ac:dyDescent="0.35">
      <c r="A33" s="64" t="s">
        <v>1574</v>
      </c>
      <c r="B33" s="62" t="str">
        <f t="shared" si="1"/>
        <v>success</v>
      </c>
      <c r="C33" s="62" t="s">
        <v>68</v>
      </c>
      <c r="D33" s="62" t="str">
        <f>IF(B33="", "", VLOOKUP(B33,'API Data Dictionary'!C:D,2,FALSE))</f>
        <v>string - Boolean</v>
      </c>
      <c r="E33" s="62">
        <f>IF(IF(B33="", "", VLOOKUP(B33,'API Data Dictionary'!C:E,3,FALSE))=0, "", IF(B33="", "", VLOOKUP(B33,'API Data Dictionary'!C:E,3,FALSE)))</f>
        <v>100</v>
      </c>
      <c r="F33" s="62" t="str">
        <f>IF(IF(B33="", "", VLOOKUP(B33,'API Data Dictionary'!C:F,4,FALSE))=0, "", IF(B33="", "", VLOOKUP(B33,'API Data Dictionary'!C:F,4,FALSE)))</f>
        <v/>
      </c>
      <c r="G33" s="62" t="str">
        <f>IF(IF(B33="", "", VLOOKUP(B33,'API Data Dictionary'!C:G,5,FALSE))=0, "", IF(B33="", "", VLOOKUP(B33,'API Data Dictionary'!C:G,5,FALSE)))</f>
        <v>Returns true when successful call/connection</v>
      </c>
    </row>
    <row r="34" spans="1:7" x14ac:dyDescent="0.35">
      <c r="A34" s="64" t="s">
        <v>1630</v>
      </c>
      <c r="B34" s="62" t="str">
        <f t="shared" si="1"/>
        <v/>
      </c>
      <c r="C34" s="62" t="str">
        <f>IF(B34="", "", VLOOKUP(B34,'API Data Dictionary'!C:R,16,FALSE))</f>
        <v/>
      </c>
      <c r="D34" s="62" t="str">
        <f>IF(B34="", "", VLOOKUP(B34,'API Data Dictionary'!C:D,2,FALSE))</f>
        <v/>
      </c>
      <c r="E34" s="62" t="str">
        <f>IF(IF(B34="", "", VLOOKUP(B34,'API Data Dictionary'!C:E,3,FALSE))=0, "", IF(B34="", "", VLOOKUP(B34,'API Data Dictionary'!C:E,3,FALSE)))</f>
        <v/>
      </c>
      <c r="F34" s="62" t="str">
        <f>IF(IF(B34="", "", VLOOKUP(B34,'API Data Dictionary'!C:F,4,FALSE))=0, "", IF(B34="", "", VLOOKUP(B34,'API Data Dictionary'!C:F,4,FALSE)))</f>
        <v/>
      </c>
      <c r="G34" s="62" t="str">
        <f>IF(IF(B34="", "", VLOOKUP(B34,'API Data Dictionary'!C:G,5,FALSE))=0, "", IF(B34="", "", VLOOKUP(B34,'API Data Dictionary'!C:G,5,FALSE)))</f>
        <v/>
      </c>
    </row>
    <row r="35" spans="1:7" x14ac:dyDescent="0.35">
      <c r="A35" s="64" t="s">
        <v>1631</v>
      </c>
      <c r="B35" s="62" t="s">
        <v>1592</v>
      </c>
      <c r="C35" s="62" t="s">
        <v>68</v>
      </c>
      <c r="D35" s="62" t="s">
        <v>64</v>
      </c>
      <c r="E35" s="106" t="s">
        <v>1594</v>
      </c>
      <c r="F35" s="62"/>
      <c r="G35" s="62"/>
    </row>
    <row r="36" spans="1:7" x14ac:dyDescent="0.35">
      <c r="A36" s="64" t="s">
        <v>1120</v>
      </c>
      <c r="B36" s="62"/>
      <c r="C36" s="62" t="str">
        <f>IF(B36="", "", VLOOKUP(B36,'API Data Dictionary'!C:R,16,FALSE))</f>
        <v/>
      </c>
      <c r="D36" s="62" t="str">
        <f>IF(B36="", "", VLOOKUP(B36,'API Data Dictionary'!C:D,2,FALSE))</f>
        <v/>
      </c>
      <c r="E36" s="62" t="str">
        <f>IF(IF(B36="", "", VLOOKUP(B36,'API Data Dictionary'!C:E,3,FALSE))=0, "", IF(B36="", "", VLOOKUP(B36,'API Data Dictionary'!C:E,3,FALSE)))</f>
        <v/>
      </c>
      <c r="F36" s="62" t="str">
        <f>IF(IF(B36="", "", VLOOKUP(B36,'API Data Dictionary'!C:F,4,FALSE))=0, "", IF(B36="", "", VLOOKUP(B36,'API Data Dictionary'!C:F,4,FALSE)))</f>
        <v/>
      </c>
      <c r="G36" s="62" t="str">
        <f>IF(IF(B36="", "", VLOOKUP(B36,'API Data Dictionary'!C:G,5,FALSE))=0, "", IF(B36="", "", VLOOKUP(B36,'API Data Dictionary'!C:G,5,FALSE)))</f>
        <v/>
      </c>
    </row>
    <row r="38" spans="1:7" x14ac:dyDescent="0.35">
      <c r="A38" s="219" t="s">
        <v>1608</v>
      </c>
      <c r="B38" s="219"/>
      <c r="C38" s="219"/>
      <c r="D38" s="219"/>
      <c r="E38" s="219"/>
      <c r="F38" s="219"/>
      <c r="G38" s="223"/>
    </row>
    <row r="39" spans="1:7" x14ac:dyDescent="0.35">
      <c r="A39" s="64" t="s">
        <v>1094</v>
      </c>
      <c r="B39" s="62" t="str">
        <f t="shared" si="1"/>
        <v/>
      </c>
      <c r="C39" s="62" t="str">
        <f>IF(B39="", "", VLOOKUP(B39,'API Data Dictionary'!C:R,16,FALSE))</f>
        <v/>
      </c>
      <c r="D39" s="62" t="str">
        <f>IF(B39="", "", VLOOKUP(B39,'API Data Dictionary'!C:D,2,FALSE))</f>
        <v/>
      </c>
      <c r="E39" s="62" t="str">
        <f>IF(IF(B39="", "", VLOOKUP(B39,'API Data Dictionary'!C:E,3,FALSE))=0, "", IF(B39="", "", VLOOKUP(B39,'API Data Dictionary'!C:E,3,FALSE)))</f>
        <v/>
      </c>
      <c r="F39" s="62" t="str">
        <f>IF(IF(B39="", "", VLOOKUP(B39,'API Data Dictionary'!C:F,4,FALSE))=0, "", IF(B39="", "", VLOOKUP(B39,'API Data Dictionary'!C:F,4,FALSE)))</f>
        <v/>
      </c>
      <c r="G39" s="62" t="str">
        <f>IF(IF(B39="", "", VLOOKUP(B39,'API Data Dictionary'!C:G,5,FALSE))=0, "", IF(B39="", "", VLOOKUP(B39,'API Data Dictionary'!C:G,5,FALSE)))</f>
        <v/>
      </c>
    </row>
    <row r="40" spans="1:7" x14ac:dyDescent="0.35">
      <c r="A40" s="64" t="s">
        <v>1574</v>
      </c>
      <c r="B40" s="62" t="s">
        <v>1354</v>
      </c>
      <c r="C40" s="62" t="s">
        <v>68</v>
      </c>
      <c r="D40" s="62" t="s">
        <v>1357</v>
      </c>
      <c r="E40" s="62">
        <v>100</v>
      </c>
      <c r="F40" s="62" t="s">
        <v>1433</v>
      </c>
      <c r="G40" s="62" t="s">
        <v>1572</v>
      </c>
    </row>
    <row r="41" spans="1:7" x14ac:dyDescent="0.35">
      <c r="A41" s="64" t="s">
        <v>1377</v>
      </c>
      <c r="B41" s="62" t="s">
        <v>1433</v>
      </c>
      <c r="C41" s="62" t="s">
        <v>1433</v>
      </c>
      <c r="D41" s="62" t="s">
        <v>1433</v>
      </c>
      <c r="E41" s="62" t="s">
        <v>1433</v>
      </c>
      <c r="F41" s="62" t="s">
        <v>1433</v>
      </c>
      <c r="G41" s="62" t="s">
        <v>1433</v>
      </c>
    </row>
    <row r="42" spans="1:7" x14ac:dyDescent="0.35">
      <c r="A42" s="64" t="s">
        <v>1564</v>
      </c>
      <c r="B42" s="62" t="s">
        <v>1589</v>
      </c>
      <c r="C42" s="62" t="s">
        <v>68</v>
      </c>
      <c r="D42" s="62" t="s">
        <v>1593</v>
      </c>
      <c r="E42" s="62"/>
      <c r="F42" s="62"/>
      <c r="G42" s="62"/>
    </row>
    <row r="43" spans="1:7" x14ac:dyDescent="0.35">
      <c r="A43" s="64" t="s">
        <v>1573</v>
      </c>
      <c r="B43" s="62" t="s">
        <v>1590</v>
      </c>
      <c r="C43" s="62" t="s">
        <v>68</v>
      </c>
      <c r="D43" s="62" t="s">
        <v>64</v>
      </c>
      <c r="E43" s="106" t="s">
        <v>1594</v>
      </c>
      <c r="F43" s="62"/>
      <c r="G43" s="62"/>
    </row>
    <row r="44" spans="1:7" x14ac:dyDescent="0.35">
      <c r="A44" s="64" t="s">
        <v>1633</v>
      </c>
      <c r="B44" s="62" t="s">
        <v>1591</v>
      </c>
      <c r="C44" s="62" t="s">
        <v>68</v>
      </c>
      <c r="D44" s="62" t="s">
        <v>64</v>
      </c>
      <c r="E44" s="106" t="s">
        <v>1594</v>
      </c>
      <c r="F44" s="62"/>
      <c r="G44" s="62"/>
    </row>
    <row r="45" spans="1:7" x14ac:dyDescent="0.35">
      <c r="A45" s="64" t="s">
        <v>1566</v>
      </c>
      <c r="B45" s="62" t="s">
        <v>1433</v>
      </c>
      <c r="C45" s="62" t="s">
        <v>1433</v>
      </c>
      <c r="D45" s="62" t="s">
        <v>1433</v>
      </c>
      <c r="E45" s="106" t="s">
        <v>1433</v>
      </c>
      <c r="F45" s="62" t="s">
        <v>1433</v>
      </c>
      <c r="G45" s="62" t="s">
        <v>1433</v>
      </c>
    </row>
    <row r="46" spans="1:7" x14ac:dyDescent="0.35">
      <c r="A46" s="64" t="s">
        <v>1413</v>
      </c>
      <c r="B46" s="62" t="s">
        <v>1433</v>
      </c>
      <c r="C46" s="62"/>
      <c r="D46" s="62" t="s">
        <v>1433</v>
      </c>
      <c r="E46" s="106" t="s">
        <v>1433</v>
      </c>
      <c r="F46" s="62" t="s">
        <v>1433</v>
      </c>
      <c r="G46" s="62" t="s">
        <v>1433</v>
      </c>
    </row>
    <row r="47" spans="1:7" x14ac:dyDescent="0.35">
      <c r="A47" s="64" t="s">
        <v>1576</v>
      </c>
      <c r="B47" s="62" t="s">
        <v>1579</v>
      </c>
      <c r="C47" s="62" t="s">
        <v>68</v>
      </c>
      <c r="D47" s="62" t="s">
        <v>64</v>
      </c>
      <c r="E47" s="106" t="s">
        <v>1594</v>
      </c>
      <c r="F47" s="62"/>
      <c r="G47" s="62"/>
    </row>
    <row r="48" spans="1:7" x14ac:dyDescent="0.35">
      <c r="A48" s="64" t="s">
        <v>1577</v>
      </c>
      <c r="B48" s="62" t="s">
        <v>1580</v>
      </c>
      <c r="C48" s="62" t="s">
        <v>68</v>
      </c>
      <c r="D48" s="62" t="s">
        <v>64</v>
      </c>
      <c r="E48" s="106" t="s">
        <v>1594</v>
      </c>
      <c r="F48" s="62"/>
      <c r="G48" s="62"/>
    </row>
    <row r="49" spans="1:7" x14ac:dyDescent="0.35">
      <c r="A49" s="64" t="s">
        <v>1105</v>
      </c>
      <c r="B49" s="62" t="s">
        <v>1433</v>
      </c>
      <c r="C49" s="62" t="s">
        <v>1433</v>
      </c>
      <c r="D49" s="62" t="s">
        <v>1433</v>
      </c>
      <c r="E49" s="106" t="s">
        <v>1433</v>
      </c>
      <c r="F49" s="62" t="s">
        <v>1433</v>
      </c>
      <c r="G49" s="62"/>
    </row>
    <row r="50" spans="1:7" x14ac:dyDescent="0.35">
      <c r="A50" s="64" t="s">
        <v>1578</v>
      </c>
      <c r="B50" s="62" t="s">
        <v>1592</v>
      </c>
      <c r="C50" s="62" t="s">
        <v>68</v>
      </c>
      <c r="D50" s="62" t="s">
        <v>64</v>
      </c>
      <c r="E50" s="106" t="s">
        <v>1594</v>
      </c>
      <c r="F50" s="62"/>
      <c r="G50" s="62"/>
    </row>
    <row r="51" spans="1:7" x14ac:dyDescent="0.35">
      <c r="A51" s="64" t="s">
        <v>1120</v>
      </c>
      <c r="B51" s="62" t="str">
        <f t="shared" si="1"/>
        <v/>
      </c>
      <c r="C51" s="62" t="str">
        <f>IF(B51="", "", VLOOKUP(B51,'API Data Dictionary'!C:R,16,FALSE))</f>
        <v/>
      </c>
      <c r="D51" s="62" t="str">
        <f>IF(B51="", "", VLOOKUP(B51,'API Data Dictionary'!C:D,2,FALSE))</f>
        <v/>
      </c>
      <c r="E51" s="62" t="str">
        <f>IF(IF(B51="", "", VLOOKUP(B51,'API Data Dictionary'!C:E,3,FALSE))=0, "", IF(B51="", "", VLOOKUP(B51,'API Data Dictionary'!C:E,3,FALSE)))</f>
        <v/>
      </c>
      <c r="F51" s="62" t="str">
        <f>IF(IF(B51="", "", VLOOKUP(B51,'API Data Dictionary'!C:F,4,FALSE))=0, "", IF(B51="", "", VLOOKUP(B51,'API Data Dictionary'!C:F,4,FALSE)))</f>
        <v/>
      </c>
      <c r="G51" s="62" t="str">
        <f>IF(IF(B51="", "", VLOOKUP(B51,'API Data Dictionary'!C:G,5,FALSE))=0, "", IF(B51="", "", VLOOKUP(B51,'API Data Dictionary'!C:G,5,FALSE)))</f>
        <v/>
      </c>
    </row>
    <row r="52" spans="1:7" x14ac:dyDescent="0.35">
      <c r="A52" s="85" t="str">
        <f t="shared" ref="A52" si="2">IF(OR(ISNUMBER( SEARCH("{",#REF!)),ISNUMBER( SEARCH("[",#REF!))), "", IFERROR(MID(#REF!, SEARCH("""",#REF!) +1, SEARCH("""",#REF!, SEARCH( """",#REF!) +1) - SEARCH("""",#REF!) -1), ""))</f>
        <v/>
      </c>
      <c r="B52" s="85" t="str">
        <f t="shared" si="1"/>
        <v/>
      </c>
      <c r="C52" s="85" t="str">
        <f>IF(B52="", "", VLOOKUP(B52,'API Data Dictionary'!C:R,16,FALSE))</f>
        <v/>
      </c>
      <c r="D52" s="85" t="str">
        <f>IF(B52="", "", VLOOKUP(B52,'API Data Dictionary'!C:D,2,FALSE))</f>
        <v/>
      </c>
      <c r="E52" s="85" t="str">
        <f>IF(IF(B52="", "", VLOOKUP(B52,'API Data Dictionary'!C:E,3,FALSE))=0, "", IF(B52="", "", VLOOKUP(B52,'API Data Dictionary'!C:E,3,FALSE)))</f>
        <v/>
      </c>
      <c r="F52" s="85" t="str">
        <f>IF(IF(B52="", "", VLOOKUP(B52,'API Data Dictionary'!C:F,4,FALSE))=0, "", IF(B52="", "", VLOOKUP(B52,'API Data Dictionary'!C:F,4,FALSE)))</f>
        <v/>
      </c>
      <c r="G52" s="85" t="str">
        <f>IF(IF(B52="", "", VLOOKUP(B52,'API Data Dictionary'!C:G,5,FALSE))=0, "", IF(B52="", "", VLOOKUP(B52,'API Data Dictionary'!C:G,5,FALSE)))</f>
        <v/>
      </c>
    </row>
    <row r="53" spans="1:7" x14ac:dyDescent="0.35">
      <c r="A53" s="224" t="s">
        <v>1598</v>
      </c>
      <c r="B53" s="224"/>
      <c r="C53" s="224"/>
      <c r="D53" s="224"/>
      <c r="E53" s="224"/>
      <c r="F53" s="224"/>
      <c r="G53" s="224"/>
    </row>
    <row r="54" spans="1:7" x14ac:dyDescent="0.35">
      <c r="A54" s="110" t="s">
        <v>1094</v>
      </c>
      <c r="B54" s="89" t="str">
        <f t="shared" ref="B54:B58" si="3">IF(OR(ISNUMBER(SEARCH("{", A54)),ISNUMBER(SEARCH("[", A54))), "", IFERROR(MID(A54, SEARCH("""", A54) +1, SEARCH("""", A54, SEARCH("""",A54) +1) - SEARCH("""", A54) -1), ""))</f>
        <v/>
      </c>
      <c r="C54" s="89" t="str">
        <f>IF(B54="", "", VLOOKUP(B54,'API Data Dictionary'!C:J,8,FALSE))</f>
        <v/>
      </c>
      <c r="D54" s="89" t="str">
        <f>IF(B54="", "", VLOOKUP(B54,'API Data Dictionary'!C:D,2,FALSE))</f>
        <v/>
      </c>
      <c r="E54" s="89" t="str">
        <f>IF(IF(B54="", "", VLOOKUP(B54,'API Data Dictionary'!C:E,3,FALSE))=0, "", IF(B54="", "", VLOOKUP(B54,'API Data Dictionary'!C:E,3,FALSE)))</f>
        <v/>
      </c>
      <c r="F54" s="89" t="str">
        <f>IF(IF(B54="", "", VLOOKUP(B54,'API Data Dictionary'!C:F,4,FALSE))=0, "", IF(B54="", "", VLOOKUP(B54,'API Data Dictionary'!C:F,4,FALSE)))</f>
        <v/>
      </c>
      <c r="G54" s="89" t="str">
        <f>IF(IF(B54="", "", VLOOKUP(B54,'API Data Dictionary'!C:G,5,FALSE))=0, "", IF(B54="", "", VLOOKUP(B54,'API Data Dictionary'!C:G,5,FALSE)))</f>
        <v/>
      </c>
    </row>
    <row r="55" spans="1:7" x14ac:dyDescent="0.35">
      <c r="A55" s="110" t="s">
        <v>1567</v>
      </c>
      <c r="B55" s="89" t="str">
        <f t="shared" si="3"/>
        <v>success</v>
      </c>
      <c r="C55" s="89" t="s">
        <v>68</v>
      </c>
      <c r="D55" s="89" t="str">
        <f>IF(B55="", "", VLOOKUP(B55,'API Data Dictionary'!C:D,2,FALSE))</f>
        <v>string - Boolean</v>
      </c>
      <c r="E55" s="89">
        <f>IF(IF(B55="", "", VLOOKUP(B55,'API Data Dictionary'!C:E,3,FALSE))=0, "", IF(B55="", "", VLOOKUP(B55,'API Data Dictionary'!C:E,3,FALSE)))</f>
        <v>100</v>
      </c>
      <c r="F55" s="89" t="str">
        <f>IF(IF(B55="", "", VLOOKUP(B55,'API Data Dictionary'!C:F,4,FALSE))=0, "", IF(B55="", "", VLOOKUP(B55,'API Data Dictionary'!C:F,4,FALSE)))</f>
        <v/>
      </c>
      <c r="G55" s="89" t="str">
        <f>IF(IF(B55="", "", VLOOKUP(B55,'API Data Dictionary'!C:G,5,FALSE))=0, "", IF(B55="", "", VLOOKUP(B55,'API Data Dictionary'!C:G,5,FALSE)))</f>
        <v>Returns true when successful call/connection</v>
      </c>
    </row>
    <row r="56" spans="1:7" x14ac:dyDescent="0.35">
      <c r="A56" s="110" t="s">
        <v>1596</v>
      </c>
      <c r="B56" s="89" t="str">
        <f t="shared" si="3"/>
        <v>payload</v>
      </c>
      <c r="C56" s="89" t="s">
        <v>68</v>
      </c>
      <c r="D56" s="89" t="str">
        <f>IF(B56="", "", VLOOKUP(B56,'API Data Dictionary'!C:D,2,FALSE))</f>
        <v>string</v>
      </c>
      <c r="E56" s="89">
        <f>IF(IF(B56="", "", VLOOKUP(B56,'API Data Dictionary'!C:E,3,FALSE))=0, "", IF(B56="", "", VLOOKUP(B56,'API Data Dictionary'!C:E,3,FALSE)))</f>
        <v>100</v>
      </c>
      <c r="F56" s="89" t="str">
        <f>IF(IF(B56="", "", VLOOKUP(B56,'API Data Dictionary'!C:F,4,FALSE))=0, "", IF(B56="", "", VLOOKUP(B56,'API Data Dictionary'!C:F,4,FALSE)))</f>
        <v/>
      </c>
      <c r="G56" s="89" t="str">
        <f>IF(IF(B56="", "", VLOOKUP(B56,'API Data Dictionary'!C:G,5,FALSE))=0, "", IF(B56="", "", VLOOKUP(B56,'API Data Dictionary'!C:G,5,FALSE)))</f>
        <v>Returns healthy when connection has worked properly</v>
      </c>
    </row>
    <row r="57" spans="1:7" x14ac:dyDescent="0.35">
      <c r="A57" s="110" t="s">
        <v>1597</v>
      </c>
      <c r="B57" s="89" t="str">
        <f t="shared" si="3"/>
        <v>message</v>
      </c>
      <c r="C57" s="89" t="s">
        <v>68</v>
      </c>
      <c r="D57" s="89" t="str">
        <f>IF(B57="", "", VLOOKUP(B57,'API Data Dictionary'!C:D,2,FALSE))</f>
        <v>string</v>
      </c>
      <c r="E57" s="89">
        <f>IF(IF(B57="", "", VLOOKUP(B57,'API Data Dictionary'!C:E,3,FALSE))=0, "", IF(B57="", "", VLOOKUP(B57,'API Data Dictionary'!C:E,3,FALSE)))</f>
        <v>100</v>
      </c>
      <c r="F57" s="89" t="str">
        <f>IF(IF(B57="", "", VLOOKUP(B57,'API Data Dictionary'!C:F,4,FALSE))=0, "", IF(B57="", "", VLOOKUP(B57,'API Data Dictionary'!C:F,4,FALSE)))</f>
        <v/>
      </c>
      <c r="G57" s="89" t="str">
        <f>IF(IF(B57="", "", VLOOKUP(B57,'API Data Dictionary'!C:G,5,FALSE))=0, "", IF(B57="", "", VLOOKUP(B57,'API Data Dictionary'!C:G,5,FALSE)))</f>
        <v>return value, null or success, unless there has been error</v>
      </c>
    </row>
    <row r="58" spans="1:7" x14ac:dyDescent="0.35">
      <c r="A58" s="110" t="s">
        <v>1120</v>
      </c>
      <c r="B58" s="89" t="str">
        <f t="shared" si="3"/>
        <v/>
      </c>
      <c r="C58" s="89" t="str">
        <f>IF(B58="", "", VLOOKUP(B58,'API Data Dictionary'!C:J,8,FALSE))</f>
        <v/>
      </c>
      <c r="D58" s="89" t="str">
        <f>IF(B58="", "", VLOOKUP(B58,'API Data Dictionary'!C:D,2,FALSE))</f>
        <v/>
      </c>
      <c r="E58" s="89" t="str">
        <f>IF(IF(B58="", "", VLOOKUP(B58,'API Data Dictionary'!C:E,3,FALSE))=0, "", IF(B58="", "", VLOOKUP(B58,'API Data Dictionary'!C:E,3,FALSE)))</f>
        <v/>
      </c>
      <c r="F58" s="89" t="str">
        <f>IF(IF(B58="", "", VLOOKUP(B58,'API Data Dictionary'!C:F,4,FALSE))=0, "", IF(B58="", "", VLOOKUP(B58,'API Data Dictionary'!C:F,4,FALSE)))</f>
        <v/>
      </c>
      <c r="G58" s="89" t="str">
        <f>IF(IF(B58="", "", VLOOKUP(B58,'API Data Dictionary'!C:G,5,FALSE))=0, "", IF(B58="", "", VLOOKUP(B58,'API Data Dictionary'!C:G,5,FALSE)))</f>
        <v/>
      </c>
    </row>
    <row r="59" spans="1:7" x14ac:dyDescent="0.35">
      <c r="A59" t="str">
        <f t="shared" ref="A59:A116" si="4">IF(OR(ISNUMBER( SEARCH("{",#REF!)),ISNUMBER( SEARCH("[",#REF!))), "", IFERROR(MID(#REF!, SEARCH("""",#REF!) +1, SEARCH("""",#REF!, SEARCH( """",#REF!) +1) - SEARCH("""",#REF!) -1), ""))</f>
        <v/>
      </c>
      <c r="B59" t="str">
        <f t="shared" ref="B59:B117" si="5">IF(OR(ISNUMBER(SEARCH("{", A59)),ISNUMBER(SEARCH("[", A59))), "", IFERROR(MID(A59, SEARCH("""", A59) +1, SEARCH("""", A59, SEARCH("""",A59) +1) - SEARCH("""", A59) -1), ""))</f>
        <v/>
      </c>
      <c r="C59" t="str">
        <f>IF(B59="", "", VLOOKUP(B59,'API Data Dictionary'!C:R,16,FALSE))</f>
        <v/>
      </c>
      <c r="D59" t="str">
        <f>IF(B59="", "", VLOOKUP(B59,'API Data Dictionary'!C:D,2,FALSE))</f>
        <v/>
      </c>
      <c r="E59" t="str">
        <f>IF(IF(B59="", "", VLOOKUP(B59,'API Data Dictionary'!C:E,3,FALSE))=0, "", IF(B59="", "", VLOOKUP(B59,'API Data Dictionary'!C:E,3,FALSE)))</f>
        <v/>
      </c>
      <c r="F59" t="str">
        <f>IF(IF(B59="", "", VLOOKUP(B59,'API Data Dictionary'!C:F,4,FALSE))=0, "", IF(B59="", "", VLOOKUP(B59,'API Data Dictionary'!C:F,4,FALSE)))</f>
        <v/>
      </c>
      <c r="G59" t="str">
        <f>IF(IF(B59="", "", VLOOKUP(B59,'API Data Dictionary'!C:G,5,FALSE))=0, "", IF(B59="", "", VLOOKUP(B59,'API Data Dictionary'!C:G,5,FALSE)))</f>
        <v/>
      </c>
    </row>
    <row r="60" spans="1:7" x14ac:dyDescent="0.35">
      <c r="A60" t="str">
        <f t="shared" si="4"/>
        <v/>
      </c>
      <c r="B60" t="str">
        <f t="shared" si="5"/>
        <v/>
      </c>
      <c r="C60" t="str">
        <f>IF(B60="", "", VLOOKUP(B60,'API Data Dictionary'!C:R,16,FALSE))</f>
        <v/>
      </c>
      <c r="D60" t="str">
        <f>IF(B60="", "", VLOOKUP(B60,'API Data Dictionary'!C:D,2,FALSE))</f>
        <v/>
      </c>
      <c r="E60" t="str">
        <f>IF(IF(B60="", "", VLOOKUP(B60,'API Data Dictionary'!C:E,3,FALSE))=0, "", IF(B60="", "", VLOOKUP(B60,'API Data Dictionary'!C:E,3,FALSE)))</f>
        <v/>
      </c>
      <c r="F60" t="str">
        <f>IF(IF(B60="", "", VLOOKUP(B60,'API Data Dictionary'!C:F,4,FALSE))=0, "", IF(B60="", "", VLOOKUP(B60,'API Data Dictionary'!C:F,4,FALSE)))</f>
        <v/>
      </c>
      <c r="G60" t="str">
        <f>IF(IF(B60="", "", VLOOKUP(B60,'API Data Dictionary'!C:G,5,FALSE))=0, "", IF(B60="", "", VLOOKUP(B60,'API Data Dictionary'!C:G,5,FALSE)))</f>
        <v/>
      </c>
    </row>
    <row r="61" spans="1:7" x14ac:dyDescent="0.35">
      <c r="A61" t="str">
        <f t="shared" si="4"/>
        <v/>
      </c>
      <c r="B61" t="str">
        <f t="shared" si="5"/>
        <v/>
      </c>
      <c r="C61" t="str">
        <f>IF(B61="", "", VLOOKUP(B61,'API Data Dictionary'!C:R,16,FALSE))</f>
        <v/>
      </c>
      <c r="D61" t="str">
        <f>IF(B61="", "", VLOOKUP(B61,'API Data Dictionary'!C:D,2,FALSE))</f>
        <v/>
      </c>
      <c r="E61" t="str">
        <f>IF(IF(B61="", "", VLOOKUP(B61,'API Data Dictionary'!C:E,3,FALSE))=0, "", IF(B61="", "", VLOOKUP(B61,'API Data Dictionary'!C:E,3,FALSE)))</f>
        <v/>
      </c>
      <c r="F61" t="str">
        <f>IF(IF(B61="", "", VLOOKUP(B61,'API Data Dictionary'!C:F,4,FALSE))=0, "", IF(B61="", "", VLOOKUP(B61,'API Data Dictionary'!C:F,4,FALSE)))</f>
        <v/>
      </c>
      <c r="G61" t="str">
        <f>IF(IF(B61="", "", VLOOKUP(B61,'API Data Dictionary'!C:G,5,FALSE))=0, "", IF(B61="", "", VLOOKUP(B61,'API Data Dictionary'!C:G,5,FALSE)))</f>
        <v/>
      </c>
    </row>
    <row r="62" spans="1:7" x14ac:dyDescent="0.35">
      <c r="A62" t="str">
        <f t="shared" si="4"/>
        <v/>
      </c>
      <c r="B62" t="str">
        <f t="shared" si="5"/>
        <v/>
      </c>
      <c r="C62" t="str">
        <f>IF(B62="", "", VLOOKUP(B62,'API Data Dictionary'!C:R,16,FALSE))</f>
        <v/>
      </c>
      <c r="D62" t="str">
        <f>IF(B62="", "", VLOOKUP(B62,'API Data Dictionary'!C:D,2,FALSE))</f>
        <v/>
      </c>
      <c r="E62" t="str">
        <f>IF(IF(B62="", "", VLOOKUP(B62,'API Data Dictionary'!C:E,3,FALSE))=0, "", IF(B62="", "", VLOOKUP(B62,'API Data Dictionary'!C:E,3,FALSE)))</f>
        <v/>
      </c>
      <c r="F62" t="str">
        <f>IF(IF(B62="", "", VLOOKUP(B62,'API Data Dictionary'!C:F,4,FALSE))=0, "", IF(B62="", "", VLOOKUP(B62,'API Data Dictionary'!C:F,4,FALSE)))</f>
        <v/>
      </c>
      <c r="G62" t="str">
        <f>IF(IF(B62="", "", VLOOKUP(B62,'API Data Dictionary'!C:G,5,FALSE))=0, "", IF(B62="", "", VLOOKUP(B62,'API Data Dictionary'!C:G,5,FALSE)))</f>
        <v/>
      </c>
    </row>
    <row r="63" spans="1:7" x14ac:dyDescent="0.35">
      <c r="A63" t="str">
        <f t="shared" si="4"/>
        <v/>
      </c>
      <c r="B63" t="str">
        <f t="shared" si="5"/>
        <v/>
      </c>
      <c r="C63" t="str">
        <f>IF(B63="", "", VLOOKUP(B63,'API Data Dictionary'!C:R,16,FALSE))</f>
        <v/>
      </c>
      <c r="D63" t="str">
        <f>IF(B63="", "", VLOOKUP(B63,'API Data Dictionary'!C:D,2,FALSE))</f>
        <v/>
      </c>
      <c r="E63" t="str">
        <f>IF(IF(B63="", "", VLOOKUP(B63,'API Data Dictionary'!C:E,3,FALSE))=0, "", IF(B63="", "", VLOOKUP(B63,'API Data Dictionary'!C:E,3,FALSE)))</f>
        <v/>
      </c>
      <c r="F63" t="str">
        <f>IF(IF(B63="", "", VLOOKUP(B63,'API Data Dictionary'!C:F,4,FALSE))=0, "", IF(B63="", "", VLOOKUP(B63,'API Data Dictionary'!C:F,4,FALSE)))</f>
        <v/>
      </c>
      <c r="G63" t="str">
        <f>IF(IF(B63="", "", VLOOKUP(B63,'API Data Dictionary'!C:G,5,FALSE))=0, "", IF(B63="", "", VLOOKUP(B63,'API Data Dictionary'!C:G,5,FALSE)))</f>
        <v/>
      </c>
    </row>
    <row r="64" spans="1:7" x14ac:dyDescent="0.35">
      <c r="A64" t="str">
        <f t="shared" si="4"/>
        <v/>
      </c>
      <c r="B64" t="str">
        <f t="shared" si="5"/>
        <v/>
      </c>
      <c r="C64" t="str">
        <f>IF(B64="", "", VLOOKUP(B64,'API Data Dictionary'!C:R,16,FALSE))</f>
        <v/>
      </c>
      <c r="D64" t="str">
        <f>IF(B64="", "", VLOOKUP(B64,'API Data Dictionary'!C:D,2,FALSE))</f>
        <v/>
      </c>
      <c r="E64" t="str">
        <f>IF(IF(B64="", "", VLOOKUP(B64,'API Data Dictionary'!C:E,3,FALSE))=0, "", IF(B64="", "", VLOOKUP(B64,'API Data Dictionary'!C:E,3,FALSE)))</f>
        <v/>
      </c>
      <c r="F64" t="str">
        <f>IF(IF(B64="", "", VLOOKUP(B64,'API Data Dictionary'!C:F,4,FALSE))=0, "", IF(B64="", "", VLOOKUP(B64,'API Data Dictionary'!C:F,4,FALSE)))</f>
        <v/>
      </c>
      <c r="G64" t="str">
        <f>IF(IF(B64="", "", VLOOKUP(B64,'API Data Dictionary'!C:G,5,FALSE))=0, "", IF(B64="", "", VLOOKUP(B64,'API Data Dictionary'!C:G,5,FALSE)))</f>
        <v/>
      </c>
    </row>
    <row r="65" spans="1:7" x14ac:dyDescent="0.35">
      <c r="A65" t="str">
        <f t="shared" si="4"/>
        <v/>
      </c>
      <c r="B65" t="str">
        <f t="shared" si="5"/>
        <v/>
      </c>
      <c r="C65" t="str">
        <f>IF(B65="", "", VLOOKUP(B65,'API Data Dictionary'!C:R,16,FALSE))</f>
        <v/>
      </c>
      <c r="D65" t="str">
        <f>IF(B65="", "", VLOOKUP(B65,'API Data Dictionary'!C:D,2,FALSE))</f>
        <v/>
      </c>
      <c r="E65" t="str">
        <f>IF(IF(B65="", "", VLOOKUP(B65,'API Data Dictionary'!C:E,3,FALSE))=0, "", IF(B65="", "", VLOOKUP(B65,'API Data Dictionary'!C:E,3,FALSE)))</f>
        <v/>
      </c>
      <c r="F65" t="str">
        <f>IF(IF(B65="", "", VLOOKUP(B65,'API Data Dictionary'!C:F,4,FALSE))=0, "", IF(B65="", "", VLOOKUP(B65,'API Data Dictionary'!C:F,4,FALSE)))</f>
        <v/>
      </c>
      <c r="G65" t="str">
        <f>IF(IF(B65="", "", VLOOKUP(B65,'API Data Dictionary'!C:G,5,FALSE))=0, "", IF(B65="", "", VLOOKUP(B65,'API Data Dictionary'!C:G,5,FALSE)))</f>
        <v/>
      </c>
    </row>
    <row r="66" spans="1:7" x14ac:dyDescent="0.35">
      <c r="A66" t="str">
        <f t="shared" si="4"/>
        <v/>
      </c>
      <c r="B66" t="str">
        <f t="shared" si="5"/>
        <v/>
      </c>
      <c r="C66" t="str">
        <f>IF(B66="", "", VLOOKUP(B66,'API Data Dictionary'!C:R,16,FALSE))</f>
        <v/>
      </c>
      <c r="D66" t="str">
        <f>IF(B66="", "", VLOOKUP(B66,'API Data Dictionary'!C:D,2,FALSE))</f>
        <v/>
      </c>
      <c r="E66" t="str">
        <f>IF(IF(B66="", "", VLOOKUP(B66,'API Data Dictionary'!C:E,3,FALSE))=0, "", IF(B66="", "", VLOOKUP(B66,'API Data Dictionary'!C:E,3,FALSE)))</f>
        <v/>
      </c>
      <c r="F66" t="str">
        <f>IF(IF(B66="", "", VLOOKUP(B66,'API Data Dictionary'!C:F,4,FALSE))=0, "", IF(B66="", "", VLOOKUP(B66,'API Data Dictionary'!C:F,4,FALSE)))</f>
        <v/>
      </c>
      <c r="G66" t="str">
        <f>IF(IF(B66="", "", VLOOKUP(B66,'API Data Dictionary'!C:G,5,FALSE))=0, "", IF(B66="", "", VLOOKUP(B66,'API Data Dictionary'!C:G,5,FALSE)))</f>
        <v/>
      </c>
    </row>
    <row r="67" spans="1:7" x14ac:dyDescent="0.35">
      <c r="A67" t="str">
        <f t="shared" si="4"/>
        <v/>
      </c>
      <c r="B67" t="str">
        <f t="shared" si="5"/>
        <v/>
      </c>
      <c r="C67" t="str">
        <f>IF(B67="", "", VLOOKUP(B67,'API Data Dictionary'!C:R,16,FALSE))</f>
        <v/>
      </c>
      <c r="D67" t="str">
        <f>IF(B67="", "", VLOOKUP(B67,'API Data Dictionary'!C:D,2,FALSE))</f>
        <v/>
      </c>
      <c r="E67" t="str">
        <f>IF(IF(B67="", "", VLOOKUP(B67,'API Data Dictionary'!C:E,3,FALSE))=0, "", IF(B67="", "", VLOOKUP(B67,'API Data Dictionary'!C:E,3,FALSE)))</f>
        <v/>
      </c>
      <c r="F67" t="str">
        <f>IF(IF(B67="", "", VLOOKUP(B67,'API Data Dictionary'!C:F,4,FALSE))=0, "", IF(B67="", "", VLOOKUP(B67,'API Data Dictionary'!C:F,4,FALSE)))</f>
        <v/>
      </c>
      <c r="G67" t="str">
        <f>IF(IF(B67="", "", VLOOKUP(B67,'API Data Dictionary'!C:G,5,FALSE))=0, "", IF(B67="", "", VLOOKUP(B67,'API Data Dictionary'!C:G,5,FALSE)))</f>
        <v/>
      </c>
    </row>
    <row r="68" spans="1:7" x14ac:dyDescent="0.35">
      <c r="A68" t="str">
        <f t="shared" si="4"/>
        <v/>
      </c>
      <c r="B68" t="str">
        <f t="shared" si="5"/>
        <v/>
      </c>
      <c r="C68" t="str">
        <f>IF(B68="", "", VLOOKUP(B68,'API Data Dictionary'!C:R,16,FALSE))</f>
        <v/>
      </c>
      <c r="D68" t="str">
        <f>IF(B68="", "", VLOOKUP(B68,'API Data Dictionary'!C:D,2,FALSE))</f>
        <v/>
      </c>
      <c r="E68" t="str">
        <f>IF(IF(B68="", "", VLOOKUP(B68,'API Data Dictionary'!C:E,3,FALSE))=0, "", IF(B68="", "", VLOOKUP(B68,'API Data Dictionary'!C:E,3,FALSE)))</f>
        <v/>
      </c>
      <c r="F68" t="str">
        <f>IF(IF(B68="", "", VLOOKUP(B68,'API Data Dictionary'!C:F,4,FALSE))=0, "", IF(B68="", "", VLOOKUP(B68,'API Data Dictionary'!C:F,4,FALSE)))</f>
        <v/>
      </c>
      <c r="G68" t="str">
        <f>IF(IF(B68="", "", VLOOKUP(B68,'API Data Dictionary'!C:G,5,FALSE))=0, "", IF(B68="", "", VLOOKUP(B68,'API Data Dictionary'!C:G,5,FALSE)))</f>
        <v/>
      </c>
    </row>
    <row r="69" spans="1:7" x14ac:dyDescent="0.35">
      <c r="A69" t="str">
        <f t="shared" si="4"/>
        <v/>
      </c>
      <c r="B69" t="str">
        <f t="shared" si="5"/>
        <v/>
      </c>
      <c r="C69" t="str">
        <f>IF(B69="", "", VLOOKUP(B69,'API Data Dictionary'!C:R,16,FALSE))</f>
        <v/>
      </c>
      <c r="D69" t="str">
        <f>IF(B69="", "", VLOOKUP(B69,'API Data Dictionary'!C:D,2,FALSE))</f>
        <v/>
      </c>
      <c r="E69" t="str">
        <f>IF(IF(B69="", "", VLOOKUP(B69,'API Data Dictionary'!C:E,3,FALSE))=0, "", IF(B69="", "", VLOOKUP(B69,'API Data Dictionary'!C:E,3,FALSE)))</f>
        <v/>
      </c>
      <c r="F69" t="str">
        <f>IF(IF(B69="", "", VLOOKUP(B69,'API Data Dictionary'!C:F,4,FALSE))=0, "", IF(B69="", "", VLOOKUP(B69,'API Data Dictionary'!C:F,4,FALSE)))</f>
        <v/>
      </c>
      <c r="G69" t="str">
        <f>IF(IF(B69="", "", VLOOKUP(B69,'API Data Dictionary'!C:G,5,FALSE))=0, "", IF(B69="", "", VLOOKUP(B69,'API Data Dictionary'!C:G,5,FALSE)))</f>
        <v/>
      </c>
    </row>
    <row r="70" spans="1:7" x14ac:dyDescent="0.35">
      <c r="A70" t="str">
        <f t="shared" si="4"/>
        <v/>
      </c>
      <c r="B70" t="str">
        <f t="shared" si="5"/>
        <v/>
      </c>
      <c r="C70" t="str">
        <f>IF(B70="", "", VLOOKUP(B70,'API Data Dictionary'!C:R,16,FALSE))</f>
        <v/>
      </c>
      <c r="D70" t="str">
        <f>IF(B70="", "", VLOOKUP(B70,'API Data Dictionary'!C:D,2,FALSE))</f>
        <v/>
      </c>
      <c r="E70" t="str">
        <f>IF(IF(B70="", "", VLOOKUP(B70,'API Data Dictionary'!C:E,3,FALSE))=0, "", IF(B70="", "", VLOOKUP(B70,'API Data Dictionary'!C:E,3,FALSE)))</f>
        <v/>
      </c>
      <c r="F70" t="str">
        <f>IF(IF(B70="", "", VLOOKUP(B70,'API Data Dictionary'!C:F,4,FALSE))=0, "", IF(B70="", "", VLOOKUP(B70,'API Data Dictionary'!C:F,4,FALSE)))</f>
        <v/>
      </c>
      <c r="G70" t="str">
        <f>IF(IF(B70="", "", VLOOKUP(B70,'API Data Dictionary'!C:G,5,FALSE))=0, "", IF(B70="", "", VLOOKUP(B70,'API Data Dictionary'!C:G,5,FALSE)))</f>
        <v/>
      </c>
    </row>
    <row r="71" spans="1:7" x14ac:dyDescent="0.35">
      <c r="A71" t="str">
        <f t="shared" si="4"/>
        <v/>
      </c>
      <c r="B71" t="str">
        <f t="shared" si="5"/>
        <v/>
      </c>
      <c r="C71" t="str">
        <f>IF(B71="", "", VLOOKUP(B71,'API Data Dictionary'!C:R,16,FALSE))</f>
        <v/>
      </c>
      <c r="D71" t="str">
        <f>IF(B71="", "", VLOOKUP(B71,'API Data Dictionary'!C:D,2,FALSE))</f>
        <v/>
      </c>
      <c r="E71" t="str">
        <f>IF(IF(B71="", "", VLOOKUP(B71,'API Data Dictionary'!C:E,3,FALSE))=0, "", IF(B71="", "", VLOOKUP(B71,'API Data Dictionary'!C:E,3,FALSE)))</f>
        <v/>
      </c>
      <c r="F71" t="str">
        <f>IF(IF(B71="", "", VLOOKUP(B71,'API Data Dictionary'!C:F,4,FALSE))=0, "", IF(B71="", "", VLOOKUP(B71,'API Data Dictionary'!C:F,4,FALSE)))</f>
        <v/>
      </c>
      <c r="G71" t="str">
        <f>IF(IF(B71="", "", VLOOKUP(B71,'API Data Dictionary'!C:G,5,FALSE))=0, "", IF(B71="", "", VLOOKUP(B71,'API Data Dictionary'!C:G,5,FALSE)))</f>
        <v/>
      </c>
    </row>
    <row r="72" spans="1:7" x14ac:dyDescent="0.35">
      <c r="A72" t="str">
        <f t="shared" si="4"/>
        <v/>
      </c>
      <c r="B72" t="str">
        <f t="shared" si="5"/>
        <v/>
      </c>
      <c r="C72" t="str">
        <f>IF(B72="", "", VLOOKUP(B72,'API Data Dictionary'!C:R,16,FALSE))</f>
        <v/>
      </c>
      <c r="D72" t="str">
        <f>IF(B72="", "", VLOOKUP(B72,'API Data Dictionary'!C:D,2,FALSE))</f>
        <v/>
      </c>
      <c r="E72" t="str">
        <f>IF(IF(B72="", "", VLOOKUP(B72,'API Data Dictionary'!C:E,3,FALSE))=0, "", IF(B72="", "", VLOOKUP(B72,'API Data Dictionary'!C:E,3,FALSE)))</f>
        <v/>
      </c>
      <c r="F72" t="str">
        <f>IF(IF(B72="", "", VLOOKUP(B72,'API Data Dictionary'!C:F,4,FALSE))=0, "", IF(B72="", "", VLOOKUP(B72,'API Data Dictionary'!C:F,4,FALSE)))</f>
        <v/>
      </c>
      <c r="G72" t="str">
        <f>IF(IF(B72="", "", VLOOKUP(B72,'API Data Dictionary'!C:G,5,FALSE))=0, "", IF(B72="", "", VLOOKUP(B72,'API Data Dictionary'!C:G,5,FALSE)))</f>
        <v/>
      </c>
    </row>
    <row r="73" spans="1:7" x14ac:dyDescent="0.35">
      <c r="A73" t="str">
        <f t="shared" si="4"/>
        <v/>
      </c>
      <c r="B73" t="str">
        <f t="shared" si="5"/>
        <v/>
      </c>
      <c r="C73" t="str">
        <f>IF(B73="", "", VLOOKUP(B73,'API Data Dictionary'!C:R,16,FALSE))</f>
        <v/>
      </c>
      <c r="D73" t="str">
        <f>IF(B73="", "", VLOOKUP(B73,'API Data Dictionary'!C:D,2,FALSE))</f>
        <v/>
      </c>
      <c r="E73" t="str">
        <f>IF(IF(B73="", "", VLOOKUP(B73,'API Data Dictionary'!C:E,3,FALSE))=0, "", IF(B73="", "", VLOOKUP(B73,'API Data Dictionary'!C:E,3,FALSE)))</f>
        <v/>
      </c>
      <c r="F73" t="str">
        <f>IF(IF(B73="", "", VLOOKUP(B73,'API Data Dictionary'!C:F,4,FALSE))=0, "", IF(B73="", "", VLOOKUP(B73,'API Data Dictionary'!C:F,4,FALSE)))</f>
        <v/>
      </c>
      <c r="G73" t="str">
        <f>IF(IF(B73="", "", VLOOKUP(B73,'API Data Dictionary'!C:G,5,FALSE))=0, "", IF(B73="", "", VLOOKUP(B73,'API Data Dictionary'!C:G,5,FALSE)))</f>
        <v/>
      </c>
    </row>
    <row r="74" spans="1:7" x14ac:dyDescent="0.35">
      <c r="A74" t="str">
        <f t="shared" si="4"/>
        <v/>
      </c>
      <c r="B74" t="str">
        <f t="shared" si="5"/>
        <v/>
      </c>
      <c r="C74" t="str">
        <f>IF(B74="", "", VLOOKUP(B74,'API Data Dictionary'!C:R,16,FALSE))</f>
        <v/>
      </c>
      <c r="D74" t="str">
        <f>IF(B74="", "", VLOOKUP(B74,'API Data Dictionary'!C:D,2,FALSE))</f>
        <v/>
      </c>
      <c r="E74" t="str">
        <f>IF(IF(B74="", "", VLOOKUP(B74,'API Data Dictionary'!C:E,3,FALSE))=0, "", IF(B74="", "", VLOOKUP(B74,'API Data Dictionary'!C:E,3,FALSE)))</f>
        <v/>
      </c>
      <c r="F74" t="str">
        <f>IF(IF(B74="", "", VLOOKUP(B74,'API Data Dictionary'!C:F,4,FALSE))=0, "", IF(B74="", "", VLOOKUP(B74,'API Data Dictionary'!C:F,4,FALSE)))</f>
        <v/>
      </c>
      <c r="G74" t="str">
        <f>IF(IF(B74="", "", VLOOKUP(B74,'API Data Dictionary'!C:G,5,FALSE))=0, "", IF(B74="", "", VLOOKUP(B74,'API Data Dictionary'!C:G,5,FALSE)))</f>
        <v/>
      </c>
    </row>
    <row r="75" spans="1:7" x14ac:dyDescent="0.35">
      <c r="A75" t="str">
        <f t="shared" si="4"/>
        <v/>
      </c>
      <c r="B75" t="str">
        <f t="shared" si="5"/>
        <v/>
      </c>
      <c r="C75" t="str">
        <f>IF(B75="", "", VLOOKUP(B75,'API Data Dictionary'!C:R,16,FALSE))</f>
        <v/>
      </c>
      <c r="D75" t="str">
        <f>IF(B75="", "", VLOOKUP(B75,'API Data Dictionary'!C:D,2,FALSE))</f>
        <v/>
      </c>
      <c r="E75" t="str">
        <f>IF(IF(B75="", "", VLOOKUP(B75,'API Data Dictionary'!C:E,3,FALSE))=0, "", IF(B75="", "", VLOOKUP(B75,'API Data Dictionary'!C:E,3,FALSE)))</f>
        <v/>
      </c>
      <c r="F75" t="str">
        <f>IF(IF(B75="", "", VLOOKUP(B75,'API Data Dictionary'!C:F,4,FALSE))=0, "", IF(B75="", "", VLOOKUP(B75,'API Data Dictionary'!C:F,4,FALSE)))</f>
        <v/>
      </c>
      <c r="G75" t="str">
        <f>IF(IF(B75="", "", VLOOKUP(B75,'API Data Dictionary'!C:G,5,FALSE))=0, "", IF(B75="", "", VLOOKUP(B75,'API Data Dictionary'!C:G,5,FALSE)))</f>
        <v/>
      </c>
    </row>
    <row r="76" spans="1:7" x14ac:dyDescent="0.35">
      <c r="A76" t="str">
        <f t="shared" si="4"/>
        <v/>
      </c>
      <c r="B76" t="str">
        <f t="shared" si="5"/>
        <v/>
      </c>
      <c r="C76" t="str">
        <f>IF(B76="", "", VLOOKUP(B76,'API Data Dictionary'!C:R,16,FALSE))</f>
        <v/>
      </c>
      <c r="D76" t="str">
        <f>IF(B76="", "", VLOOKUP(B76,'API Data Dictionary'!C:D,2,FALSE))</f>
        <v/>
      </c>
      <c r="E76" t="str">
        <f>IF(IF(B76="", "", VLOOKUP(B76,'API Data Dictionary'!C:E,3,FALSE))=0, "", IF(B76="", "", VLOOKUP(B76,'API Data Dictionary'!C:E,3,FALSE)))</f>
        <v/>
      </c>
      <c r="F76" t="str">
        <f>IF(IF(B76="", "", VLOOKUP(B76,'API Data Dictionary'!C:F,4,FALSE))=0, "", IF(B76="", "", VLOOKUP(B76,'API Data Dictionary'!C:F,4,FALSE)))</f>
        <v/>
      </c>
      <c r="G76" t="str">
        <f>IF(IF(B76="", "", VLOOKUP(B76,'API Data Dictionary'!C:G,5,FALSE))=0, "", IF(B76="", "", VLOOKUP(B76,'API Data Dictionary'!C:G,5,FALSE)))</f>
        <v/>
      </c>
    </row>
    <row r="77" spans="1:7" x14ac:dyDescent="0.35">
      <c r="A77" t="str">
        <f t="shared" si="4"/>
        <v/>
      </c>
      <c r="B77" t="str">
        <f t="shared" si="5"/>
        <v/>
      </c>
      <c r="C77" t="str">
        <f>IF(B77="", "", VLOOKUP(B77,'API Data Dictionary'!C:R,16,FALSE))</f>
        <v/>
      </c>
      <c r="D77" t="str">
        <f>IF(B77="", "", VLOOKUP(B77,'API Data Dictionary'!C:D,2,FALSE))</f>
        <v/>
      </c>
      <c r="E77" t="str">
        <f>IF(IF(B77="", "", VLOOKUP(B77,'API Data Dictionary'!C:E,3,FALSE))=0, "", IF(B77="", "", VLOOKUP(B77,'API Data Dictionary'!C:E,3,FALSE)))</f>
        <v/>
      </c>
      <c r="F77" t="str">
        <f>IF(IF(B77="", "", VLOOKUP(B77,'API Data Dictionary'!C:F,4,FALSE))=0, "", IF(B77="", "", VLOOKUP(B77,'API Data Dictionary'!C:F,4,FALSE)))</f>
        <v/>
      </c>
      <c r="G77" t="str">
        <f>IF(IF(B77="", "", VLOOKUP(B77,'API Data Dictionary'!C:G,5,FALSE))=0, "", IF(B77="", "", VLOOKUP(B77,'API Data Dictionary'!C:G,5,FALSE)))</f>
        <v/>
      </c>
    </row>
    <row r="78" spans="1:7" x14ac:dyDescent="0.35">
      <c r="A78" t="str">
        <f t="shared" si="4"/>
        <v/>
      </c>
      <c r="B78" t="str">
        <f t="shared" si="5"/>
        <v/>
      </c>
      <c r="C78" t="str">
        <f>IF(B78="", "", VLOOKUP(B78,'API Data Dictionary'!C:R,16,FALSE))</f>
        <v/>
      </c>
      <c r="D78" t="str">
        <f>IF(B78="", "", VLOOKUP(B78,'API Data Dictionary'!C:D,2,FALSE))</f>
        <v/>
      </c>
      <c r="E78" t="str">
        <f>IF(IF(B78="", "", VLOOKUP(B78,'API Data Dictionary'!C:E,3,FALSE))=0, "", IF(B78="", "", VLOOKUP(B78,'API Data Dictionary'!C:E,3,FALSE)))</f>
        <v/>
      </c>
      <c r="F78" t="str">
        <f>IF(IF(B78="", "", VLOOKUP(B78,'API Data Dictionary'!C:F,4,FALSE))=0, "", IF(B78="", "", VLOOKUP(B78,'API Data Dictionary'!C:F,4,FALSE)))</f>
        <v/>
      </c>
      <c r="G78" t="str">
        <f>IF(IF(B78="", "", VLOOKUP(B78,'API Data Dictionary'!C:G,5,FALSE))=0, "", IF(B78="", "", VLOOKUP(B78,'API Data Dictionary'!C:G,5,FALSE)))</f>
        <v/>
      </c>
    </row>
    <row r="79" spans="1:7" x14ac:dyDescent="0.35">
      <c r="A79" t="str">
        <f t="shared" si="4"/>
        <v/>
      </c>
      <c r="B79" t="str">
        <f t="shared" si="5"/>
        <v/>
      </c>
      <c r="C79" t="str">
        <f>IF(B79="", "", VLOOKUP(B79,'API Data Dictionary'!C:R,16,FALSE))</f>
        <v/>
      </c>
      <c r="D79" t="str">
        <f>IF(B79="", "", VLOOKUP(B79,'API Data Dictionary'!C:D,2,FALSE))</f>
        <v/>
      </c>
      <c r="E79" t="str">
        <f>IF(IF(B79="", "", VLOOKUP(B79,'API Data Dictionary'!C:E,3,FALSE))=0, "", IF(B79="", "", VLOOKUP(B79,'API Data Dictionary'!C:E,3,FALSE)))</f>
        <v/>
      </c>
      <c r="F79" t="str">
        <f>IF(IF(B79="", "", VLOOKUP(B79,'API Data Dictionary'!C:F,4,FALSE))=0, "", IF(B79="", "", VLOOKUP(B79,'API Data Dictionary'!C:F,4,FALSE)))</f>
        <v/>
      </c>
      <c r="G79" t="str">
        <f>IF(IF(B79="", "", VLOOKUP(B79,'API Data Dictionary'!C:G,5,FALSE))=0, "", IF(B79="", "", VLOOKUP(B79,'API Data Dictionary'!C:G,5,FALSE)))</f>
        <v/>
      </c>
    </row>
    <row r="80" spans="1:7" x14ac:dyDescent="0.35">
      <c r="A80" t="str">
        <f t="shared" si="4"/>
        <v/>
      </c>
      <c r="B80" t="str">
        <f t="shared" si="5"/>
        <v/>
      </c>
      <c r="C80" t="str">
        <f>IF(B80="", "", VLOOKUP(B80,'API Data Dictionary'!C:R,16,FALSE))</f>
        <v/>
      </c>
      <c r="D80" t="str">
        <f>IF(B80="", "", VLOOKUP(B80,'API Data Dictionary'!C:D,2,FALSE))</f>
        <v/>
      </c>
      <c r="E80" t="str">
        <f>IF(IF(B80="", "", VLOOKUP(B80,'API Data Dictionary'!C:E,3,FALSE))=0, "", IF(B80="", "", VLOOKUP(B80,'API Data Dictionary'!C:E,3,FALSE)))</f>
        <v/>
      </c>
      <c r="F80" t="str">
        <f>IF(IF(B80="", "", VLOOKUP(B80,'API Data Dictionary'!C:F,4,FALSE))=0, "", IF(B80="", "", VLOOKUP(B80,'API Data Dictionary'!C:F,4,FALSE)))</f>
        <v/>
      </c>
      <c r="G80" t="str">
        <f>IF(IF(B80="", "", VLOOKUP(B80,'API Data Dictionary'!C:G,5,FALSE))=0, "", IF(B80="", "", VLOOKUP(B80,'API Data Dictionary'!C:G,5,FALSE)))</f>
        <v/>
      </c>
    </row>
    <row r="81" spans="1:7" x14ac:dyDescent="0.35">
      <c r="A81" t="str">
        <f t="shared" si="4"/>
        <v/>
      </c>
      <c r="B81" t="str">
        <f t="shared" si="5"/>
        <v/>
      </c>
      <c r="C81" t="str">
        <f>IF(B81="", "", VLOOKUP(B81,'API Data Dictionary'!C:R,16,FALSE))</f>
        <v/>
      </c>
      <c r="D81" t="str">
        <f>IF(B81="", "", VLOOKUP(B81,'API Data Dictionary'!C:D,2,FALSE))</f>
        <v/>
      </c>
      <c r="E81" t="str">
        <f>IF(IF(B81="", "", VLOOKUP(B81,'API Data Dictionary'!C:E,3,FALSE))=0, "", IF(B81="", "", VLOOKUP(B81,'API Data Dictionary'!C:E,3,FALSE)))</f>
        <v/>
      </c>
      <c r="F81" t="str">
        <f>IF(IF(B81="", "", VLOOKUP(B81,'API Data Dictionary'!C:F,4,FALSE))=0, "", IF(B81="", "", VLOOKUP(B81,'API Data Dictionary'!C:F,4,FALSE)))</f>
        <v/>
      </c>
      <c r="G81" t="str">
        <f>IF(IF(B81="", "", VLOOKUP(B81,'API Data Dictionary'!C:G,5,FALSE))=0, "", IF(B81="", "", VLOOKUP(B81,'API Data Dictionary'!C:G,5,FALSE)))</f>
        <v/>
      </c>
    </row>
    <row r="82" spans="1:7" x14ac:dyDescent="0.35">
      <c r="A82" t="str">
        <f t="shared" si="4"/>
        <v/>
      </c>
      <c r="B82" t="str">
        <f t="shared" si="5"/>
        <v/>
      </c>
      <c r="C82" t="str">
        <f>IF(B82="", "", VLOOKUP(B82,'API Data Dictionary'!C:R,16,FALSE))</f>
        <v/>
      </c>
      <c r="D82" t="str">
        <f>IF(B82="", "", VLOOKUP(B82,'API Data Dictionary'!C:D,2,FALSE))</f>
        <v/>
      </c>
      <c r="E82" t="str">
        <f>IF(IF(B82="", "", VLOOKUP(B82,'API Data Dictionary'!C:E,3,FALSE))=0, "", IF(B82="", "", VLOOKUP(B82,'API Data Dictionary'!C:E,3,FALSE)))</f>
        <v/>
      </c>
      <c r="F82" t="str">
        <f>IF(IF(B82="", "", VLOOKUP(B82,'API Data Dictionary'!C:F,4,FALSE))=0, "", IF(B82="", "", VLOOKUP(B82,'API Data Dictionary'!C:F,4,FALSE)))</f>
        <v/>
      </c>
      <c r="G82" t="str">
        <f>IF(IF(B82="", "", VLOOKUP(B82,'API Data Dictionary'!C:G,5,FALSE))=0, "", IF(B82="", "", VLOOKUP(B82,'API Data Dictionary'!C:G,5,FALSE)))</f>
        <v/>
      </c>
    </row>
    <row r="83" spans="1:7" x14ac:dyDescent="0.35">
      <c r="A83" t="str">
        <f t="shared" si="4"/>
        <v/>
      </c>
      <c r="B83" t="str">
        <f t="shared" si="5"/>
        <v/>
      </c>
      <c r="C83" t="str">
        <f>IF(B83="", "", VLOOKUP(B83,'API Data Dictionary'!C:R,16,FALSE))</f>
        <v/>
      </c>
      <c r="D83" t="str">
        <f>IF(B83="", "", VLOOKUP(B83,'API Data Dictionary'!C:D,2,FALSE))</f>
        <v/>
      </c>
      <c r="E83" t="str">
        <f>IF(IF(B83="", "", VLOOKUP(B83,'API Data Dictionary'!C:E,3,FALSE))=0, "", IF(B83="", "", VLOOKUP(B83,'API Data Dictionary'!C:E,3,FALSE)))</f>
        <v/>
      </c>
      <c r="F83" t="str">
        <f>IF(IF(B83="", "", VLOOKUP(B83,'API Data Dictionary'!C:F,4,FALSE))=0, "", IF(B83="", "", VLOOKUP(B83,'API Data Dictionary'!C:F,4,FALSE)))</f>
        <v/>
      </c>
      <c r="G83" t="str">
        <f>IF(IF(B83="", "", VLOOKUP(B83,'API Data Dictionary'!C:G,5,FALSE))=0, "", IF(B83="", "", VLOOKUP(B83,'API Data Dictionary'!C:G,5,FALSE)))</f>
        <v/>
      </c>
    </row>
    <row r="84" spans="1:7" x14ac:dyDescent="0.35">
      <c r="A84" t="str">
        <f t="shared" si="4"/>
        <v/>
      </c>
      <c r="B84" t="str">
        <f t="shared" si="5"/>
        <v/>
      </c>
      <c r="C84" t="str">
        <f>IF(B84="", "", VLOOKUP(B84,'API Data Dictionary'!C:R,16,FALSE))</f>
        <v/>
      </c>
      <c r="D84" t="str">
        <f>IF(B84="", "", VLOOKUP(B84,'API Data Dictionary'!C:D,2,FALSE))</f>
        <v/>
      </c>
      <c r="E84" t="str">
        <f>IF(IF(B84="", "", VLOOKUP(B84,'API Data Dictionary'!C:E,3,FALSE))=0, "", IF(B84="", "", VLOOKUP(B84,'API Data Dictionary'!C:E,3,FALSE)))</f>
        <v/>
      </c>
      <c r="F84" t="str">
        <f>IF(IF(B84="", "", VLOOKUP(B84,'API Data Dictionary'!C:F,4,FALSE))=0, "", IF(B84="", "", VLOOKUP(B84,'API Data Dictionary'!C:F,4,FALSE)))</f>
        <v/>
      </c>
      <c r="G84" t="str">
        <f>IF(IF(B84="", "", VLOOKUP(B84,'API Data Dictionary'!C:G,5,FALSE))=0, "", IF(B84="", "", VLOOKUP(B84,'API Data Dictionary'!C:G,5,FALSE)))</f>
        <v/>
      </c>
    </row>
    <row r="85" spans="1:7" x14ac:dyDescent="0.35">
      <c r="A85" t="str">
        <f t="shared" si="4"/>
        <v/>
      </c>
      <c r="B85" t="str">
        <f t="shared" si="5"/>
        <v/>
      </c>
      <c r="C85" t="str">
        <f>IF(B85="", "", VLOOKUP(B85,'API Data Dictionary'!C:R,16,FALSE))</f>
        <v/>
      </c>
      <c r="D85" t="str">
        <f>IF(B85="", "", VLOOKUP(B85,'API Data Dictionary'!C:D,2,FALSE))</f>
        <v/>
      </c>
      <c r="E85" t="str">
        <f>IF(IF(B85="", "", VLOOKUP(B85,'API Data Dictionary'!C:E,3,FALSE))=0, "", IF(B85="", "", VLOOKUP(B85,'API Data Dictionary'!C:E,3,FALSE)))</f>
        <v/>
      </c>
      <c r="F85" t="str">
        <f>IF(IF(B85="", "", VLOOKUP(B85,'API Data Dictionary'!C:F,4,FALSE))=0, "", IF(B85="", "", VLOOKUP(B85,'API Data Dictionary'!C:F,4,FALSE)))</f>
        <v/>
      </c>
      <c r="G85" t="str">
        <f>IF(IF(B85="", "", VLOOKUP(B85,'API Data Dictionary'!C:G,5,FALSE))=0, "", IF(B85="", "", VLOOKUP(B85,'API Data Dictionary'!C:G,5,FALSE)))</f>
        <v/>
      </c>
    </row>
    <row r="86" spans="1:7" x14ac:dyDescent="0.35">
      <c r="A86" t="str">
        <f t="shared" si="4"/>
        <v/>
      </c>
      <c r="B86" t="str">
        <f t="shared" si="5"/>
        <v/>
      </c>
      <c r="C86" t="str">
        <f>IF(B86="", "", VLOOKUP(B86,'API Data Dictionary'!C:R,16,FALSE))</f>
        <v/>
      </c>
      <c r="D86" t="str">
        <f>IF(B86="", "", VLOOKUP(B86,'API Data Dictionary'!C:D,2,FALSE))</f>
        <v/>
      </c>
      <c r="E86" t="str">
        <f>IF(IF(B86="", "", VLOOKUP(B86,'API Data Dictionary'!C:E,3,FALSE))=0, "", IF(B86="", "", VLOOKUP(B86,'API Data Dictionary'!C:E,3,FALSE)))</f>
        <v/>
      </c>
      <c r="F86" t="str">
        <f>IF(IF(B86="", "", VLOOKUP(B86,'API Data Dictionary'!C:F,4,FALSE))=0, "", IF(B86="", "", VLOOKUP(B86,'API Data Dictionary'!C:F,4,FALSE)))</f>
        <v/>
      </c>
      <c r="G86" t="str">
        <f>IF(IF(B86="", "", VLOOKUP(B86,'API Data Dictionary'!C:G,5,FALSE))=0, "", IF(B86="", "", VLOOKUP(B86,'API Data Dictionary'!C:G,5,FALSE)))</f>
        <v/>
      </c>
    </row>
    <row r="87" spans="1:7" x14ac:dyDescent="0.35">
      <c r="A87" t="str">
        <f t="shared" si="4"/>
        <v/>
      </c>
      <c r="B87" t="str">
        <f t="shared" si="5"/>
        <v/>
      </c>
      <c r="C87" t="str">
        <f>IF(B87="", "", VLOOKUP(B87,'API Data Dictionary'!C:R,16,FALSE))</f>
        <v/>
      </c>
      <c r="D87" t="str">
        <f>IF(B87="", "", VLOOKUP(B87,'API Data Dictionary'!C:D,2,FALSE))</f>
        <v/>
      </c>
      <c r="E87" t="str">
        <f>IF(IF(B87="", "", VLOOKUP(B87,'API Data Dictionary'!C:E,3,FALSE))=0, "", IF(B87="", "", VLOOKUP(B87,'API Data Dictionary'!C:E,3,FALSE)))</f>
        <v/>
      </c>
      <c r="F87" t="str">
        <f>IF(IF(B87="", "", VLOOKUP(B87,'API Data Dictionary'!C:F,4,FALSE))=0, "", IF(B87="", "", VLOOKUP(B87,'API Data Dictionary'!C:F,4,FALSE)))</f>
        <v/>
      </c>
      <c r="G87" t="str">
        <f>IF(IF(B87="", "", VLOOKUP(B87,'API Data Dictionary'!C:G,5,FALSE))=0, "", IF(B87="", "", VLOOKUP(B87,'API Data Dictionary'!C:G,5,FALSE)))</f>
        <v/>
      </c>
    </row>
    <row r="88" spans="1:7" x14ac:dyDescent="0.35">
      <c r="A88" t="str">
        <f t="shared" si="4"/>
        <v/>
      </c>
      <c r="B88" t="str">
        <f t="shared" si="5"/>
        <v/>
      </c>
      <c r="C88" t="str">
        <f>IF(B88="", "", VLOOKUP(B88,'API Data Dictionary'!C:R,16,FALSE))</f>
        <v/>
      </c>
      <c r="D88" t="str">
        <f>IF(B88="", "", VLOOKUP(B88,'API Data Dictionary'!C:D,2,FALSE))</f>
        <v/>
      </c>
      <c r="E88" t="str">
        <f>IF(IF(B88="", "", VLOOKUP(B88,'API Data Dictionary'!C:E,3,FALSE))=0, "", IF(B88="", "", VLOOKUP(B88,'API Data Dictionary'!C:E,3,FALSE)))</f>
        <v/>
      </c>
      <c r="F88" t="str">
        <f>IF(IF(B88="", "", VLOOKUP(B88,'API Data Dictionary'!C:F,4,FALSE))=0, "", IF(B88="", "", VLOOKUP(B88,'API Data Dictionary'!C:F,4,FALSE)))</f>
        <v/>
      </c>
      <c r="G88" t="str">
        <f>IF(IF(B88="", "", VLOOKUP(B88,'API Data Dictionary'!C:G,5,FALSE))=0, "", IF(B88="", "", VLOOKUP(B88,'API Data Dictionary'!C:G,5,FALSE)))</f>
        <v/>
      </c>
    </row>
    <row r="89" spans="1:7" x14ac:dyDescent="0.35">
      <c r="A89" t="str">
        <f t="shared" si="4"/>
        <v/>
      </c>
      <c r="B89" t="str">
        <f t="shared" si="5"/>
        <v/>
      </c>
      <c r="C89" t="str">
        <f>IF(B89="", "", VLOOKUP(B89,'API Data Dictionary'!C:R,16,FALSE))</f>
        <v/>
      </c>
      <c r="D89" t="str">
        <f>IF(B89="", "", VLOOKUP(B89,'API Data Dictionary'!C:D,2,FALSE))</f>
        <v/>
      </c>
      <c r="E89" t="str">
        <f>IF(IF(B89="", "", VLOOKUP(B89,'API Data Dictionary'!C:E,3,FALSE))=0, "", IF(B89="", "", VLOOKUP(B89,'API Data Dictionary'!C:E,3,FALSE)))</f>
        <v/>
      </c>
      <c r="F89" t="str">
        <f>IF(IF(B89="", "", VLOOKUP(B89,'API Data Dictionary'!C:F,4,FALSE))=0, "", IF(B89="", "", VLOOKUP(B89,'API Data Dictionary'!C:F,4,FALSE)))</f>
        <v/>
      </c>
      <c r="G89" t="str">
        <f>IF(IF(B89="", "", VLOOKUP(B89,'API Data Dictionary'!C:G,5,FALSE))=0, "", IF(B89="", "", VLOOKUP(B89,'API Data Dictionary'!C:G,5,FALSE)))</f>
        <v/>
      </c>
    </row>
    <row r="90" spans="1:7" x14ac:dyDescent="0.35">
      <c r="A90" t="str">
        <f t="shared" si="4"/>
        <v/>
      </c>
      <c r="B90" t="str">
        <f t="shared" si="5"/>
        <v/>
      </c>
      <c r="C90" t="str">
        <f>IF(B90="", "", VLOOKUP(B90,'API Data Dictionary'!C:R,16,FALSE))</f>
        <v/>
      </c>
      <c r="D90" t="str">
        <f>IF(B90="", "", VLOOKUP(B90,'API Data Dictionary'!C:D,2,FALSE))</f>
        <v/>
      </c>
      <c r="E90" t="str">
        <f>IF(IF(B90="", "", VLOOKUP(B90,'API Data Dictionary'!C:E,3,FALSE))=0, "", IF(B90="", "", VLOOKUP(B90,'API Data Dictionary'!C:E,3,FALSE)))</f>
        <v/>
      </c>
      <c r="F90" t="str">
        <f>IF(IF(B90="", "", VLOOKUP(B90,'API Data Dictionary'!C:F,4,FALSE))=0, "", IF(B90="", "", VLOOKUP(B90,'API Data Dictionary'!C:F,4,FALSE)))</f>
        <v/>
      </c>
      <c r="G90" t="str">
        <f>IF(IF(B90="", "", VLOOKUP(B90,'API Data Dictionary'!C:G,5,FALSE))=0, "", IF(B90="", "", VLOOKUP(B90,'API Data Dictionary'!C:G,5,FALSE)))</f>
        <v/>
      </c>
    </row>
    <row r="91" spans="1:7" x14ac:dyDescent="0.35">
      <c r="A91" t="str">
        <f t="shared" si="4"/>
        <v/>
      </c>
      <c r="B91" t="str">
        <f t="shared" si="5"/>
        <v/>
      </c>
      <c r="C91" t="str">
        <f>IF(B91="", "", VLOOKUP(B91,'API Data Dictionary'!C:R,16,FALSE))</f>
        <v/>
      </c>
      <c r="D91" t="str">
        <f>IF(B91="", "", VLOOKUP(B91,'API Data Dictionary'!C:D,2,FALSE))</f>
        <v/>
      </c>
      <c r="E91" t="str">
        <f>IF(IF(B91="", "", VLOOKUP(B91,'API Data Dictionary'!C:E,3,FALSE))=0, "", IF(B91="", "", VLOOKUP(B91,'API Data Dictionary'!C:E,3,FALSE)))</f>
        <v/>
      </c>
      <c r="F91" t="str">
        <f>IF(IF(B91="", "", VLOOKUP(B91,'API Data Dictionary'!C:F,4,FALSE))=0, "", IF(B91="", "", VLOOKUP(B91,'API Data Dictionary'!C:F,4,FALSE)))</f>
        <v/>
      </c>
      <c r="G91" t="str">
        <f>IF(IF(B91="", "", VLOOKUP(B91,'API Data Dictionary'!C:G,5,FALSE))=0, "", IF(B91="", "", VLOOKUP(B91,'API Data Dictionary'!C:G,5,FALSE)))</f>
        <v/>
      </c>
    </row>
    <row r="92" spans="1:7" x14ac:dyDescent="0.35">
      <c r="A92" t="str">
        <f t="shared" si="4"/>
        <v/>
      </c>
      <c r="B92" t="str">
        <f t="shared" si="5"/>
        <v/>
      </c>
      <c r="C92" t="str">
        <f>IF(B92="", "", VLOOKUP(B92,'API Data Dictionary'!C:R,16,FALSE))</f>
        <v/>
      </c>
      <c r="D92" t="str">
        <f>IF(B92="", "", VLOOKUP(B92,'API Data Dictionary'!C:D,2,FALSE))</f>
        <v/>
      </c>
      <c r="E92" t="str">
        <f>IF(IF(B92="", "", VLOOKUP(B92,'API Data Dictionary'!C:E,3,FALSE))=0, "", IF(B92="", "", VLOOKUP(B92,'API Data Dictionary'!C:E,3,FALSE)))</f>
        <v/>
      </c>
      <c r="F92" t="str">
        <f>IF(IF(B92="", "", VLOOKUP(B92,'API Data Dictionary'!C:F,4,FALSE))=0, "", IF(B92="", "", VLOOKUP(B92,'API Data Dictionary'!C:F,4,FALSE)))</f>
        <v/>
      </c>
      <c r="G92" t="str">
        <f>IF(IF(B92="", "", VLOOKUP(B92,'API Data Dictionary'!C:G,5,FALSE))=0, "", IF(B92="", "", VLOOKUP(B92,'API Data Dictionary'!C:G,5,FALSE)))</f>
        <v/>
      </c>
    </row>
    <row r="93" spans="1:7" x14ac:dyDescent="0.35">
      <c r="A93" t="str">
        <f t="shared" si="4"/>
        <v/>
      </c>
      <c r="B93" t="str">
        <f t="shared" si="5"/>
        <v/>
      </c>
      <c r="C93" t="str">
        <f>IF(B93="", "", VLOOKUP(B93,'API Data Dictionary'!C:R,16,FALSE))</f>
        <v/>
      </c>
      <c r="D93" t="str">
        <f>IF(B93="", "", VLOOKUP(B93,'API Data Dictionary'!C:D,2,FALSE))</f>
        <v/>
      </c>
      <c r="E93" t="str">
        <f>IF(IF(B93="", "", VLOOKUP(B93,'API Data Dictionary'!C:E,3,FALSE))=0, "", IF(B93="", "", VLOOKUP(B93,'API Data Dictionary'!C:E,3,FALSE)))</f>
        <v/>
      </c>
      <c r="F93" t="str">
        <f>IF(IF(B93="", "", VLOOKUP(B93,'API Data Dictionary'!C:F,4,FALSE))=0, "", IF(B93="", "", VLOOKUP(B93,'API Data Dictionary'!C:F,4,FALSE)))</f>
        <v/>
      </c>
      <c r="G93" t="str">
        <f>IF(IF(B93="", "", VLOOKUP(B93,'API Data Dictionary'!C:G,5,FALSE))=0, "", IF(B93="", "", VLOOKUP(B93,'API Data Dictionary'!C:G,5,FALSE)))</f>
        <v/>
      </c>
    </row>
    <row r="94" spans="1:7" x14ac:dyDescent="0.35">
      <c r="A94" t="str">
        <f t="shared" si="4"/>
        <v/>
      </c>
      <c r="B94" t="str">
        <f t="shared" si="5"/>
        <v/>
      </c>
      <c r="C94" t="str">
        <f>IF(B94="", "", VLOOKUP(B94,'API Data Dictionary'!C:R,16,FALSE))</f>
        <v/>
      </c>
      <c r="D94" t="str">
        <f>IF(B94="", "", VLOOKUP(B94,'API Data Dictionary'!C:D,2,FALSE))</f>
        <v/>
      </c>
      <c r="E94" t="str">
        <f>IF(IF(B94="", "", VLOOKUP(B94,'API Data Dictionary'!C:E,3,FALSE))=0, "", IF(B94="", "", VLOOKUP(B94,'API Data Dictionary'!C:E,3,FALSE)))</f>
        <v/>
      </c>
      <c r="F94" t="str">
        <f>IF(IF(B94="", "", VLOOKUP(B94,'API Data Dictionary'!C:F,4,FALSE))=0, "", IF(B94="", "", VLOOKUP(B94,'API Data Dictionary'!C:F,4,FALSE)))</f>
        <v/>
      </c>
      <c r="G94" t="str">
        <f>IF(IF(B94="", "", VLOOKUP(B94,'API Data Dictionary'!C:G,5,FALSE))=0, "", IF(B94="", "", VLOOKUP(B94,'API Data Dictionary'!C:G,5,FALSE)))</f>
        <v/>
      </c>
    </row>
    <row r="95" spans="1:7" x14ac:dyDescent="0.35">
      <c r="A95" t="str">
        <f t="shared" si="4"/>
        <v/>
      </c>
      <c r="B95" t="str">
        <f t="shared" si="5"/>
        <v/>
      </c>
      <c r="C95" t="str">
        <f>IF(B95="", "", VLOOKUP(B95,'API Data Dictionary'!C:R,16,FALSE))</f>
        <v/>
      </c>
      <c r="D95" t="str">
        <f>IF(B95="", "", VLOOKUP(B95,'API Data Dictionary'!C:D,2,FALSE))</f>
        <v/>
      </c>
      <c r="E95" t="str">
        <f>IF(IF(B95="", "", VLOOKUP(B95,'API Data Dictionary'!C:E,3,FALSE))=0, "", IF(B95="", "", VLOOKUP(B95,'API Data Dictionary'!C:E,3,FALSE)))</f>
        <v/>
      </c>
      <c r="F95" t="str">
        <f>IF(IF(B95="", "", VLOOKUP(B95,'API Data Dictionary'!C:F,4,FALSE))=0, "", IF(B95="", "", VLOOKUP(B95,'API Data Dictionary'!C:F,4,FALSE)))</f>
        <v/>
      </c>
      <c r="G95" t="str">
        <f>IF(IF(B95="", "", VLOOKUP(B95,'API Data Dictionary'!C:G,5,FALSE))=0, "", IF(B95="", "", VLOOKUP(B95,'API Data Dictionary'!C:G,5,FALSE)))</f>
        <v/>
      </c>
    </row>
    <row r="96" spans="1:7" x14ac:dyDescent="0.35">
      <c r="A96" t="str">
        <f t="shared" si="4"/>
        <v/>
      </c>
      <c r="B96" t="str">
        <f t="shared" si="5"/>
        <v/>
      </c>
      <c r="C96" t="str">
        <f>IF(B96="", "", VLOOKUP(B96,'API Data Dictionary'!C:R,16,FALSE))</f>
        <v/>
      </c>
      <c r="D96" t="str">
        <f>IF(B96="", "", VLOOKUP(B96,'API Data Dictionary'!C:D,2,FALSE))</f>
        <v/>
      </c>
      <c r="E96" t="str">
        <f>IF(IF(B96="", "", VLOOKUP(B96,'API Data Dictionary'!C:E,3,FALSE))=0, "", IF(B96="", "", VLOOKUP(B96,'API Data Dictionary'!C:E,3,FALSE)))</f>
        <v/>
      </c>
      <c r="F96" t="str">
        <f>IF(IF(B96="", "", VLOOKUP(B96,'API Data Dictionary'!C:F,4,FALSE))=0, "", IF(B96="", "", VLOOKUP(B96,'API Data Dictionary'!C:F,4,FALSE)))</f>
        <v/>
      </c>
      <c r="G96" t="str">
        <f>IF(IF(B96="", "", VLOOKUP(B96,'API Data Dictionary'!C:G,5,FALSE))=0, "", IF(B96="", "", VLOOKUP(B96,'API Data Dictionary'!C:G,5,FALSE)))</f>
        <v/>
      </c>
    </row>
    <row r="97" spans="1:7" x14ac:dyDescent="0.35">
      <c r="A97" t="str">
        <f t="shared" si="4"/>
        <v/>
      </c>
      <c r="B97" t="str">
        <f t="shared" si="5"/>
        <v/>
      </c>
      <c r="C97" t="str">
        <f>IF(B97="", "", VLOOKUP(B97,'API Data Dictionary'!C:R,16,FALSE))</f>
        <v/>
      </c>
      <c r="D97" t="str">
        <f>IF(B97="", "", VLOOKUP(B97,'API Data Dictionary'!C:D,2,FALSE))</f>
        <v/>
      </c>
      <c r="E97" t="str">
        <f>IF(IF(B97="", "", VLOOKUP(B97,'API Data Dictionary'!C:E,3,FALSE))=0, "", IF(B97="", "", VLOOKUP(B97,'API Data Dictionary'!C:E,3,FALSE)))</f>
        <v/>
      </c>
      <c r="F97" t="str">
        <f>IF(IF(B97="", "", VLOOKUP(B97,'API Data Dictionary'!C:F,4,FALSE))=0, "", IF(B97="", "", VLOOKUP(B97,'API Data Dictionary'!C:F,4,FALSE)))</f>
        <v/>
      </c>
      <c r="G97" t="str">
        <f>IF(IF(B97="", "", VLOOKUP(B97,'API Data Dictionary'!C:G,5,FALSE))=0, "", IF(B97="", "", VLOOKUP(B97,'API Data Dictionary'!C:G,5,FALSE)))</f>
        <v/>
      </c>
    </row>
    <row r="98" spans="1:7" x14ac:dyDescent="0.35">
      <c r="A98" t="str">
        <f t="shared" si="4"/>
        <v/>
      </c>
      <c r="B98" t="str">
        <f t="shared" si="5"/>
        <v/>
      </c>
      <c r="C98" t="str">
        <f>IF(B98="", "", VLOOKUP(B98,'API Data Dictionary'!C:R,16,FALSE))</f>
        <v/>
      </c>
      <c r="D98" t="str">
        <f>IF(B98="", "", VLOOKUP(B98,'API Data Dictionary'!C:D,2,FALSE))</f>
        <v/>
      </c>
      <c r="E98" t="str">
        <f>IF(IF(B98="", "", VLOOKUP(B98,'API Data Dictionary'!C:E,3,FALSE))=0, "", IF(B98="", "", VLOOKUP(B98,'API Data Dictionary'!C:E,3,FALSE)))</f>
        <v/>
      </c>
      <c r="F98" t="str">
        <f>IF(IF(B98="", "", VLOOKUP(B98,'API Data Dictionary'!C:F,4,FALSE))=0, "", IF(B98="", "", VLOOKUP(B98,'API Data Dictionary'!C:F,4,FALSE)))</f>
        <v/>
      </c>
      <c r="G98" t="str">
        <f>IF(IF(B98="", "", VLOOKUP(B98,'API Data Dictionary'!C:G,5,FALSE))=0, "", IF(B98="", "", VLOOKUP(B98,'API Data Dictionary'!C:G,5,FALSE)))</f>
        <v/>
      </c>
    </row>
    <row r="99" spans="1:7" x14ac:dyDescent="0.35">
      <c r="A99" t="str">
        <f t="shared" si="4"/>
        <v/>
      </c>
      <c r="B99" t="str">
        <f t="shared" si="5"/>
        <v/>
      </c>
      <c r="C99" t="str">
        <f>IF(B99="", "", VLOOKUP(B99,'API Data Dictionary'!C:R,16,FALSE))</f>
        <v/>
      </c>
      <c r="D99" t="str">
        <f>IF(B99="", "", VLOOKUP(B99,'API Data Dictionary'!C:D,2,FALSE))</f>
        <v/>
      </c>
      <c r="E99" t="str">
        <f>IF(IF(B99="", "", VLOOKUP(B99,'API Data Dictionary'!C:E,3,FALSE))=0, "", IF(B99="", "", VLOOKUP(B99,'API Data Dictionary'!C:E,3,FALSE)))</f>
        <v/>
      </c>
      <c r="F99" t="str">
        <f>IF(IF(B99="", "", VLOOKUP(B99,'API Data Dictionary'!C:F,4,FALSE))=0, "", IF(B99="", "", VLOOKUP(B99,'API Data Dictionary'!C:F,4,FALSE)))</f>
        <v/>
      </c>
      <c r="G99" t="str">
        <f>IF(IF(B99="", "", VLOOKUP(B99,'API Data Dictionary'!C:G,5,FALSE))=0, "", IF(B99="", "", VLOOKUP(B99,'API Data Dictionary'!C:G,5,FALSE)))</f>
        <v/>
      </c>
    </row>
    <row r="100" spans="1:7" x14ac:dyDescent="0.35">
      <c r="A100" t="str">
        <f t="shared" si="4"/>
        <v/>
      </c>
      <c r="B100" t="str">
        <f t="shared" si="5"/>
        <v/>
      </c>
      <c r="C100" t="str">
        <f>IF(B100="", "", VLOOKUP(B100,'API Data Dictionary'!C:R,16,FALSE))</f>
        <v/>
      </c>
      <c r="D100" t="str">
        <f>IF(B100="", "", VLOOKUP(B100,'API Data Dictionary'!C:D,2,FALSE))</f>
        <v/>
      </c>
      <c r="E100" t="str">
        <f>IF(IF(B100="", "", VLOOKUP(B100,'API Data Dictionary'!C:E,3,FALSE))=0, "", IF(B100="", "", VLOOKUP(B100,'API Data Dictionary'!C:E,3,FALSE)))</f>
        <v/>
      </c>
      <c r="F100" t="str">
        <f>IF(IF(B100="", "", VLOOKUP(B100,'API Data Dictionary'!C:F,4,FALSE))=0, "", IF(B100="", "", VLOOKUP(B100,'API Data Dictionary'!C:F,4,FALSE)))</f>
        <v/>
      </c>
      <c r="G100" t="str">
        <f>IF(IF(B100="", "", VLOOKUP(B100,'API Data Dictionary'!C:G,5,FALSE))=0, "", IF(B100="", "", VLOOKUP(B100,'API Data Dictionary'!C:G,5,FALSE)))</f>
        <v/>
      </c>
    </row>
    <row r="101" spans="1:7" x14ac:dyDescent="0.35">
      <c r="A101" t="str">
        <f t="shared" si="4"/>
        <v/>
      </c>
      <c r="B101" t="str">
        <f t="shared" si="5"/>
        <v/>
      </c>
      <c r="C101" t="str">
        <f>IF(B101="", "", VLOOKUP(B101,'API Data Dictionary'!C:R,16,FALSE))</f>
        <v/>
      </c>
      <c r="D101" t="str">
        <f>IF(B101="", "", VLOOKUP(B101,'API Data Dictionary'!C:D,2,FALSE))</f>
        <v/>
      </c>
      <c r="E101" t="str">
        <f>IF(IF(B101="", "", VLOOKUP(B101,'API Data Dictionary'!C:E,3,FALSE))=0, "", IF(B101="", "", VLOOKUP(B101,'API Data Dictionary'!C:E,3,FALSE)))</f>
        <v/>
      </c>
      <c r="F101" t="str">
        <f>IF(IF(B101="", "", VLOOKUP(B101,'API Data Dictionary'!C:F,4,FALSE))=0, "", IF(B101="", "", VLOOKUP(B101,'API Data Dictionary'!C:F,4,FALSE)))</f>
        <v/>
      </c>
      <c r="G101" t="str">
        <f>IF(IF(B101="", "", VLOOKUP(B101,'API Data Dictionary'!C:G,5,FALSE))=0, "", IF(B101="", "", VLOOKUP(B101,'API Data Dictionary'!C:G,5,FALSE)))</f>
        <v/>
      </c>
    </row>
    <row r="102" spans="1:7" x14ac:dyDescent="0.35">
      <c r="A102" t="str">
        <f t="shared" si="4"/>
        <v/>
      </c>
      <c r="B102" t="str">
        <f t="shared" si="5"/>
        <v/>
      </c>
      <c r="C102" t="str">
        <f>IF(B102="", "", VLOOKUP(B102,'API Data Dictionary'!C:R,16,FALSE))</f>
        <v/>
      </c>
      <c r="D102" t="str">
        <f>IF(B102="", "", VLOOKUP(B102,'API Data Dictionary'!C:D,2,FALSE))</f>
        <v/>
      </c>
      <c r="E102" t="str">
        <f>IF(IF(B102="", "", VLOOKUP(B102,'API Data Dictionary'!C:E,3,FALSE))=0, "", IF(B102="", "", VLOOKUP(B102,'API Data Dictionary'!C:E,3,FALSE)))</f>
        <v/>
      </c>
      <c r="F102" t="str">
        <f>IF(IF(B102="", "", VLOOKUP(B102,'API Data Dictionary'!C:F,4,FALSE))=0, "", IF(B102="", "", VLOOKUP(B102,'API Data Dictionary'!C:F,4,FALSE)))</f>
        <v/>
      </c>
      <c r="G102" t="str">
        <f>IF(IF(B102="", "", VLOOKUP(B102,'API Data Dictionary'!C:G,5,FALSE))=0, "", IF(B102="", "", VLOOKUP(B102,'API Data Dictionary'!C:G,5,FALSE)))</f>
        <v/>
      </c>
    </row>
    <row r="103" spans="1:7" x14ac:dyDescent="0.35">
      <c r="A103" t="str">
        <f t="shared" si="4"/>
        <v/>
      </c>
      <c r="B103" t="str">
        <f t="shared" si="5"/>
        <v/>
      </c>
      <c r="C103" t="str">
        <f>IF(B103="", "", VLOOKUP(B103,'API Data Dictionary'!C:R,16,FALSE))</f>
        <v/>
      </c>
      <c r="D103" t="str">
        <f>IF(B103="", "", VLOOKUP(B103,'API Data Dictionary'!C:D,2,FALSE))</f>
        <v/>
      </c>
      <c r="E103" t="str">
        <f>IF(IF(B103="", "", VLOOKUP(B103,'API Data Dictionary'!C:E,3,FALSE))=0, "", IF(B103="", "", VLOOKUP(B103,'API Data Dictionary'!C:E,3,FALSE)))</f>
        <v/>
      </c>
      <c r="F103" t="str">
        <f>IF(IF(B103="", "", VLOOKUP(B103,'API Data Dictionary'!C:F,4,FALSE))=0, "", IF(B103="", "", VLOOKUP(B103,'API Data Dictionary'!C:F,4,FALSE)))</f>
        <v/>
      </c>
      <c r="G103" t="str">
        <f>IF(IF(B103="", "", VLOOKUP(B103,'API Data Dictionary'!C:G,5,FALSE))=0, "", IF(B103="", "", VLOOKUP(B103,'API Data Dictionary'!C:G,5,FALSE)))</f>
        <v/>
      </c>
    </row>
    <row r="104" spans="1:7" x14ac:dyDescent="0.35">
      <c r="A104" t="str">
        <f t="shared" si="4"/>
        <v/>
      </c>
      <c r="B104" t="str">
        <f t="shared" si="5"/>
        <v/>
      </c>
      <c r="C104" t="str">
        <f>IF(B104="", "", VLOOKUP(B104,'API Data Dictionary'!C:R,16,FALSE))</f>
        <v/>
      </c>
      <c r="D104" t="str">
        <f>IF(B104="", "", VLOOKUP(B104,'API Data Dictionary'!C:D,2,FALSE))</f>
        <v/>
      </c>
      <c r="E104" t="str">
        <f>IF(IF(B104="", "", VLOOKUP(B104,'API Data Dictionary'!C:E,3,FALSE))=0, "", IF(B104="", "", VLOOKUP(B104,'API Data Dictionary'!C:E,3,FALSE)))</f>
        <v/>
      </c>
      <c r="F104" t="str">
        <f>IF(IF(B104="", "", VLOOKUP(B104,'API Data Dictionary'!C:F,4,FALSE))=0, "", IF(B104="", "", VLOOKUP(B104,'API Data Dictionary'!C:F,4,FALSE)))</f>
        <v/>
      </c>
      <c r="G104" t="str">
        <f>IF(IF(B104="", "", VLOOKUP(B104,'API Data Dictionary'!C:G,5,FALSE))=0, "", IF(B104="", "", VLOOKUP(B104,'API Data Dictionary'!C:G,5,FALSE)))</f>
        <v/>
      </c>
    </row>
    <row r="105" spans="1:7" x14ac:dyDescent="0.35">
      <c r="A105" t="str">
        <f t="shared" si="4"/>
        <v/>
      </c>
      <c r="B105" t="str">
        <f t="shared" si="5"/>
        <v/>
      </c>
      <c r="C105" t="str">
        <f>IF(B105="", "", VLOOKUP(B105,'API Data Dictionary'!C:R,16,FALSE))</f>
        <v/>
      </c>
      <c r="D105" t="str">
        <f>IF(B105="", "", VLOOKUP(B105,'API Data Dictionary'!C:D,2,FALSE))</f>
        <v/>
      </c>
      <c r="E105" t="str">
        <f>IF(IF(B105="", "", VLOOKUP(B105,'API Data Dictionary'!C:E,3,FALSE))=0, "", IF(B105="", "", VLOOKUP(B105,'API Data Dictionary'!C:E,3,FALSE)))</f>
        <v/>
      </c>
      <c r="F105" t="str">
        <f>IF(IF(B105="", "", VLOOKUP(B105,'API Data Dictionary'!C:F,4,FALSE))=0, "", IF(B105="", "", VLOOKUP(B105,'API Data Dictionary'!C:F,4,FALSE)))</f>
        <v/>
      </c>
      <c r="G105" t="str">
        <f>IF(IF(B105="", "", VLOOKUP(B105,'API Data Dictionary'!C:G,5,FALSE))=0, "", IF(B105="", "", VLOOKUP(B105,'API Data Dictionary'!C:G,5,FALSE)))</f>
        <v/>
      </c>
    </row>
    <row r="106" spans="1:7" x14ac:dyDescent="0.35">
      <c r="A106" t="str">
        <f t="shared" si="4"/>
        <v/>
      </c>
      <c r="B106" t="str">
        <f t="shared" si="5"/>
        <v/>
      </c>
      <c r="C106" t="str">
        <f>IF(B106="", "", VLOOKUP(B106,'API Data Dictionary'!C:R,16,FALSE))</f>
        <v/>
      </c>
      <c r="D106" t="str">
        <f>IF(B106="", "", VLOOKUP(B106,'API Data Dictionary'!C:D,2,FALSE))</f>
        <v/>
      </c>
      <c r="E106" t="str">
        <f>IF(IF(B106="", "", VLOOKUP(B106,'API Data Dictionary'!C:E,3,FALSE))=0, "", IF(B106="", "", VLOOKUP(B106,'API Data Dictionary'!C:E,3,FALSE)))</f>
        <v/>
      </c>
      <c r="F106" t="str">
        <f>IF(IF(B106="", "", VLOOKUP(B106,'API Data Dictionary'!C:F,4,FALSE))=0, "", IF(B106="", "", VLOOKUP(B106,'API Data Dictionary'!C:F,4,FALSE)))</f>
        <v/>
      </c>
      <c r="G106" t="str">
        <f>IF(IF(B106="", "", VLOOKUP(B106,'API Data Dictionary'!C:G,5,FALSE))=0, "", IF(B106="", "", VLOOKUP(B106,'API Data Dictionary'!C:G,5,FALSE)))</f>
        <v/>
      </c>
    </row>
    <row r="107" spans="1:7" x14ac:dyDescent="0.35">
      <c r="A107" t="str">
        <f t="shared" si="4"/>
        <v/>
      </c>
      <c r="B107" t="str">
        <f t="shared" si="5"/>
        <v/>
      </c>
      <c r="C107" t="str">
        <f>IF(B107="", "", VLOOKUP(B107,'API Data Dictionary'!C:R,16,FALSE))</f>
        <v/>
      </c>
      <c r="D107" t="str">
        <f>IF(B107="", "", VLOOKUP(B107,'API Data Dictionary'!C:D,2,FALSE))</f>
        <v/>
      </c>
      <c r="E107" t="str">
        <f>IF(IF(B107="", "", VLOOKUP(B107,'API Data Dictionary'!C:E,3,FALSE))=0, "", IF(B107="", "", VLOOKUP(B107,'API Data Dictionary'!C:E,3,FALSE)))</f>
        <v/>
      </c>
      <c r="F107" t="str">
        <f>IF(IF(B107="", "", VLOOKUP(B107,'API Data Dictionary'!C:F,4,FALSE))=0, "", IF(B107="", "", VLOOKUP(B107,'API Data Dictionary'!C:F,4,FALSE)))</f>
        <v/>
      </c>
      <c r="G107" t="str">
        <f>IF(IF(B107="", "", VLOOKUP(B107,'API Data Dictionary'!C:G,5,FALSE))=0, "", IF(B107="", "", VLOOKUP(B107,'API Data Dictionary'!C:G,5,FALSE)))</f>
        <v/>
      </c>
    </row>
    <row r="108" spans="1:7" x14ac:dyDescent="0.35">
      <c r="A108" t="str">
        <f t="shared" si="4"/>
        <v/>
      </c>
      <c r="B108" t="str">
        <f t="shared" si="5"/>
        <v/>
      </c>
      <c r="C108" t="str">
        <f>IF(B108="", "", VLOOKUP(B108,'API Data Dictionary'!C:R,16,FALSE))</f>
        <v/>
      </c>
      <c r="D108" t="str">
        <f>IF(B108="", "", VLOOKUP(B108,'API Data Dictionary'!C:D,2,FALSE))</f>
        <v/>
      </c>
      <c r="E108" t="str">
        <f>IF(IF(B108="", "", VLOOKUP(B108,'API Data Dictionary'!C:E,3,FALSE))=0, "", IF(B108="", "", VLOOKUP(B108,'API Data Dictionary'!C:E,3,FALSE)))</f>
        <v/>
      </c>
      <c r="F108" t="str">
        <f>IF(IF(B108="", "", VLOOKUP(B108,'API Data Dictionary'!C:F,4,FALSE))=0, "", IF(B108="", "", VLOOKUP(B108,'API Data Dictionary'!C:F,4,FALSE)))</f>
        <v/>
      </c>
      <c r="G108" t="str">
        <f>IF(IF(B108="", "", VLOOKUP(B108,'API Data Dictionary'!C:G,5,FALSE))=0, "", IF(B108="", "", VLOOKUP(B108,'API Data Dictionary'!C:G,5,FALSE)))</f>
        <v/>
      </c>
    </row>
    <row r="109" spans="1:7" x14ac:dyDescent="0.35">
      <c r="A109" t="str">
        <f t="shared" si="4"/>
        <v/>
      </c>
      <c r="B109" t="str">
        <f t="shared" si="5"/>
        <v/>
      </c>
      <c r="C109" t="str">
        <f>IF(B109="", "", VLOOKUP(B109,'API Data Dictionary'!C:R,16,FALSE))</f>
        <v/>
      </c>
      <c r="D109" t="str">
        <f>IF(B109="", "", VLOOKUP(B109,'API Data Dictionary'!C:D,2,FALSE))</f>
        <v/>
      </c>
      <c r="E109" t="str">
        <f>IF(IF(B109="", "", VLOOKUP(B109,'API Data Dictionary'!C:E,3,FALSE))=0, "", IF(B109="", "", VLOOKUP(B109,'API Data Dictionary'!C:E,3,FALSE)))</f>
        <v/>
      </c>
      <c r="F109" t="str">
        <f>IF(IF(B109="", "", VLOOKUP(B109,'API Data Dictionary'!C:F,4,FALSE))=0, "", IF(B109="", "", VLOOKUP(B109,'API Data Dictionary'!C:F,4,FALSE)))</f>
        <v/>
      </c>
      <c r="G109" t="str">
        <f>IF(IF(B109="", "", VLOOKUP(B109,'API Data Dictionary'!C:G,5,FALSE))=0, "", IF(B109="", "", VLOOKUP(B109,'API Data Dictionary'!C:G,5,FALSE)))</f>
        <v/>
      </c>
    </row>
    <row r="110" spans="1:7" x14ac:dyDescent="0.35">
      <c r="A110" t="str">
        <f t="shared" si="4"/>
        <v/>
      </c>
      <c r="B110" t="str">
        <f t="shared" si="5"/>
        <v/>
      </c>
      <c r="C110" t="str">
        <f>IF(B110="", "", VLOOKUP(B110,'API Data Dictionary'!C:R,16,FALSE))</f>
        <v/>
      </c>
      <c r="D110" t="str">
        <f>IF(B110="", "", VLOOKUP(B110,'API Data Dictionary'!C:D,2,FALSE))</f>
        <v/>
      </c>
      <c r="E110" t="str">
        <f>IF(IF(B110="", "", VLOOKUP(B110,'API Data Dictionary'!C:E,3,FALSE))=0, "", IF(B110="", "", VLOOKUP(B110,'API Data Dictionary'!C:E,3,FALSE)))</f>
        <v/>
      </c>
      <c r="F110" t="str">
        <f>IF(IF(B110="", "", VLOOKUP(B110,'API Data Dictionary'!C:F,4,FALSE))=0, "", IF(B110="", "", VLOOKUP(B110,'API Data Dictionary'!C:F,4,FALSE)))</f>
        <v/>
      </c>
      <c r="G110" t="str">
        <f>IF(IF(B110="", "", VLOOKUP(B110,'API Data Dictionary'!C:G,5,FALSE))=0, "", IF(B110="", "", VLOOKUP(B110,'API Data Dictionary'!C:G,5,FALSE)))</f>
        <v/>
      </c>
    </row>
    <row r="111" spans="1:7" x14ac:dyDescent="0.35">
      <c r="A111" t="str">
        <f t="shared" si="4"/>
        <v/>
      </c>
      <c r="B111" t="str">
        <f t="shared" si="5"/>
        <v/>
      </c>
      <c r="C111" t="str">
        <f>IF(B111="", "", VLOOKUP(B111,'API Data Dictionary'!C:R,16,FALSE))</f>
        <v/>
      </c>
      <c r="D111" t="str">
        <f>IF(B111="", "", VLOOKUP(B111,'API Data Dictionary'!C:D,2,FALSE))</f>
        <v/>
      </c>
      <c r="E111" t="str">
        <f>IF(IF(B111="", "", VLOOKUP(B111,'API Data Dictionary'!C:E,3,FALSE))=0, "", IF(B111="", "", VLOOKUP(B111,'API Data Dictionary'!C:E,3,FALSE)))</f>
        <v/>
      </c>
      <c r="F111" t="str">
        <f>IF(IF(B111="", "", VLOOKUP(B111,'API Data Dictionary'!C:F,4,FALSE))=0, "", IF(B111="", "", VLOOKUP(B111,'API Data Dictionary'!C:F,4,FALSE)))</f>
        <v/>
      </c>
      <c r="G111" t="str">
        <f>IF(IF(B111="", "", VLOOKUP(B111,'API Data Dictionary'!C:G,5,FALSE))=0, "", IF(B111="", "", VLOOKUP(B111,'API Data Dictionary'!C:G,5,FALSE)))</f>
        <v/>
      </c>
    </row>
    <row r="112" spans="1:7" x14ac:dyDescent="0.35">
      <c r="A112" t="str">
        <f t="shared" si="4"/>
        <v/>
      </c>
      <c r="B112" t="str">
        <f t="shared" si="5"/>
        <v/>
      </c>
      <c r="C112" t="str">
        <f>IF(B112="", "", VLOOKUP(B112,'API Data Dictionary'!C:R,16,FALSE))</f>
        <v/>
      </c>
      <c r="D112" t="str">
        <f>IF(B112="", "", VLOOKUP(B112,'API Data Dictionary'!C:D,2,FALSE))</f>
        <v/>
      </c>
      <c r="E112" t="str">
        <f>IF(IF(B112="", "", VLOOKUP(B112,'API Data Dictionary'!C:E,3,FALSE))=0, "", IF(B112="", "", VLOOKUP(B112,'API Data Dictionary'!C:E,3,FALSE)))</f>
        <v/>
      </c>
      <c r="F112" t="str">
        <f>IF(IF(B112="", "", VLOOKUP(B112,'API Data Dictionary'!C:F,4,FALSE))=0, "", IF(B112="", "", VLOOKUP(B112,'API Data Dictionary'!C:F,4,FALSE)))</f>
        <v/>
      </c>
      <c r="G112" t="str">
        <f>IF(IF(B112="", "", VLOOKUP(B112,'API Data Dictionary'!C:G,5,FALSE))=0, "", IF(B112="", "", VLOOKUP(B112,'API Data Dictionary'!C:G,5,FALSE)))</f>
        <v/>
      </c>
    </row>
    <row r="113" spans="1:7" x14ac:dyDescent="0.35">
      <c r="A113" t="str">
        <f t="shared" si="4"/>
        <v/>
      </c>
      <c r="B113" t="str">
        <f t="shared" si="5"/>
        <v/>
      </c>
      <c r="C113" t="str">
        <f>IF(B113="", "", VLOOKUP(B113,'API Data Dictionary'!C:R,16,FALSE))</f>
        <v/>
      </c>
      <c r="D113" t="str">
        <f>IF(B113="", "", VLOOKUP(B113,'API Data Dictionary'!C:D,2,FALSE))</f>
        <v/>
      </c>
      <c r="E113" t="str">
        <f>IF(IF(B113="", "", VLOOKUP(B113,'API Data Dictionary'!C:E,3,FALSE))=0, "", IF(B113="", "", VLOOKUP(B113,'API Data Dictionary'!C:E,3,FALSE)))</f>
        <v/>
      </c>
      <c r="F113" t="str">
        <f>IF(IF(B113="", "", VLOOKUP(B113,'API Data Dictionary'!C:F,4,FALSE))=0, "", IF(B113="", "", VLOOKUP(B113,'API Data Dictionary'!C:F,4,FALSE)))</f>
        <v/>
      </c>
      <c r="G113" t="str">
        <f>IF(IF(B113="", "", VLOOKUP(B113,'API Data Dictionary'!C:G,5,FALSE))=0, "", IF(B113="", "", VLOOKUP(B113,'API Data Dictionary'!C:G,5,FALSE)))</f>
        <v/>
      </c>
    </row>
    <row r="114" spans="1:7" x14ac:dyDescent="0.35">
      <c r="A114" t="str">
        <f t="shared" si="4"/>
        <v/>
      </c>
      <c r="B114" t="str">
        <f t="shared" si="5"/>
        <v/>
      </c>
      <c r="C114" t="str">
        <f>IF(B114="", "", VLOOKUP(B114,'API Data Dictionary'!C:R,16,FALSE))</f>
        <v/>
      </c>
      <c r="D114" t="str">
        <f>IF(B114="", "", VLOOKUP(B114,'API Data Dictionary'!C:D,2,FALSE))</f>
        <v/>
      </c>
      <c r="E114" t="str">
        <f>IF(IF(B114="", "", VLOOKUP(B114,'API Data Dictionary'!C:E,3,FALSE))=0, "", IF(B114="", "", VLOOKUP(B114,'API Data Dictionary'!C:E,3,FALSE)))</f>
        <v/>
      </c>
      <c r="F114" t="str">
        <f>IF(IF(B114="", "", VLOOKUP(B114,'API Data Dictionary'!C:F,4,FALSE))=0, "", IF(B114="", "", VLOOKUP(B114,'API Data Dictionary'!C:F,4,FALSE)))</f>
        <v/>
      </c>
      <c r="G114" t="str">
        <f>IF(IF(B114="", "", VLOOKUP(B114,'API Data Dictionary'!C:G,5,FALSE))=0, "", IF(B114="", "", VLOOKUP(B114,'API Data Dictionary'!C:G,5,FALSE)))</f>
        <v/>
      </c>
    </row>
    <row r="115" spans="1:7" x14ac:dyDescent="0.35">
      <c r="A115" t="str">
        <f t="shared" si="4"/>
        <v/>
      </c>
      <c r="B115" t="str">
        <f t="shared" si="5"/>
        <v/>
      </c>
      <c r="C115" t="str">
        <f>IF(B115="", "", VLOOKUP(B115,'API Data Dictionary'!C:R,16,FALSE))</f>
        <v/>
      </c>
      <c r="D115" t="str">
        <f>IF(B115="", "", VLOOKUP(B115,'API Data Dictionary'!C:D,2,FALSE))</f>
        <v/>
      </c>
      <c r="E115" t="str">
        <f>IF(IF(B115="", "", VLOOKUP(B115,'API Data Dictionary'!C:E,3,FALSE))=0, "", IF(B115="", "", VLOOKUP(B115,'API Data Dictionary'!C:E,3,FALSE)))</f>
        <v/>
      </c>
      <c r="F115" t="str">
        <f>IF(IF(B115="", "", VLOOKUP(B115,'API Data Dictionary'!C:F,4,FALSE))=0, "", IF(B115="", "", VLOOKUP(B115,'API Data Dictionary'!C:F,4,FALSE)))</f>
        <v/>
      </c>
      <c r="G115" t="str">
        <f>IF(IF(B115="", "", VLOOKUP(B115,'API Data Dictionary'!C:G,5,FALSE))=0, "", IF(B115="", "", VLOOKUP(B115,'API Data Dictionary'!C:G,5,FALSE)))</f>
        <v/>
      </c>
    </row>
    <row r="116" spans="1:7" x14ac:dyDescent="0.35">
      <c r="A116" t="str">
        <f t="shared" si="4"/>
        <v/>
      </c>
      <c r="B116" t="str">
        <f t="shared" si="5"/>
        <v/>
      </c>
      <c r="C116" t="str">
        <f>IF(B116="", "", VLOOKUP(B116,'API Data Dictionary'!C:R,16,FALSE))</f>
        <v/>
      </c>
      <c r="D116" t="str">
        <f>IF(B116="", "", VLOOKUP(B116,'API Data Dictionary'!C:D,2,FALSE))</f>
        <v/>
      </c>
      <c r="E116" t="str">
        <f>IF(IF(B116="", "", VLOOKUP(B116,'API Data Dictionary'!C:E,3,FALSE))=0, "", IF(B116="", "", VLOOKUP(B116,'API Data Dictionary'!C:E,3,FALSE)))</f>
        <v/>
      </c>
      <c r="F116" t="str">
        <f>IF(IF(B116="", "", VLOOKUP(B116,'API Data Dictionary'!C:F,4,FALSE))=0, "", IF(B116="", "", VLOOKUP(B116,'API Data Dictionary'!C:F,4,FALSE)))</f>
        <v/>
      </c>
      <c r="G116" t="str">
        <f>IF(IF(B116="", "", VLOOKUP(B116,'API Data Dictionary'!C:G,5,FALSE))=0, "", IF(B116="", "", VLOOKUP(B116,'API Data Dictionary'!C:G,5,FALSE)))</f>
        <v/>
      </c>
    </row>
    <row r="117" spans="1:7" x14ac:dyDescent="0.35">
      <c r="A117" t="str">
        <f t="shared" ref="A117:A174" si="6">IF(OR(ISNUMBER( SEARCH("{",#REF!)),ISNUMBER( SEARCH("[",#REF!))), "", IFERROR(MID(#REF!, SEARCH("""",#REF!) +1, SEARCH("""",#REF!, SEARCH( """",#REF!) +1) - SEARCH("""",#REF!) -1), ""))</f>
        <v/>
      </c>
      <c r="B117" t="str">
        <f t="shared" si="5"/>
        <v/>
      </c>
      <c r="C117" t="str">
        <f>IF(B117="", "", VLOOKUP(B117,'API Data Dictionary'!C:R,16,FALSE))</f>
        <v/>
      </c>
      <c r="D117" t="str">
        <f>IF(B117="", "", VLOOKUP(B117,'API Data Dictionary'!C:D,2,FALSE))</f>
        <v/>
      </c>
      <c r="E117" t="str">
        <f>IF(IF(B117="", "", VLOOKUP(B117,'API Data Dictionary'!C:E,3,FALSE))=0, "", IF(B117="", "", VLOOKUP(B117,'API Data Dictionary'!C:E,3,FALSE)))</f>
        <v/>
      </c>
      <c r="F117" t="str">
        <f>IF(IF(B117="", "", VLOOKUP(B117,'API Data Dictionary'!C:F,4,FALSE))=0, "", IF(B117="", "", VLOOKUP(B117,'API Data Dictionary'!C:F,4,FALSE)))</f>
        <v/>
      </c>
      <c r="G117" t="str">
        <f>IF(IF(B117="", "", VLOOKUP(B117,'API Data Dictionary'!C:G,5,FALSE))=0, "", IF(B117="", "", VLOOKUP(B117,'API Data Dictionary'!C:G,5,FALSE)))</f>
        <v/>
      </c>
    </row>
    <row r="118" spans="1:7" x14ac:dyDescent="0.35">
      <c r="A118" t="str">
        <f t="shared" si="6"/>
        <v/>
      </c>
      <c r="B118" t="str">
        <f t="shared" ref="B118:B174" si="7">IF(OR(ISNUMBER(SEARCH("{", A118)),ISNUMBER(SEARCH("[", A118))), "", IFERROR(MID(A118, SEARCH("""", A118) +1, SEARCH("""", A118, SEARCH("""",A118) +1) - SEARCH("""", A118) -1), ""))</f>
        <v/>
      </c>
      <c r="C118" t="str">
        <f>IF(B118="", "", VLOOKUP(B118,'API Data Dictionary'!C:R,16,FALSE))</f>
        <v/>
      </c>
      <c r="D118" t="str">
        <f>IF(B118="", "", VLOOKUP(B118,'API Data Dictionary'!C:D,2,FALSE))</f>
        <v/>
      </c>
      <c r="E118" t="str">
        <f>IF(IF(B118="", "", VLOOKUP(B118,'API Data Dictionary'!C:E,3,FALSE))=0, "", IF(B118="", "", VLOOKUP(B118,'API Data Dictionary'!C:E,3,FALSE)))</f>
        <v/>
      </c>
      <c r="F118" t="str">
        <f>IF(IF(B118="", "", VLOOKUP(B118,'API Data Dictionary'!C:F,4,FALSE))=0, "", IF(B118="", "", VLOOKUP(B118,'API Data Dictionary'!C:F,4,FALSE)))</f>
        <v/>
      </c>
      <c r="G118" t="str">
        <f>IF(IF(B118="", "", VLOOKUP(B118,'API Data Dictionary'!C:G,5,FALSE))=0, "", IF(B118="", "", VLOOKUP(B118,'API Data Dictionary'!C:G,5,FALSE)))</f>
        <v/>
      </c>
    </row>
    <row r="119" spans="1:7" x14ac:dyDescent="0.35">
      <c r="A119" t="str">
        <f t="shared" si="6"/>
        <v/>
      </c>
      <c r="B119" t="str">
        <f t="shared" si="7"/>
        <v/>
      </c>
      <c r="C119" t="str">
        <f>IF(B119="", "", VLOOKUP(B119,'API Data Dictionary'!C:R,16,FALSE))</f>
        <v/>
      </c>
      <c r="D119" t="str">
        <f>IF(B119="", "", VLOOKUP(B119,'API Data Dictionary'!C:D,2,FALSE))</f>
        <v/>
      </c>
      <c r="E119" t="str">
        <f>IF(IF(B119="", "", VLOOKUP(B119,'API Data Dictionary'!C:E,3,FALSE))=0, "", IF(B119="", "", VLOOKUP(B119,'API Data Dictionary'!C:E,3,FALSE)))</f>
        <v/>
      </c>
      <c r="F119" t="str">
        <f>IF(IF(B119="", "", VLOOKUP(B119,'API Data Dictionary'!C:F,4,FALSE))=0, "", IF(B119="", "", VLOOKUP(B119,'API Data Dictionary'!C:F,4,FALSE)))</f>
        <v/>
      </c>
      <c r="G119" t="str">
        <f>IF(IF(B119="", "", VLOOKUP(B119,'API Data Dictionary'!C:G,5,FALSE))=0, "", IF(B119="", "", VLOOKUP(B119,'API Data Dictionary'!C:G,5,FALSE)))</f>
        <v/>
      </c>
    </row>
    <row r="120" spans="1:7" x14ac:dyDescent="0.35">
      <c r="A120" t="str">
        <f t="shared" si="6"/>
        <v/>
      </c>
      <c r="B120" t="str">
        <f t="shared" si="7"/>
        <v/>
      </c>
      <c r="C120" t="str">
        <f>IF(B120="", "", VLOOKUP(B120,'API Data Dictionary'!C:R,16,FALSE))</f>
        <v/>
      </c>
      <c r="D120" t="str">
        <f>IF(B120="", "", VLOOKUP(B120,'API Data Dictionary'!C:D,2,FALSE))</f>
        <v/>
      </c>
      <c r="E120" t="str">
        <f>IF(IF(B120="", "", VLOOKUP(B120,'API Data Dictionary'!C:E,3,FALSE))=0, "", IF(B120="", "", VLOOKUP(B120,'API Data Dictionary'!C:E,3,FALSE)))</f>
        <v/>
      </c>
      <c r="F120" t="str">
        <f>IF(IF(B120="", "", VLOOKUP(B120,'API Data Dictionary'!C:F,4,FALSE))=0, "", IF(B120="", "", VLOOKUP(B120,'API Data Dictionary'!C:F,4,FALSE)))</f>
        <v/>
      </c>
      <c r="G120" t="str">
        <f>IF(IF(B120="", "", VLOOKUP(B120,'API Data Dictionary'!C:G,5,FALSE))=0, "", IF(B120="", "", VLOOKUP(B120,'API Data Dictionary'!C:G,5,FALSE)))</f>
        <v/>
      </c>
    </row>
    <row r="121" spans="1:7" x14ac:dyDescent="0.35">
      <c r="A121" t="str">
        <f t="shared" si="6"/>
        <v/>
      </c>
      <c r="B121" t="str">
        <f t="shared" si="7"/>
        <v/>
      </c>
      <c r="C121" t="str">
        <f>IF(B121="", "", VLOOKUP(B121,'API Data Dictionary'!C:R,16,FALSE))</f>
        <v/>
      </c>
      <c r="D121" t="str">
        <f>IF(B121="", "", VLOOKUP(B121,'API Data Dictionary'!C:D,2,FALSE))</f>
        <v/>
      </c>
      <c r="E121" t="str">
        <f>IF(IF(B121="", "", VLOOKUP(B121,'API Data Dictionary'!C:E,3,FALSE))=0, "", IF(B121="", "", VLOOKUP(B121,'API Data Dictionary'!C:E,3,FALSE)))</f>
        <v/>
      </c>
      <c r="F121" t="str">
        <f>IF(IF(B121="", "", VLOOKUP(B121,'API Data Dictionary'!C:F,4,FALSE))=0, "", IF(B121="", "", VLOOKUP(B121,'API Data Dictionary'!C:F,4,FALSE)))</f>
        <v/>
      </c>
      <c r="G121" t="str">
        <f>IF(IF(B121="", "", VLOOKUP(B121,'API Data Dictionary'!C:G,5,FALSE))=0, "", IF(B121="", "", VLOOKUP(B121,'API Data Dictionary'!C:G,5,FALSE)))</f>
        <v/>
      </c>
    </row>
    <row r="122" spans="1:7" x14ac:dyDescent="0.35">
      <c r="A122" t="str">
        <f t="shared" si="6"/>
        <v/>
      </c>
      <c r="B122" t="str">
        <f t="shared" si="7"/>
        <v/>
      </c>
      <c r="C122" t="str">
        <f>IF(B122="", "", VLOOKUP(B122,'API Data Dictionary'!C:R,16,FALSE))</f>
        <v/>
      </c>
      <c r="D122" t="str">
        <f>IF(B122="", "", VLOOKUP(B122,'API Data Dictionary'!C:D,2,FALSE))</f>
        <v/>
      </c>
      <c r="E122" t="str">
        <f>IF(IF(B122="", "", VLOOKUP(B122,'API Data Dictionary'!C:E,3,FALSE))=0, "", IF(B122="", "", VLOOKUP(B122,'API Data Dictionary'!C:E,3,FALSE)))</f>
        <v/>
      </c>
      <c r="F122" t="str">
        <f>IF(IF(B122="", "", VLOOKUP(B122,'API Data Dictionary'!C:F,4,FALSE))=0, "", IF(B122="", "", VLOOKUP(B122,'API Data Dictionary'!C:F,4,FALSE)))</f>
        <v/>
      </c>
      <c r="G122" t="str">
        <f>IF(IF(B122="", "", VLOOKUP(B122,'API Data Dictionary'!C:G,5,FALSE))=0, "", IF(B122="", "", VLOOKUP(B122,'API Data Dictionary'!C:G,5,FALSE)))</f>
        <v/>
      </c>
    </row>
    <row r="123" spans="1:7" x14ac:dyDescent="0.35">
      <c r="A123" t="str">
        <f t="shared" si="6"/>
        <v/>
      </c>
      <c r="B123" t="str">
        <f t="shared" si="7"/>
        <v/>
      </c>
      <c r="C123" t="str">
        <f>IF(B123="", "", VLOOKUP(B123,'API Data Dictionary'!C:R,16,FALSE))</f>
        <v/>
      </c>
      <c r="D123" t="str">
        <f>IF(B123="", "", VLOOKUP(B123,'API Data Dictionary'!C:D,2,FALSE))</f>
        <v/>
      </c>
      <c r="E123" t="str">
        <f>IF(IF(B123="", "", VLOOKUP(B123,'API Data Dictionary'!C:E,3,FALSE))=0, "", IF(B123="", "", VLOOKUP(B123,'API Data Dictionary'!C:E,3,FALSE)))</f>
        <v/>
      </c>
      <c r="F123" t="str">
        <f>IF(IF(B123="", "", VLOOKUP(B123,'API Data Dictionary'!C:F,4,FALSE))=0, "", IF(B123="", "", VLOOKUP(B123,'API Data Dictionary'!C:F,4,FALSE)))</f>
        <v/>
      </c>
      <c r="G123" t="str">
        <f>IF(IF(B123="", "", VLOOKUP(B123,'API Data Dictionary'!C:G,5,FALSE))=0, "", IF(B123="", "", VLOOKUP(B123,'API Data Dictionary'!C:G,5,FALSE)))</f>
        <v/>
      </c>
    </row>
    <row r="124" spans="1:7" x14ac:dyDescent="0.35">
      <c r="A124" t="str">
        <f t="shared" si="6"/>
        <v/>
      </c>
      <c r="B124" t="str">
        <f t="shared" si="7"/>
        <v/>
      </c>
      <c r="C124" t="str">
        <f>IF(B124="", "", VLOOKUP(B124,'API Data Dictionary'!C:R,16,FALSE))</f>
        <v/>
      </c>
      <c r="D124" t="str">
        <f>IF(B124="", "", VLOOKUP(B124,'API Data Dictionary'!C:D,2,FALSE))</f>
        <v/>
      </c>
      <c r="E124" t="str">
        <f>IF(IF(B124="", "", VLOOKUP(B124,'API Data Dictionary'!C:E,3,FALSE))=0, "", IF(B124="", "", VLOOKUP(B124,'API Data Dictionary'!C:E,3,FALSE)))</f>
        <v/>
      </c>
      <c r="F124" t="str">
        <f>IF(IF(B124="", "", VLOOKUP(B124,'API Data Dictionary'!C:F,4,FALSE))=0, "", IF(B124="", "", VLOOKUP(B124,'API Data Dictionary'!C:F,4,FALSE)))</f>
        <v/>
      </c>
      <c r="G124" t="str">
        <f>IF(IF(B124="", "", VLOOKUP(B124,'API Data Dictionary'!C:G,5,FALSE))=0, "", IF(B124="", "", VLOOKUP(B124,'API Data Dictionary'!C:G,5,FALSE)))</f>
        <v/>
      </c>
    </row>
    <row r="125" spans="1:7" x14ac:dyDescent="0.35">
      <c r="A125" t="str">
        <f t="shared" si="6"/>
        <v/>
      </c>
      <c r="B125" t="str">
        <f t="shared" si="7"/>
        <v/>
      </c>
      <c r="C125" t="str">
        <f>IF(B125="", "", VLOOKUP(B125,'API Data Dictionary'!C:R,16,FALSE))</f>
        <v/>
      </c>
      <c r="D125" t="str">
        <f>IF(B125="", "", VLOOKUP(B125,'API Data Dictionary'!C:D,2,FALSE))</f>
        <v/>
      </c>
      <c r="E125" t="str">
        <f>IF(IF(B125="", "", VLOOKUP(B125,'API Data Dictionary'!C:E,3,FALSE))=0, "", IF(B125="", "", VLOOKUP(B125,'API Data Dictionary'!C:E,3,FALSE)))</f>
        <v/>
      </c>
      <c r="F125" t="str">
        <f>IF(IF(B125="", "", VLOOKUP(B125,'API Data Dictionary'!C:F,4,FALSE))=0, "", IF(B125="", "", VLOOKUP(B125,'API Data Dictionary'!C:F,4,FALSE)))</f>
        <v/>
      </c>
      <c r="G125" t="str">
        <f>IF(IF(B125="", "", VLOOKUP(B125,'API Data Dictionary'!C:G,5,FALSE))=0, "", IF(B125="", "", VLOOKUP(B125,'API Data Dictionary'!C:G,5,FALSE)))</f>
        <v/>
      </c>
    </row>
    <row r="126" spans="1:7" x14ac:dyDescent="0.35">
      <c r="A126" t="str">
        <f t="shared" si="6"/>
        <v/>
      </c>
      <c r="B126" t="str">
        <f t="shared" si="7"/>
        <v/>
      </c>
      <c r="C126" t="str">
        <f>IF(B126="", "", VLOOKUP(B126,'API Data Dictionary'!C:R,16,FALSE))</f>
        <v/>
      </c>
      <c r="D126" t="str">
        <f>IF(B126="", "", VLOOKUP(B126,'API Data Dictionary'!C:D,2,FALSE))</f>
        <v/>
      </c>
      <c r="E126" t="str">
        <f>IF(IF(B126="", "", VLOOKUP(B126,'API Data Dictionary'!C:E,3,FALSE))=0, "", IF(B126="", "", VLOOKUP(B126,'API Data Dictionary'!C:E,3,FALSE)))</f>
        <v/>
      </c>
      <c r="F126" t="str">
        <f>IF(IF(B126="", "", VLOOKUP(B126,'API Data Dictionary'!C:F,4,FALSE))=0, "", IF(B126="", "", VLOOKUP(B126,'API Data Dictionary'!C:F,4,FALSE)))</f>
        <v/>
      </c>
      <c r="G126" t="str">
        <f>IF(IF(B126="", "", VLOOKUP(B126,'API Data Dictionary'!C:G,5,FALSE))=0, "", IF(B126="", "", VLOOKUP(B126,'API Data Dictionary'!C:G,5,FALSE)))</f>
        <v/>
      </c>
    </row>
    <row r="127" spans="1:7" x14ac:dyDescent="0.35">
      <c r="A127" t="str">
        <f t="shared" si="6"/>
        <v/>
      </c>
      <c r="B127" t="str">
        <f t="shared" si="7"/>
        <v/>
      </c>
      <c r="C127" t="str">
        <f>IF(B127="", "", VLOOKUP(B127,'API Data Dictionary'!C:R,16,FALSE))</f>
        <v/>
      </c>
      <c r="D127" t="str">
        <f>IF(B127="", "", VLOOKUP(B127,'API Data Dictionary'!C:D,2,FALSE))</f>
        <v/>
      </c>
      <c r="E127" t="str">
        <f>IF(IF(B127="", "", VLOOKUP(B127,'API Data Dictionary'!C:E,3,FALSE))=0, "", IF(B127="", "", VLOOKUP(B127,'API Data Dictionary'!C:E,3,FALSE)))</f>
        <v/>
      </c>
      <c r="F127" t="str">
        <f>IF(IF(B127="", "", VLOOKUP(B127,'API Data Dictionary'!C:F,4,FALSE))=0, "", IF(B127="", "", VLOOKUP(B127,'API Data Dictionary'!C:F,4,FALSE)))</f>
        <v/>
      </c>
      <c r="G127" t="str">
        <f>IF(IF(B127="", "", VLOOKUP(B127,'API Data Dictionary'!C:G,5,FALSE))=0, "", IF(B127="", "", VLOOKUP(B127,'API Data Dictionary'!C:G,5,FALSE)))</f>
        <v/>
      </c>
    </row>
    <row r="128" spans="1:7" x14ac:dyDescent="0.35">
      <c r="A128" t="str">
        <f t="shared" si="6"/>
        <v/>
      </c>
      <c r="B128" t="str">
        <f t="shared" si="7"/>
        <v/>
      </c>
      <c r="C128" t="str">
        <f>IF(B128="", "", VLOOKUP(B128,'API Data Dictionary'!C:R,16,FALSE))</f>
        <v/>
      </c>
      <c r="D128" t="str">
        <f>IF(B128="", "", VLOOKUP(B128,'API Data Dictionary'!C:D,2,FALSE))</f>
        <v/>
      </c>
      <c r="E128" t="str">
        <f>IF(IF(B128="", "", VLOOKUP(B128,'API Data Dictionary'!C:E,3,FALSE))=0, "", IF(B128="", "", VLOOKUP(B128,'API Data Dictionary'!C:E,3,FALSE)))</f>
        <v/>
      </c>
      <c r="F128" t="str">
        <f>IF(IF(B128="", "", VLOOKUP(B128,'API Data Dictionary'!C:F,4,FALSE))=0, "", IF(B128="", "", VLOOKUP(B128,'API Data Dictionary'!C:F,4,FALSE)))</f>
        <v/>
      </c>
      <c r="G128" t="str">
        <f>IF(IF(B128="", "", VLOOKUP(B128,'API Data Dictionary'!C:G,5,FALSE))=0, "", IF(B128="", "", VLOOKUP(B128,'API Data Dictionary'!C:G,5,FALSE)))</f>
        <v/>
      </c>
    </row>
    <row r="129" spans="1:7" x14ac:dyDescent="0.35">
      <c r="A129" t="str">
        <f t="shared" si="6"/>
        <v/>
      </c>
      <c r="B129" t="str">
        <f t="shared" si="7"/>
        <v/>
      </c>
      <c r="C129" t="str">
        <f>IF(B129="", "", VLOOKUP(B129,'API Data Dictionary'!C:R,16,FALSE))</f>
        <v/>
      </c>
      <c r="D129" t="str">
        <f>IF(B129="", "", VLOOKUP(B129,'API Data Dictionary'!C:D,2,FALSE))</f>
        <v/>
      </c>
      <c r="E129" t="str">
        <f>IF(IF(B129="", "", VLOOKUP(B129,'API Data Dictionary'!C:E,3,FALSE))=0, "", IF(B129="", "", VLOOKUP(B129,'API Data Dictionary'!C:E,3,FALSE)))</f>
        <v/>
      </c>
      <c r="F129" t="str">
        <f>IF(IF(B129="", "", VLOOKUP(B129,'API Data Dictionary'!C:F,4,FALSE))=0, "", IF(B129="", "", VLOOKUP(B129,'API Data Dictionary'!C:F,4,FALSE)))</f>
        <v/>
      </c>
      <c r="G129" t="str">
        <f>IF(IF(B129="", "", VLOOKUP(B129,'API Data Dictionary'!C:G,5,FALSE))=0, "", IF(B129="", "", VLOOKUP(B129,'API Data Dictionary'!C:G,5,FALSE)))</f>
        <v/>
      </c>
    </row>
    <row r="130" spans="1:7" x14ac:dyDescent="0.35">
      <c r="A130" t="str">
        <f t="shared" si="6"/>
        <v/>
      </c>
      <c r="B130" t="str">
        <f t="shared" si="7"/>
        <v/>
      </c>
      <c r="C130" t="str">
        <f>IF(B130="", "", VLOOKUP(B130,'API Data Dictionary'!C:R,16,FALSE))</f>
        <v/>
      </c>
      <c r="D130" t="str">
        <f>IF(B130="", "", VLOOKUP(B130,'API Data Dictionary'!C:D,2,FALSE))</f>
        <v/>
      </c>
      <c r="E130" t="str">
        <f>IF(IF(B130="", "", VLOOKUP(B130,'API Data Dictionary'!C:E,3,FALSE))=0, "", IF(B130="", "", VLOOKUP(B130,'API Data Dictionary'!C:E,3,FALSE)))</f>
        <v/>
      </c>
      <c r="F130" t="str">
        <f>IF(IF(B130="", "", VLOOKUP(B130,'API Data Dictionary'!C:F,4,FALSE))=0, "", IF(B130="", "", VLOOKUP(B130,'API Data Dictionary'!C:F,4,FALSE)))</f>
        <v/>
      </c>
      <c r="G130" t="str">
        <f>IF(IF(B130="", "", VLOOKUP(B130,'API Data Dictionary'!C:G,5,FALSE))=0, "", IF(B130="", "", VLOOKUP(B130,'API Data Dictionary'!C:G,5,FALSE)))</f>
        <v/>
      </c>
    </row>
    <row r="131" spans="1:7" x14ac:dyDescent="0.35">
      <c r="A131" t="str">
        <f t="shared" si="6"/>
        <v/>
      </c>
      <c r="B131" t="str">
        <f t="shared" si="7"/>
        <v/>
      </c>
      <c r="C131" t="str">
        <f>IF(B131="", "", VLOOKUP(B131,'API Data Dictionary'!C:R,16,FALSE))</f>
        <v/>
      </c>
      <c r="D131" t="str">
        <f>IF(B131="", "", VLOOKUP(B131,'API Data Dictionary'!C:D,2,FALSE))</f>
        <v/>
      </c>
      <c r="E131" t="str">
        <f>IF(IF(B131="", "", VLOOKUP(B131,'API Data Dictionary'!C:E,3,FALSE))=0, "", IF(B131="", "", VLOOKUP(B131,'API Data Dictionary'!C:E,3,FALSE)))</f>
        <v/>
      </c>
      <c r="F131" t="str">
        <f>IF(IF(B131="", "", VLOOKUP(B131,'API Data Dictionary'!C:F,4,FALSE))=0, "", IF(B131="", "", VLOOKUP(B131,'API Data Dictionary'!C:F,4,FALSE)))</f>
        <v/>
      </c>
      <c r="G131" t="str">
        <f>IF(IF(B131="", "", VLOOKUP(B131,'API Data Dictionary'!C:G,5,FALSE))=0, "", IF(B131="", "", VLOOKUP(B131,'API Data Dictionary'!C:G,5,FALSE)))</f>
        <v/>
      </c>
    </row>
    <row r="132" spans="1:7" x14ac:dyDescent="0.35">
      <c r="A132" t="str">
        <f t="shared" si="6"/>
        <v/>
      </c>
      <c r="B132" t="str">
        <f t="shared" si="7"/>
        <v/>
      </c>
      <c r="C132" t="str">
        <f>IF(B132="", "", VLOOKUP(B132,'API Data Dictionary'!C:R,16,FALSE))</f>
        <v/>
      </c>
      <c r="D132" t="str">
        <f>IF(B132="", "", VLOOKUP(B132,'API Data Dictionary'!C:D,2,FALSE))</f>
        <v/>
      </c>
      <c r="E132" t="str">
        <f>IF(IF(B132="", "", VLOOKUP(B132,'API Data Dictionary'!C:E,3,FALSE))=0, "", IF(B132="", "", VLOOKUP(B132,'API Data Dictionary'!C:E,3,FALSE)))</f>
        <v/>
      </c>
      <c r="F132" t="str">
        <f>IF(IF(B132="", "", VLOOKUP(B132,'API Data Dictionary'!C:F,4,FALSE))=0, "", IF(B132="", "", VLOOKUP(B132,'API Data Dictionary'!C:F,4,FALSE)))</f>
        <v/>
      </c>
      <c r="G132" t="str">
        <f>IF(IF(B132="", "", VLOOKUP(B132,'API Data Dictionary'!C:G,5,FALSE))=0, "", IF(B132="", "", VLOOKUP(B132,'API Data Dictionary'!C:G,5,FALSE)))</f>
        <v/>
      </c>
    </row>
    <row r="133" spans="1:7" x14ac:dyDescent="0.35">
      <c r="A133" t="str">
        <f t="shared" si="6"/>
        <v/>
      </c>
      <c r="B133" t="str">
        <f t="shared" si="7"/>
        <v/>
      </c>
      <c r="C133" t="str">
        <f>IF(B133="", "", VLOOKUP(B133,'API Data Dictionary'!C:R,16,FALSE))</f>
        <v/>
      </c>
      <c r="D133" t="str">
        <f>IF(B133="", "", VLOOKUP(B133,'API Data Dictionary'!C:D,2,FALSE))</f>
        <v/>
      </c>
      <c r="E133" t="str">
        <f>IF(IF(B133="", "", VLOOKUP(B133,'API Data Dictionary'!C:E,3,FALSE))=0, "", IF(B133="", "", VLOOKUP(B133,'API Data Dictionary'!C:E,3,FALSE)))</f>
        <v/>
      </c>
      <c r="F133" t="str">
        <f>IF(IF(B133="", "", VLOOKUP(B133,'API Data Dictionary'!C:F,4,FALSE))=0, "", IF(B133="", "", VLOOKUP(B133,'API Data Dictionary'!C:F,4,FALSE)))</f>
        <v/>
      </c>
      <c r="G133" t="str">
        <f>IF(IF(B133="", "", VLOOKUP(B133,'API Data Dictionary'!C:G,5,FALSE))=0, "", IF(B133="", "", VLOOKUP(B133,'API Data Dictionary'!C:G,5,FALSE)))</f>
        <v/>
      </c>
    </row>
    <row r="134" spans="1:7" x14ac:dyDescent="0.35">
      <c r="A134" t="str">
        <f t="shared" si="6"/>
        <v/>
      </c>
      <c r="B134" t="str">
        <f t="shared" si="7"/>
        <v/>
      </c>
      <c r="C134" t="str">
        <f>IF(B134="", "", VLOOKUP(B134,'API Data Dictionary'!C:R,16,FALSE))</f>
        <v/>
      </c>
      <c r="D134" t="str">
        <f>IF(B134="", "", VLOOKUP(B134,'API Data Dictionary'!C:D,2,FALSE))</f>
        <v/>
      </c>
      <c r="E134" t="str">
        <f>IF(IF(B134="", "", VLOOKUP(B134,'API Data Dictionary'!C:E,3,FALSE))=0, "", IF(B134="", "", VLOOKUP(B134,'API Data Dictionary'!C:E,3,FALSE)))</f>
        <v/>
      </c>
      <c r="F134" t="str">
        <f>IF(IF(B134="", "", VLOOKUP(B134,'API Data Dictionary'!C:F,4,FALSE))=0, "", IF(B134="", "", VLOOKUP(B134,'API Data Dictionary'!C:F,4,FALSE)))</f>
        <v/>
      </c>
      <c r="G134" t="str">
        <f>IF(IF(B134="", "", VLOOKUP(B134,'API Data Dictionary'!C:G,5,FALSE))=0, "", IF(B134="", "", VLOOKUP(B134,'API Data Dictionary'!C:G,5,FALSE)))</f>
        <v/>
      </c>
    </row>
    <row r="135" spans="1:7" x14ac:dyDescent="0.35">
      <c r="A135" t="str">
        <f t="shared" si="6"/>
        <v/>
      </c>
      <c r="B135" t="str">
        <f t="shared" si="7"/>
        <v/>
      </c>
      <c r="C135" t="str">
        <f>IF(B135="", "", VLOOKUP(B135,'API Data Dictionary'!C:R,16,FALSE))</f>
        <v/>
      </c>
      <c r="D135" t="str">
        <f>IF(B135="", "", VLOOKUP(B135,'API Data Dictionary'!C:D,2,FALSE))</f>
        <v/>
      </c>
      <c r="E135" t="str">
        <f>IF(IF(B135="", "", VLOOKUP(B135,'API Data Dictionary'!C:E,3,FALSE))=0, "", IF(B135="", "", VLOOKUP(B135,'API Data Dictionary'!C:E,3,FALSE)))</f>
        <v/>
      </c>
      <c r="F135" t="str">
        <f>IF(IF(B135="", "", VLOOKUP(B135,'API Data Dictionary'!C:F,4,FALSE))=0, "", IF(B135="", "", VLOOKUP(B135,'API Data Dictionary'!C:F,4,FALSE)))</f>
        <v/>
      </c>
      <c r="G135" t="str">
        <f>IF(IF(B135="", "", VLOOKUP(B135,'API Data Dictionary'!C:G,5,FALSE))=0, "", IF(B135="", "", VLOOKUP(B135,'API Data Dictionary'!C:G,5,FALSE)))</f>
        <v/>
      </c>
    </row>
    <row r="136" spans="1:7" x14ac:dyDescent="0.35">
      <c r="A136" t="str">
        <f t="shared" si="6"/>
        <v/>
      </c>
      <c r="B136" t="str">
        <f t="shared" si="7"/>
        <v/>
      </c>
      <c r="C136" t="str">
        <f>IF(B136="", "", VLOOKUP(B136,'API Data Dictionary'!C:R,16,FALSE))</f>
        <v/>
      </c>
      <c r="D136" t="str">
        <f>IF(B136="", "", VLOOKUP(B136,'API Data Dictionary'!C:D,2,FALSE))</f>
        <v/>
      </c>
      <c r="E136" t="str">
        <f>IF(IF(B136="", "", VLOOKUP(B136,'API Data Dictionary'!C:E,3,FALSE))=0, "", IF(B136="", "", VLOOKUP(B136,'API Data Dictionary'!C:E,3,FALSE)))</f>
        <v/>
      </c>
      <c r="F136" t="str">
        <f>IF(IF(B136="", "", VLOOKUP(B136,'API Data Dictionary'!C:F,4,FALSE))=0, "", IF(B136="", "", VLOOKUP(B136,'API Data Dictionary'!C:F,4,FALSE)))</f>
        <v/>
      </c>
      <c r="G136" t="str">
        <f>IF(IF(B136="", "", VLOOKUP(B136,'API Data Dictionary'!C:G,5,FALSE))=0, "", IF(B136="", "", VLOOKUP(B136,'API Data Dictionary'!C:G,5,FALSE)))</f>
        <v/>
      </c>
    </row>
    <row r="137" spans="1:7" x14ac:dyDescent="0.35">
      <c r="A137" t="str">
        <f t="shared" si="6"/>
        <v/>
      </c>
      <c r="B137" t="str">
        <f t="shared" si="7"/>
        <v/>
      </c>
      <c r="C137" t="str">
        <f>IF(B137="", "", VLOOKUP(B137,'API Data Dictionary'!C:R,16,FALSE))</f>
        <v/>
      </c>
      <c r="D137" t="str">
        <f>IF(B137="", "", VLOOKUP(B137,'API Data Dictionary'!C:D,2,FALSE))</f>
        <v/>
      </c>
      <c r="E137" t="str">
        <f>IF(IF(B137="", "", VLOOKUP(B137,'API Data Dictionary'!C:E,3,FALSE))=0, "", IF(B137="", "", VLOOKUP(B137,'API Data Dictionary'!C:E,3,FALSE)))</f>
        <v/>
      </c>
      <c r="F137" t="str">
        <f>IF(IF(B137="", "", VLOOKUP(B137,'API Data Dictionary'!C:F,4,FALSE))=0, "", IF(B137="", "", VLOOKUP(B137,'API Data Dictionary'!C:F,4,FALSE)))</f>
        <v/>
      </c>
      <c r="G137" t="str">
        <f>IF(IF(B137="", "", VLOOKUP(B137,'API Data Dictionary'!C:G,5,FALSE))=0, "", IF(B137="", "", VLOOKUP(B137,'API Data Dictionary'!C:G,5,FALSE)))</f>
        <v/>
      </c>
    </row>
    <row r="138" spans="1:7" x14ac:dyDescent="0.35">
      <c r="A138" t="str">
        <f t="shared" si="6"/>
        <v/>
      </c>
      <c r="B138" t="str">
        <f t="shared" si="7"/>
        <v/>
      </c>
      <c r="C138" t="str">
        <f>IF(B138="", "", VLOOKUP(B138,'API Data Dictionary'!C:R,16,FALSE))</f>
        <v/>
      </c>
      <c r="D138" t="str">
        <f>IF(B138="", "", VLOOKUP(B138,'API Data Dictionary'!C:D,2,FALSE))</f>
        <v/>
      </c>
      <c r="E138" t="str">
        <f>IF(IF(B138="", "", VLOOKUP(B138,'API Data Dictionary'!C:E,3,FALSE))=0, "", IF(B138="", "", VLOOKUP(B138,'API Data Dictionary'!C:E,3,FALSE)))</f>
        <v/>
      </c>
      <c r="F138" t="str">
        <f>IF(IF(B138="", "", VLOOKUP(B138,'API Data Dictionary'!C:F,4,FALSE))=0, "", IF(B138="", "", VLOOKUP(B138,'API Data Dictionary'!C:F,4,FALSE)))</f>
        <v/>
      </c>
      <c r="G138" t="str">
        <f>IF(IF(B138="", "", VLOOKUP(B138,'API Data Dictionary'!C:G,5,FALSE))=0, "", IF(B138="", "", VLOOKUP(B138,'API Data Dictionary'!C:G,5,FALSE)))</f>
        <v/>
      </c>
    </row>
    <row r="139" spans="1:7" x14ac:dyDescent="0.35">
      <c r="A139" t="str">
        <f t="shared" si="6"/>
        <v/>
      </c>
      <c r="B139" t="str">
        <f t="shared" si="7"/>
        <v/>
      </c>
      <c r="C139" t="str">
        <f>IF(B139="", "", VLOOKUP(B139,'API Data Dictionary'!C:R,16,FALSE))</f>
        <v/>
      </c>
      <c r="D139" t="str">
        <f>IF(B139="", "", VLOOKUP(B139,'API Data Dictionary'!C:D,2,FALSE))</f>
        <v/>
      </c>
      <c r="E139" t="str">
        <f>IF(IF(B139="", "", VLOOKUP(B139,'API Data Dictionary'!C:E,3,FALSE))=0, "", IF(B139="", "", VLOOKUP(B139,'API Data Dictionary'!C:E,3,FALSE)))</f>
        <v/>
      </c>
      <c r="F139" t="str">
        <f>IF(IF(B139="", "", VLOOKUP(B139,'API Data Dictionary'!C:F,4,FALSE))=0, "", IF(B139="", "", VLOOKUP(B139,'API Data Dictionary'!C:F,4,FALSE)))</f>
        <v/>
      </c>
      <c r="G139" t="str">
        <f>IF(IF(B139="", "", VLOOKUP(B139,'API Data Dictionary'!C:G,5,FALSE))=0, "", IF(B139="", "", VLOOKUP(B139,'API Data Dictionary'!C:G,5,FALSE)))</f>
        <v/>
      </c>
    </row>
    <row r="140" spans="1:7" x14ac:dyDescent="0.35">
      <c r="A140" t="str">
        <f t="shared" si="6"/>
        <v/>
      </c>
      <c r="B140" t="str">
        <f t="shared" si="7"/>
        <v/>
      </c>
      <c r="C140" t="str">
        <f>IF(B140="", "", VLOOKUP(B140,'API Data Dictionary'!C:R,16,FALSE))</f>
        <v/>
      </c>
      <c r="D140" t="str">
        <f>IF(B140="", "", VLOOKUP(B140,'API Data Dictionary'!C:D,2,FALSE))</f>
        <v/>
      </c>
      <c r="E140" t="str">
        <f>IF(IF(B140="", "", VLOOKUP(B140,'API Data Dictionary'!C:E,3,FALSE))=0, "", IF(B140="", "", VLOOKUP(B140,'API Data Dictionary'!C:E,3,FALSE)))</f>
        <v/>
      </c>
      <c r="F140" t="str">
        <f>IF(IF(B140="", "", VLOOKUP(B140,'API Data Dictionary'!C:F,4,FALSE))=0, "", IF(B140="", "", VLOOKUP(B140,'API Data Dictionary'!C:F,4,FALSE)))</f>
        <v/>
      </c>
      <c r="G140" t="str">
        <f>IF(IF(B140="", "", VLOOKUP(B140,'API Data Dictionary'!C:G,5,FALSE))=0, "", IF(B140="", "", VLOOKUP(B140,'API Data Dictionary'!C:G,5,FALSE)))</f>
        <v/>
      </c>
    </row>
    <row r="141" spans="1:7" x14ac:dyDescent="0.35">
      <c r="A141" t="str">
        <f t="shared" si="6"/>
        <v/>
      </c>
      <c r="B141" t="str">
        <f t="shared" si="7"/>
        <v/>
      </c>
      <c r="C141" t="str">
        <f>IF(B141="", "", VLOOKUP(B141,'API Data Dictionary'!C:R,16,FALSE))</f>
        <v/>
      </c>
      <c r="D141" t="str">
        <f>IF(B141="", "", VLOOKUP(B141,'API Data Dictionary'!C:D,2,FALSE))</f>
        <v/>
      </c>
      <c r="E141" t="str">
        <f>IF(IF(B141="", "", VLOOKUP(B141,'API Data Dictionary'!C:E,3,FALSE))=0, "", IF(B141="", "", VLOOKUP(B141,'API Data Dictionary'!C:E,3,FALSE)))</f>
        <v/>
      </c>
      <c r="F141" t="str">
        <f>IF(IF(B141="", "", VLOOKUP(B141,'API Data Dictionary'!C:F,4,FALSE))=0, "", IF(B141="", "", VLOOKUP(B141,'API Data Dictionary'!C:F,4,FALSE)))</f>
        <v/>
      </c>
      <c r="G141" t="str">
        <f>IF(IF(B141="", "", VLOOKUP(B141,'API Data Dictionary'!C:G,5,FALSE))=0, "", IF(B141="", "", VLOOKUP(B141,'API Data Dictionary'!C:G,5,FALSE)))</f>
        <v/>
      </c>
    </row>
    <row r="142" spans="1:7" x14ac:dyDescent="0.35">
      <c r="A142" t="str">
        <f t="shared" si="6"/>
        <v/>
      </c>
      <c r="B142" t="str">
        <f t="shared" si="7"/>
        <v/>
      </c>
      <c r="C142" t="str">
        <f>IF(B142="", "", VLOOKUP(B142,'API Data Dictionary'!C:R,16,FALSE))</f>
        <v/>
      </c>
      <c r="D142" t="str">
        <f>IF(B142="", "", VLOOKUP(B142,'API Data Dictionary'!C:D,2,FALSE))</f>
        <v/>
      </c>
      <c r="E142" t="str">
        <f>IF(IF(B142="", "", VLOOKUP(B142,'API Data Dictionary'!C:E,3,FALSE))=0, "", IF(B142="", "", VLOOKUP(B142,'API Data Dictionary'!C:E,3,FALSE)))</f>
        <v/>
      </c>
      <c r="F142" t="str">
        <f>IF(IF(B142="", "", VLOOKUP(B142,'API Data Dictionary'!C:F,4,FALSE))=0, "", IF(B142="", "", VLOOKUP(B142,'API Data Dictionary'!C:F,4,FALSE)))</f>
        <v/>
      </c>
      <c r="G142" t="str">
        <f>IF(IF(B142="", "", VLOOKUP(B142,'API Data Dictionary'!C:G,5,FALSE))=0, "", IF(B142="", "", VLOOKUP(B142,'API Data Dictionary'!C:G,5,FALSE)))</f>
        <v/>
      </c>
    </row>
    <row r="143" spans="1:7" x14ac:dyDescent="0.35">
      <c r="A143" t="str">
        <f t="shared" si="6"/>
        <v/>
      </c>
      <c r="B143" t="str">
        <f t="shared" si="7"/>
        <v/>
      </c>
      <c r="C143" t="str">
        <f>IF(B143="", "", VLOOKUP(B143,'API Data Dictionary'!C:R,16,FALSE))</f>
        <v/>
      </c>
      <c r="D143" t="str">
        <f>IF(B143="", "", VLOOKUP(B143,'API Data Dictionary'!C:D,2,FALSE))</f>
        <v/>
      </c>
      <c r="E143" t="str">
        <f>IF(IF(B143="", "", VLOOKUP(B143,'API Data Dictionary'!C:E,3,FALSE))=0, "", IF(B143="", "", VLOOKUP(B143,'API Data Dictionary'!C:E,3,FALSE)))</f>
        <v/>
      </c>
      <c r="F143" t="str">
        <f>IF(IF(B143="", "", VLOOKUP(B143,'API Data Dictionary'!C:F,4,FALSE))=0, "", IF(B143="", "", VLOOKUP(B143,'API Data Dictionary'!C:F,4,FALSE)))</f>
        <v/>
      </c>
      <c r="G143" t="str">
        <f>IF(IF(B143="", "", VLOOKUP(B143,'API Data Dictionary'!C:G,5,FALSE))=0, "", IF(B143="", "", VLOOKUP(B143,'API Data Dictionary'!C:G,5,FALSE)))</f>
        <v/>
      </c>
    </row>
    <row r="144" spans="1:7" x14ac:dyDescent="0.35">
      <c r="A144" t="str">
        <f t="shared" si="6"/>
        <v/>
      </c>
      <c r="B144" t="str">
        <f t="shared" si="7"/>
        <v/>
      </c>
      <c r="C144" t="str">
        <f>IF(B144="", "", VLOOKUP(B144,'API Data Dictionary'!C:R,16,FALSE))</f>
        <v/>
      </c>
      <c r="D144" t="str">
        <f>IF(B144="", "", VLOOKUP(B144,'API Data Dictionary'!C:D,2,FALSE))</f>
        <v/>
      </c>
      <c r="E144" t="str">
        <f>IF(IF(B144="", "", VLOOKUP(B144,'API Data Dictionary'!C:E,3,FALSE))=0, "", IF(B144="", "", VLOOKUP(B144,'API Data Dictionary'!C:E,3,FALSE)))</f>
        <v/>
      </c>
      <c r="F144" t="str">
        <f>IF(IF(B144="", "", VLOOKUP(B144,'API Data Dictionary'!C:F,4,FALSE))=0, "", IF(B144="", "", VLOOKUP(B144,'API Data Dictionary'!C:F,4,FALSE)))</f>
        <v/>
      </c>
      <c r="G144" t="str">
        <f>IF(IF(B144="", "", VLOOKUP(B144,'API Data Dictionary'!C:G,5,FALSE))=0, "", IF(B144="", "", VLOOKUP(B144,'API Data Dictionary'!C:G,5,FALSE)))</f>
        <v/>
      </c>
    </row>
    <row r="145" spans="1:7" x14ac:dyDescent="0.35">
      <c r="A145" t="str">
        <f t="shared" si="6"/>
        <v/>
      </c>
      <c r="B145" t="str">
        <f t="shared" si="7"/>
        <v/>
      </c>
      <c r="C145" t="str">
        <f>IF(B145="", "", VLOOKUP(B145,'API Data Dictionary'!C:R,16,FALSE))</f>
        <v/>
      </c>
      <c r="D145" t="str">
        <f>IF(B145="", "", VLOOKUP(B145,'API Data Dictionary'!C:D,2,FALSE))</f>
        <v/>
      </c>
      <c r="E145" t="str">
        <f>IF(IF(B145="", "", VLOOKUP(B145,'API Data Dictionary'!C:E,3,FALSE))=0, "", IF(B145="", "", VLOOKUP(B145,'API Data Dictionary'!C:E,3,FALSE)))</f>
        <v/>
      </c>
      <c r="F145" t="str">
        <f>IF(IF(B145="", "", VLOOKUP(B145,'API Data Dictionary'!C:F,4,FALSE))=0, "", IF(B145="", "", VLOOKUP(B145,'API Data Dictionary'!C:F,4,FALSE)))</f>
        <v/>
      </c>
      <c r="G145" t="str">
        <f>IF(IF(B145="", "", VLOOKUP(B145,'API Data Dictionary'!C:G,5,FALSE))=0, "", IF(B145="", "", VLOOKUP(B145,'API Data Dictionary'!C:G,5,FALSE)))</f>
        <v/>
      </c>
    </row>
    <row r="146" spans="1:7" x14ac:dyDescent="0.35">
      <c r="A146" t="str">
        <f t="shared" si="6"/>
        <v/>
      </c>
      <c r="B146" t="str">
        <f t="shared" si="7"/>
        <v/>
      </c>
      <c r="C146" t="str">
        <f>IF(B146="", "", VLOOKUP(B146,'API Data Dictionary'!C:R,16,FALSE))</f>
        <v/>
      </c>
      <c r="D146" t="str">
        <f>IF(B146="", "", VLOOKUP(B146,'API Data Dictionary'!C:D,2,FALSE))</f>
        <v/>
      </c>
      <c r="E146" t="str">
        <f>IF(IF(B146="", "", VLOOKUP(B146,'API Data Dictionary'!C:E,3,FALSE))=0, "", IF(B146="", "", VLOOKUP(B146,'API Data Dictionary'!C:E,3,FALSE)))</f>
        <v/>
      </c>
      <c r="F146" t="str">
        <f>IF(IF(B146="", "", VLOOKUP(B146,'API Data Dictionary'!C:F,4,FALSE))=0, "", IF(B146="", "", VLOOKUP(B146,'API Data Dictionary'!C:F,4,FALSE)))</f>
        <v/>
      </c>
      <c r="G146" t="str">
        <f>IF(IF(B146="", "", VLOOKUP(B146,'API Data Dictionary'!C:G,5,FALSE))=0, "", IF(B146="", "", VLOOKUP(B146,'API Data Dictionary'!C:G,5,FALSE)))</f>
        <v/>
      </c>
    </row>
    <row r="147" spans="1:7" x14ac:dyDescent="0.35">
      <c r="A147" t="str">
        <f t="shared" si="6"/>
        <v/>
      </c>
      <c r="B147" t="str">
        <f t="shared" si="7"/>
        <v/>
      </c>
      <c r="C147" t="str">
        <f>IF(B147="", "", VLOOKUP(B147,'API Data Dictionary'!C:R,16,FALSE))</f>
        <v/>
      </c>
      <c r="D147" t="str">
        <f>IF(B147="", "", VLOOKUP(B147,'API Data Dictionary'!C:D,2,FALSE))</f>
        <v/>
      </c>
      <c r="E147" t="str">
        <f>IF(IF(B147="", "", VLOOKUP(B147,'API Data Dictionary'!C:E,3,FALSE))=0, "", IF(B147="", "", VLOOKUP(B147,'API Data Dictionary'!C:E,3,FALSE)))</f>
        <v/>
      </c>
      <c r="F147" t="str">
        <f>IF(IF(B147="", "", VLOOKUP(B147,'API Data Dictionary'!C:F,4,FALSE))=0, "", IF(B147="", "", VLOOKUP(B147,'API Data Dictionary'!C:F,4,FALSE)))</f>
        <v/>
      </c>
      <c r="G147" t="str">
        <f>IF(IF(B147="", "", VLOOKUP(B147,'API Data Dictionary'!C:G,5,FALSE))=0, "", IF(B147="", "", VLOOKUP(B147,'API Data Dictionary'!C:G,5,FALSE)))</f>
        <v/>
      </c>
    </row>
    <row r="148" spans="1:7" x14ac:dyDescent="0.35">
      <c r="A148" t="str">
        <f t="shared" si="6"/>
        <v/>
      </c>
      <c r="B148" t="str">
        <f t="shared" si="7"/>
        <v/>
      </c>
      <c r="C148" t="str">
        <f>IF(B148="", "", VLOOKUP(B148,'API Data Dictionary'!C:R,16,FALSE))</f>
        <v/>
      </c>
      <c r="D148" t="str">
        <f>IF(B148="", "", VLOOKUP(B148,'API Data Dictionary'!C:D,2,FALSE))</f>
        <v/>
      </c>
      <c r="E148" t="str">
        <f>IF(IF(B148="", "", VLOOKUP(B148,'API Data Dictionary'!C:E,3,FALSE))=0, "", IF(B148="", "", VLOOKUP(B148,'API Data Dictionary'!C:E,3,FALSE)))</f>
        <v/>
      </c>
      <c r="F148" t="str">
        <f>IF(IF(B148="", "", VLOOKUP(B148,'API Data Dictionary'!C:F,4,FALSE))=0, "", IF(B148="", "", VLOOKUP(B148,'API Data Dictionary'!C:F,4,FALSE)))</f>
        <v/>
      </c>
      <c r="G148" t="str">
        <f>IF(IF(B148="", "", VLOOKUP(B148,'API Data Dictionary'!C:G,5,FALSE))=0, "", IF(B148="", "", VLOOKUP(B148,'API Data Dictionary'!C:G,5,FALSE)))</f>
        <v/>
      </c>
    </row>
    <row r="149" spans="1:7" x14ac:dyDescent="0.35">
      <c r="A149" t="str">
        <f t="shared" si="6"/>
        <v/>
      </c>
      <c r="B149" t="str">
        <f t="shared" si="7"/>
        <v/>
      </c>
      <c r="C149" t="str">
        <f>IF(B149="", "", VLOOKUP(B149,'API Data Dictionary'!C:R,16,FALSE))</f>
        <v/>
      </c>
      <c r="D149" t="str">
        <f>IF(B149="", "", VLOOKUP(B149,'API Data Dictionary'!C:D,2,FALSE))</f>
        <v/>
      </c>
      <c r="E149" t="str">
        <f>IF(IF(B149="", "", VLOOKUP(B149,'API Data Dictionary'!C:E,3,FALSE))=0, "", IF(B149="", "", VLOOKUP(B149,'API Data Dictionary'!C:E,3,FALSE)))</f>
        <v/>
      </c>
      <c r="F149" t="str">
        <f>IF(IF(B149="", "", VLOOKUP(B149,'API Data Dictionary'!C:F,4,FALSE))=0, "", IF(B149="", "", VLOOKUP(B149,'API Data Dictionary'!C:F,4,FALSE)))</f>
        <v/>
      </c>
      <c r="G149" t="str">
        <f>IF(IF(B149="", "", VLOOKUP(B149,'API Data Dictionary'!C:G,5,FALSE))=0, "", IF(B149="", "", VLOOKUP(B149,'API Data Dictionary'!C:G,5,FALSE)))</f>
        <v/>
      </c>
    </row>
    <row r="150" spans="1:7" x14ac:dyDescent="0.35">
      <c r="A150" t="str">
        <f t="shared" si="6"/>
        <v/>
      </c>
      <c r="B150" t="str">
        <f t="shared" si="7"/>
        <v/>
      </c>
      <c r="C150" t="str">
        <f>IF(B150="", "", VLOOKUP(B150,'API Data Dictionary'!C:R,16,FALSE))</f>
        <v/>
      </c>
      <c r="D150" t="str">
        <f>IF(B150="", "", VLOOKUP(B150,'API Data Dictionary'!C:D,2,FALSE))</f>
        <v/>
      </c>
      <c r="E150" t="str">
        <f>IF(IF(B150="", "", VLOOKUP(B150,'API Data Dictionary'!C:E,3,FALSE))=0, "", IF(B150="", "", VLOOKUP(B150,'API Data Dictionary'!C:E,3,FALSE)))</f>
        <v/>
      </c>
      <c r="F150" t="str">
        <f>IF(IF(B150="", "", VLOOKUP(B150,'API Data Dictionary'!C:F,4,FALSE))=0, "", IF(B150="", "", VLOOKUP(B150,'API Data Dictionary'!C:F,4,FALSE)))</f>
        <v/>
      </c>
      <c r="G150" t="str">
        <f>IF(IF(B150="", "", VLOOKUP(B150,'API Data Dictionary'!C:G,5,FALSE))=0, "", IF(B150="", "", VLOOKUP(B150,'API Data Dictionary'!C:G,5,FALSE)))</f>
        <v/>
      </c>
    </row>
    <row r="151" spans="1:7" x14ac:dyDescent="0.35">
      <c r="A151" t="str">
        <f t="shared" si="6"/>
        <v/>
      </c>
      <c r="B151" t="str">
        <f t="shared" si="7"/>
        <v/>
      </c>
      <c r="C151" t="str">
        <f>IF(B151="", "", VLOOKUP(B151,'API Data Dictionary'!C:R,16,FALSE))</f>
        <v/>
      </c>
      <c r="D151" t="str">
        <f>IF(B151="", "", VLOOKUP(B151,'API Data Dictionary'!C:D,2,FALSE))</f>
        <v/>
      </c>
      <c r="E151" t="str">
        <f>IF(IF(B151="", "", VLOOKUP(B151,'API Data Dictionary'!C:E,3,FALSE))=0, "", IF(B151="", "", VLOOKUP(B151,'API Data Dictionary'!C:E,3,FALSE)))</f>
        <v/>
      </c>
      <c r="F151" t="str">
        <f>IF(IF(B151="", "", VLOOKUP(B151,'API Data Dictionary'!C:F,4,FALSE))=0, "", IF(B151="", "", VLOOKUP(B151,'API Data Dictionary'!C:F,4,FALSE)))</f>
        <v/>
      </c>
      <c r="G151" t="str">
        <f>IF(IF(B151="", "", VLOOKUP(B151,'API Data Dictionary'!C:G,5,FALSE))=0, "", IF(B151="", "", VLOOKUP(B151,'API Data Dictionary'!C:G,5,FALSE)))</f>
        <v/>
      </c>
    </row>
    <row r="152" spans="1:7" x14ac:dyDescent="0.35">
      <c r="A152" t="str">
        <f t="shared" si="6"/>
        <v/>
      </c>
      <c r="B152" t="str">
        <f t="shared" si="7"/>
        <v/>
      </c>
      <c r="C152" t="str">
        <f>IF(B152="", "", VLOOKUP(B152,'API Data Dictionary'!C:R,16,FALSE))</f>
        <v/>
      </c>
      <c r="D152" t="str">
        <f>IF(B152="", "", VLOOKUP(B152,'API Data Dictionary'!C:D,2,FALSE))</f>
        <v/>
      </c>
      <c r="E152" t="str">
        <f>IF(IF(B152="", "", VLOOKUP(B152,'API Data Dictionary'!C:E,3,FALSE))=0, "", IF(B152="", "", VLOOKUP(B152,'API Data Dictionary'!C:E,3,FALSE)))</f>
        <v/>
      </c>
      <c r="F152" t="str">
        <f>IF(IF(B152="", "", VLOOKUP(B152,'API Data Dictionary'!C:F,4,FALSE))=0, "", IF(B152="", "", VLOOKUP(B152,'API Data Dictionary'!C:F,4,FALSE)))</f>
        <v/>
      </c>
      <c r="G152" t="str">
        <f>IF(IF(B152="", "", VLOOKUP(B152,'API Data Dictionary'!C:G,5,FALSE))=0, "", IF(B152="", "", VLOOKUP(B152,'API Data Dictionary'!C:G,5,FALSE)))</f>
        <v/>
      </c>
    </row>
    <row r="153" spans="1:7" x14ac:dyDescent="0.35">
      <c r="A153" t="str">
        <f t="shared" si="6"/>
        <v/>
      </c>
      <c r="B153" t="str">
        <f t="shared" si="7"/>
        <v/>
      </c>
      <c r="C153" t="str">
        <f>IF(B153="", "", VLOOKUP(B153,'API Data Dictionary'!C:R,16,FALSE))</f>
        <v/>
      </c>
      <c r="D153" t="str">
        <f>IF(B153="", "", VLOOKUP(B153,'API Data Dictionary'!C:D,2,FALSE))</f>
        <v/>
      </c>
      <c r="E153" t="str">
        <f>IF(IF(B153="", "", VLOOKUP(B153,'API Data Dictionary'!C:E,3,FALSE))=0, "", IF(B153="", "", VLOOKUP(B153,'API Data Dictionary'!C:E,3,FALSE)))</f>
        <v/>
      </c>
      <c r="F153" t="str">
        <f>IF(IF(B153="", "", VLOOKUP(B153,'API Data Dictionary'!C:F,4,FALSE))=0, "", IF(B153="", "", VLOOKUP(B153,'API Data Dictionary'!C:F,4,FALSE)))</f>
        <v/>
      </c>
      <c r="G153" t="str">
        <f>IF(IF(B153="", "", VLOOKUP(B153,'API Data Dictionary'!C:G,5,FALSE))=0, "", IF(B153="", "", VLOOKUP(B153,'API Data Dictionary'!C:G,5,FALSE)))</f>
        <v/>
      </c>
    </row>
    <row r="154" spans="1:7" x14ac:dyDescent="0.35">
      <c r="A154" t="str">
        <f t="shared" si="6"/>
        <v/>
      </c>
      <c r="B154" t="str">
        <f t="shared" si="7"/>
        <v/>
      </c>
      <c r="C154" t="str">
        <f>IF(B154="", "", VLOOKUP(B154,'API Data Dictionary'!C:R,16,FALSE))</f>
        <v/>
      </c>
      <c r="D154" t="str">
        <f>IF(B154="", "", VLOOKUP(B154,'API Data Dictionary'!C:D,2,FALSE))</f>
        <v/>
      </c>
      <c r="E154" t="str">
        <f>IF(IF(B154="", "", VLOOKUP(B154,'API Data Dictionary'!C:E,3,FALSE))=0, "", IF(B154="", "", VLOOKUP(B154,'API Data Dictionary'!C:E,3,FALSE)))</f>
        <v/>
      </c>
      <c r="F154" t="str">
        <f>IF(IF(B154="", "", VLOOKUP(B154,'API Data Dictionary'!C:F,4,FALSE))=0, "", IF(B154="", "", VLOOKUP(B154,'API Data Dictionary'!C:F,4,FALSE)))</f>
        <v/>
      </c>
      <c r="G154" t="str">
        <f>IF(IF(B154="", "", VLOOKUP(B154,'API Data Dictionary'!C:G,5,FALSE))=0, "", IF(B154="", "", VLOOKUP(B154,'API Data Dictionary'!C:G,5,FALSE)))</f>
        <v/>
      </c>
    </row>
    <row r="155" spans="1:7" x14ac:dyDescent="0.35">
      <c r="A155" t="str">
        <f t="shared" si="6"/>
        <v/>
      </c>
      <c r="B155" t="str">
        <f t="shared" si="7"/>
        <v/>
      </c>
      <c r="C155" t="str">
        <f>IF(B155="", "", VLOOKUP(B155,'API Data Dictionary'!C:R,16,FALSE))</f>
        <v/>
      </c>
      <c r="D155" t="str">
        <f>IF(B155="", "", VLOOKUP(B155,'API Data Dictionary'!C:D,2,FALSE))</f>
        <v/>
      </c>
      <c r="E155" t="str">
        <f>IF(IF(B155="", "", VLOOKUP(B155,'API Data Dictionary'!C:E,3,FALSE))=0, "", IF(B155="", "", VLOOKUP(B155,'API Data Dictionary'!C:E,3,FALSE)))</f>
        <v/>
      </c>
      <c r="F155" t="str">
        <f>IF(IF(B155="", "", VLOOKUP(B155,'API Data Dictionary'!C:F,4,FALSE))=0, "", IF(B155="", "", VLOOKUP(B155,'API Data Dictionary'!C:F,4,FALSE)))</f>
        <v/>
      </c>
      <c r="G155" t="str">
        <f>IF(IF(B155="", "", VLOOKUP(B155,'API Data Dictionary'!C:G,5,FALSE))=0, "", IF(B155="", "", VLOOKUP(B155,'API Data Dictionary'!C:G,5,FALSE)))</f>
        <v/>
      </c>
    </row>
    <row r="156" spans="1:7" x14ac:dyDescent="0.35">
      <c r="A156" t="str">
        <f t="shared" si="6"/>
        <v/>
      </c>
      <c r="B156" t="str">
        <f t="shared" si="7"/>
        <v/>
      </c>
      <c r="C156" t="str">
        <f>IF(B156="", "", VLOOKUP(B156,'API Data Dictionary'!C:R,16,FALSE))</f>
        <v/>
      </c>
      <c r="D156" t="str">
        <f>IF(B156="", "", VLOOKUP(B156,'API Data Dictionary'!C:D,2,FALSE))</f>
        <v/>
      </c>
      <c r="E156" t="str">
        <f>IF(IF(B156="", "", VLOOKUP(B156,'API Data Dictionary'!C:E,3,FALSE))=0, "", IF(B156="", "", VLOOKUP(B156,'API Data Dictionary'!C:E,3,FALSE)))</f>
        <v/>
      </c>
      <c r="F156" t="str">
        <f>IF(IF(B156="", "", VLOOKUP(B156,'API Data Dictionary'!C:F,4,FALSE))=0, "", IF(B156="", "", VLOOKUP(B156,'API Data Dictionary'!C:F,4,FALSE)))</f>
        <v/>
      </c>
      <c r="G156" t="str">
        <f>IF(IF(B156="", "", VLOOKUP(B156,'API Data Dictionary'!C:G,5,FALSE))=0, "", IF(B156="", "", VLOOKUP(B156,'API Data Dictionary'!C:G,5,FALSE)))</f>
        <v/>
      </c>
    </row>
    <row r="157" spans="1:7" x14ac:dyDescent="0.35">
      <c r="A157" t="str">
        <f t="shared" si="6"/>
        <v/>
      </c>
      <c r="B157" t="str">
        <f t="shared" si="7"/>
        <v/>
      </c>
      <c r="C157" t="str">
        <f>IF(B157="", "", VLOOKUP(B157,'API Data Dictionary'!C:R,16,FALSE))</f>
        <v/>
      </c>
      <c r="D157" t="str">
        <f>IF(B157="", "", VLOOKUP(B157,'API Data Dictionary'!C:D,2,FALSE))</f>
        <v/>
      </c>
      <c r="E157" t="str">
        <f>IF(IF(B157="", "", VLOOKUP(B157,'API Data Dictionary'!C:E,3,FALSE))=0, "", IF(B157="", "", VLOOKUP(B157,'API Data Dictionary'!C:E,3,FALSE)))</f>
        <v/>
      </c>
      <c r="F157" t="str">
        <f>IF(IF(B157="", "", VLOOKUP(B157,'API Data Dictionary'!C:F,4,FALSE))=0, "", IF(B157="", "", VLOOKUP(B157,'API Data Dictionary'!C:F,4,FALSE)))</f>
        <v/>
      </c>
      <c r="G157" t="str">
        <f>IF(IF(B157="", "", VLOOKUP(B157,'API Data Dictionary'!C:G,5,FALSE))=0, "", IF(B157="", "", VLOOKUP(B157,'API Data Dictionary'!C:G,5,FALSE)))</f>
        <v/>
      </c>
    </row>
    <row r="158" spans="1:7" x14ac:dyDescent="0.35">
      <c r="A158" t="str">
        <f t="shared" si="6"/>
        <v/>
      </c>
      <c r="B158" t="str">
        <f t="shared" si="7"/>
        <v/>
      </c>
      <c r="C158" t="str">
        <f>IF(B158="", "", VLOOKUP(B158,'API Data Dictionary'!C:R,16,FALSE))</f>
        <v/>
      </c>
      <c r="D158" t="str">
        <f>IF(B158="", "", VLOOKUP(B158,'API Data Dictionary'!C:D,2,FALSE))</f>
        <v/>
      </c>
      <c r="E158" t="str">
        <f>IF(IF(B158="", "", VLOOKUP(B158,'API Data Dictionary'!C:E,3,FALSE))=0, "", IF(B158="", "", VLOOKUP(B158,'API Data Dictionary'!C:E,3,FALSE)))</f>
        <v/>
      </c>
      <c r="F158" t="str">
        <f>IF(IF(B158="", "", VLOOKUP(B158,'API Data Dictionary'!C:F,4,FALSE))=0, "", IF(B158="", "", VLOOKUP(B158,'API Data Dictionary'!C:F,4,FALSE)))</f>
        <v/>
      </c>
      <c r="G158" t="str">
        <f>IF(IF(B158="", "", VLOOKUP(B158,'API Data Dictionary'!C:G,5,FALSE))=0, "", IF(B158="", "", VLOOKUP(B158,'API Data Dictionary'!C:G,5,FALSE)))</f>
        <v/>
      </c>
    </row>
    <row r="159" spans="1:7" x14ac:dyDescent="0.35">
      <c r="A159" t="str">
        <f t="shared" si="6"/>
        <v/>
      </c>
      <c r="B159" t="str">
        <f t="shared" si="7"/>
        <v/>
      </c>
      <c r="C159" t="str">
        <f>IF(B159="", "", VLOOKUP(B159,'API Data Dictionary'!C:R,16,FALSE))</f>
        <v/>
      </c>
      <c r="D159" t="str">
        <f>IF(B159="", "", VLOOKUP(B159,'API Data Dictionary'!C:D,2,FALSE))</f>
        <v/>
      </c>
      <c r="E159" t="str">
        <f>IF(IF(B159="", "", VLOOKUP(B159,'API Data Dictionary'!C:E,3,FALSE))=0, "", IF(B159="", "", VLOOKUP(B159,'API Data Dictionary'!C:E,3,FALSE)))</f>
        <v/>
      </c>
      <c r="F159" t="str">
        <f>IF(IF(B159="", "", VLOOKUP(B159,'API Data Dictionary'!C:F,4,FALSE))=0, "", IF(B159="", "", VLOOKUP(B159,'API Data Dictionary'!C:F,4,FALSE)))</f>
        <v/>
      </c>
      <c r="G159" t="str">
        <f>IF(IF(B159="", "", VLOOKUP(B159,'API Data Dictionary'!C:G,5,FALSE))=0, "", IF(B159="", "", VLOOKUP(B159,'API Data Dictionary'!C:G,5,FALSE)))</f>
        <v/>
      </c>
    </row>
    <row r="160" spans="1:7" x14ac:dyDescent="0.35">
      <c r="A160" t="str">
        <f t="shared" si="6"/>
        <v/>
      </c>
      <c r="B160" t="str">
        <f t="shared" si="7"/>
        <v/>
      </c>
      <c r="C160" t="str">
        <f>IF(B160="", "", VLOOKUP(B160,'API Data Dictionary'!C:R,16,FALSE))</f>
        <v/>
      </c>
      <c r="D160" t="str">
        <f>IF(B160="", "", VLOOKUP(B160,'API Data Dictionary'!C:D,2,FALSE))</f>
        <v/>
      </c>
      <c r="E160" t="str">
        <f>IF(IF(B160="", "", VLOOKUP(B160,'API Data Dictionary'!C:E,3,FALSE))=0, "", IF(B160="", "", VLOOKUP(B160,'API Data Dictionary'!C:E,3,FALSE)))</f>
        <v/>
      </c>
      <c r="F160" t="str">
        <f>IF(IF(B160="", "", VLOOKUP(B160,'API Data Dictionary'!C:F,4,FALSE))=0, "", IF(B160="", "", VLOOKUP(B160,'API Data Dictionary'!C:F,4,FALSE)))</f>
        <v/>
      </c>
      <c r="G160" t="str">
        <f>IF(IF(B160="", "", VLOOKUP(B160,'API Data Dictionary'!C:G,5,FALSE))=0, "", IF(B160="", "", VLOOKUP(B160,'API Data Dictionary'!C:G,5,FALSE)))</f>
        <v/>
      </c>
    </row>
    <row r="161" spans="1:7" x14ac:dyDescent="0.35">
      <c r="A161" t="str">
        <f t="shared" si="6"/>
        <v/>
      </c>
      <c r="B161" t="str">
        <f t="shared" si="7"/>
        <v/>
      </c>
      <c r="C161" t="str">
        <f>IF(B161="", "", VLOOKUP(B161,'API Data Dictionary'!C:R,16,FALSE))</f>
        <v/>
      </c>
      <c r="D161" t="str">
        <f>IF(B161="", "", VLOOKUP(B161,'API Data Dictionary'!C:D,2,FALSE))</f>
        <v/>
      </c>
      <c r="E161" t="str">
        <f>IF(IF(B161="", "", VLOOKUP(B161,'API Data Dictionary'!C:E,3,FALSE))=0, "", IF(B161="", "", VLOOKUP(B161,'API Data Dictionary'!C:E,3,FALSE)))</f>
        <v/>
      </c>
      <c r="F161" t="str">
        <f>IF(IF(B161="", "", VLOOKUP(B161,'API Data Dictionary'!C:F,4,FALSE))=0, "", IF(B161="", "", VLOOKUP(B161,'API Data Dictionary'!C:F,4,FALSE)))</f>
        <v/>
      </c>
      <c r="G161" t="str">
        <f>IF(IF(B161="", "", VLOOKUP(B161,'API Data Dictionary'!C:G,5,FALSE))=0, "", IF(B161="", "", VLOOKUP(B161,'API Data Dictionary'!C:G,5,FALSE)))</f>
        <v/>
      </c>
    </row>
    <row r="162" spans="1:7" x14ac:dyDescent="0.35">
      <c r="A162" t="str">
        <f t="shared" si="6"/>
        <v/>
      </c>
      <c r="B162" t="str">
        <f t="shared" si="7"/>
        <v/>
      </c>
      <c r="C162" t="str">
        <f>IF(B162="", "", VLOOKUP(B162,'API Data Dictionary'!C:R,16,FALSE))</f>
        <v/>
      </c>
      <c r="D162" t="str">
        <f>IF(B162="", "", VLOOKUP(B162,'API Data Dictionary'!C:D,2,FALSE))</f>
        <v/>
      </c>
      <c r="E162" t="str">
        <f>IF(IF(B162="", "", VLOOKUP(B162,'API Data Dictionary'!C:E,3,FALSE))=0, "", IF(B162="", "", VLOOKUP(B162,'API Data Dictionary'!C:E,3,FALSE)))</f>
        <v/>
      </c>
      <c r="F162" t="str">
        <f>IF(IF(B162="", "", VLOOKUP(B162,'API Data Dictionary'!C:F,4,FALSE))=0, "", IF(B162="", "", VLOOKUP(B162,'API Data Dictionary'!C:F,4,FALSE)))</f>
        <v/>
      </c>
      <c r="G162" t="str">
        <f>IF(IF(B162="", "", VLOOKUP(B162,'API Data Dictionary'!C:G,5,FALSE))=0, "", IF(B162="", "", VLOOKUP(B162,'API Data Dictionary'!C:G,5,FALSE)))</f>
        <v/>
      </c>
    </row>
    <row r="163" spans="1:7" x14ac:dyDescent="0.35">
      <c r="A163" t="str">
        <f t="shared" si="6"/>
        <v/>
      </c>
      <c r="B163" t="str">
        <f t="shared" si="7"/>
        <v/>
      </c>
      <c r="C163" t="str">
        <f>IF(B163="", "", VLOOKUP(B163,'API Data Dictionary'!C:R,16,FALSE))</f>
        <v/>
      </c>
      <c r="D163" t="str">
        <f>IF(B163="", "", VLOOKUP(B163,'API Data Dictionary'!C:D,2,FALSE))</f>
        <v/>
      </c>
      <c r="E163" t="str">
        <f>IF(IF(B163="", "", VLOOKUP(B163,'API Data Dictionary'!C:E,3,FALSE))=0, "", IF(B163="", "", VLOOKUP(B163,'API Data Dictionary'!C:E,3,FALSE)))</f>
        <v/>
      </c>
      <c r="F163" t="str">
        <f>IF(IF(B163="", "", VLOOKUP(B163,'API Data Dictionary'!C:F,4,FALSE))=0, "", IF(B163="", "", VLOOKUP(B163,'API Data Dictionary'!C:F,4,FALSE)))</f>
        <v/>
      </c>
      <c r="G163" t="str">
        <f>IF(IF(B163="", "", VLOOKUP(B163,'API Data Dictionary'!C:G,5,FALSE))=0, "", IF(B163="", "", VLOOKUP(B163,'API Data Dictionary'!C:G,5,FALSE)))</f>
        <v/>
      </c>
    </row>
    <row r="164" spans="1:7" x14ac:dyDescent="0.35">
      <c r="A164" t="str">
        <f t="shared" si="6"/>
        <v/>
      </c>
      <c r="B164" t="str">
        <f t="shared" si="7"/>
        <v/>
      </c>
      <c r="C164" t="str">
        <f>IF(B164="", "", VLOOKUP(B164,'API Data Dictionary'!C:R,16,FALSE))</f>
        <v/>
      </c>
      <c r="D164" t="str">
        <f>IF(B164="", "", VLOOKUP(B164,'API Data Dictionary'!C:D,2,FALSE))</f>
        <v/>
      </c>
      <c r="E164" t="str">
        <f>IF(IF(B164="", "", VLOOKUP(B164,'API Data Dictionary'!C:E,3,FALSE))=0, "", IF(B164="", "", VLOOKUP(B164,'API Data Dictionary'!C:E,3,FALSE)))</f>
        <v/>
      </c>
      <c r="F164" t="str">
        <f>IF(IF(B164="", "", VLOOKUP(B164,'API Data Dictionary'!C:F,4,FALSE))=0, "", IF(B164="", "", VLOOKUP(B164,'API Data Dictionary'!C:F,4,FALSE)))</f>
        <v/>
      </c>
      <c r="G164" t="str">
        <f>IF(IF(B164="", "", VLOOKUP(B164,'API Data Dictionary'!C:G,5,FALSE))=0, "", IF(B164="", "", VLOOKUP(B164,'API Data Dictionary'!C:G,5,FALSE)))</f>
        <v/>
      </c>
    </row>
    <row r="165" spans="1:7" x14ac:dyDescent="0.35">
      <c r="A165" t="str">
        <f t="shared" si="6"/>
        <v/>
      </c>
      <c r="B165" t="str">
        <f t="shared" si="7"/>
        <v/>
      </c>
      <c r="C165" t="str">
        <f>IF(B165="", "", VLOOKUP(B165,'API Data Dictionary'!C:R,16,FALSE))</f>
        <v/>
      </c>
      <c r="D165" t="str">
        <f>IF(B165="", "", VLOOKUP(B165,'API Data Dictionary'!C:D,2,FALSE))</f>
        <v/>
      </c>
      <c r="E165" t="str">
        <f>IF(IF(B165="", "", VLOOKUP(B165,'API Data Dictionary'!C:E,3,FALSE))=0, "", IF(B165="", "", VLOOKUP(B165,'API Data Dictionary'!C:E,3,FALSE)))</f>
        <v/>
      </c>
      <c r="F165" t="str">
        <f>IF(IF(B165="", "", VLOOKUP(B165,'API Data Dictionary'!C:F,4,FALSE))=0, "", IF(B165="", "", VLOOKUP(B165,'API Data Dictionary'!C:F,4,FALSE)))</f>
        <v/>
      </c>
      <c r="G165" t="str">
        <f>IF(IF(B165="", "", VLOOKUP(B165,'API Data Dictionary'!C:G,5,FALSE))=0, "", IF(B165="", "", VLOOKUP(B165,'API Data Dictionary'!C:G,5,FALSE)))</f>
        <v/>
      </c>
    </row>
    <row r="166" spans="1:7" x14ac:dyDescent="0.35">
      <c r="A166" t="str">
        <f t="shared" si="6"/>
        <v/>
      </c>
      <c r="B166" t="str">
        <f t="shared" si="7"/>
        <v/>
      </c>
      <c r="C166" t="str">
        <f>IF(B166="", "", VLOOKUP(B166,'API Data Dictionary'!C:R,16,FALSE))</f>
        <v/>
      </c>
      <c r="D166" t="str">
        <f>IF(B166="", "", VLOOKUP(B166,'API Data Dictionary'!C:D,2,FALSE))</f>
        <v/>
      </c>
      <c r="E166" t="str">
        <f>IF(IF(B166="", "", VLOOKUP(B166,'API Data Dictionary'!C:E,3,FALSE))=0, "", IF(B166="", "", VLOOKUP(B166,'API Data Dictionary'!C:E,3,FALSE)))</f>
        <v/>
      </c>
      <c r="F166" t="str">
        <f>IF(IF(B166="", "", VLOOKUP(B166,'API Data Dictionary'!C:F,4,FALSE))=0, "", IF(B166="", "", VLOOKUP(B166,'API Data Dictionary'!C:F,4,FALSE)))</f>
        <v/>
      </c>
      <c r="G166" t="str">
        <f>IF(IF(B166="", "", VLOOKUP(B166,'API Data Dictionary'!C:G,5,FALSE))=0, "", IF(B166="", "", VLOOKUP(B166,'API Data Dictionary'!C:G,5,FALSE)))</f>
        <v/>
      </c>
    </row>
    <row r="167" spans="1:7" x14ac:dyDescent="0.35">
      <c r="A167" t="str">
        <f t="shared" si="6"/>
        <v/>
      </c>
      <c r="B167" t="str">
        <f t="shared" si="7"/>
        <v/>
      </c>
      <c r="C167" t="str">
        <f>IF(B167="", "", VLOOKUP(B167,'API Data Dictionary'!C:R,16,FALSE))</f>
        <v/>
      </c>
      <c r="D167" t="str">
        <f>IF(B167="", "", VLOOKUP(B167,'API Data Dictionary'!C:D,2,FALSE))</f>
        <v/>
      </c>
      <c r="E167" t="str">
        <f>IF(IF(B167="", "", VLOOKUP(B167,'API Data Dictionary'!C:E,3,FALSE))=0, "", IF(B167="", "", VLOOKUP(B167,'API Data Dictionary'!C:E,3,FALSE)))</f>
        <v/>
      </c>
      <c r="F167" t="str">
        <f>IF(IF(B167="", "", VLOOKUP(B167,'API Data Dictionary'!C:F,4,FALSE))=0, "", IF(B167="", "", VLOOKUP(B167,'API Data Dictionary'!C:F,4,FALSE)))</f>
        <v/>
      </c>
      <c r="G167" t="str">
        <f>IF(IF(B167="", "", VLOOKUP(B167,'API Data Dictionary'!C:G,5,FALSE))=0, "", IF(B167="", "", VLOOKUP(B167,'API Data Dictionary'!C:G,5,FALSE)))</f>
        <v/>
      </c>
    </row>
    <row r="168" spans="1:7" x14ac:dyDescent="0.35">
      <c r="A168" t="str">
        <f t="shared" si="6"/>
        <v/>
      </c>
      <c r="B168" t="str">
        <f t="shared" si="7"/>
        <v/>
      </c>
      <c r="C168" t="str">
        <f>IF(B168="", "", VLOOKUP(B168,'API Data Dictionary'!C:R,16,FALSE))</f>
        <v/>
      </c>
      <c r="D168" t="str">
        <f>IF(B168="", "", VLOOKUP(B168,'API Data Dictionary'!C:D,2,FALSE))</f>
        <v/>
      </c>
      <c r="E168" t="str">
        <f>IF(IF(B168="", "", VLOOKUP(B168,'API Data Dictionary'!C:E,3,FALSE))=0, "", IF(B168="", "", VLOOKUP(B168,'API Data Dictionary'!C:E,3,FALSE)))</f>
        <v/>
      </c>
      <c r="F168" t="str">
        <f>IF(IF(B168="", "", VLOOKUP(B168,'API Data Dictionary'!C:F,4,FALSE))=0, "", IF(B168="", "", VLOOKUP(B168,'API Data Dictionary'!C:F,4,FALSE)))</f>
        <v/>
      </c>
      <c r="G168" t="str">
        <f>IF(IF(B168="", "", VLOOKUP(B168,'API Data Dictionary'!C:G,5,FALSE))=0, "", IF(B168="", "", VLOOKUP(B168,'API Data Dictionary'!C:G,5,FALSE)))</f>
        <v/>
      </c>
    </row>
    <row r="169" spans="1:7" x14ac:dyDescent="0.35">
      <c r="A169" t="str">
        <f t="shared" si="6"/>
        <v/>
      </c>
      <c r="B169" t="str">
        <f t="shared" si="7"/>
        <v/>
      </c>
      <c r="C169" t="str">
        <f>IF(B169="", "", VLOOKUP(B169,'API Data Dictionary'!C:R,16,FALSE))</f>
        <v/>
      </c>
      <c r="D169" t="str">
        <f>IF(B169="", "", VLOOKUP(B169,'API Data Dictionary'!C:D,2,FALSE))</f>
        <v/>
      </c>
      <c r="E169" t="str">
        <f>IF(IF(B169="", "", VLOOKUP(B169,'API Data Dictionary'!C:E,3,FALSE))=0, "", IF(B169="", "", VLOOKUP(B169,'API Data Dictionary'!C:E,3,FALSE)))</f>
        <v/>
      </c>
      <c r="F169" t="str">
        <f>IF(IF(B169="", "", VLOOKUP(B169,'API Data Dictionary'!C:F,4,FALSE))=0, "", IF(B169="", "", VLOOKUP(B169,'API Data Dictionary'!C:F,4,FALSE)))</f>
        <v/>
      </c>
      <c r="G169" t="str">
        <f>IF(IF(B169="", "", VLOOKUP(B169,'API Data Dictionary'!C:G,5,FALSE))=0, "", IF(B169="", "", VLOOKUP(B169,'API Data Dictionary'!C:G,5,FALSE)))</f>
        <v/>
      </c>
    </row>
    <row r="170" spans="1:7" x14ac:dyDescent="0.35">
      <c r="A170" t="str">
        <f t="shared" si="6"/>
        <v/>
      </c>
      <c r="B170" t="str">
        <f t="shared" si="7"/>
        <v/>
      </c>
      <c r="C170" t="str">
        <f>IF(B170="", "", VLOOKUP(B170,'API Data Dictionary'!C:R,16,FALSE))</f>
        <v/>
      </c>
      <c r="D170" t="str">
        <f>IF(B170="", "", VLOOKUP(B170,'API Data Dictionary'!C:D,2,FALSE))</f>
        <v/>
      </c>
      <c r="E170" t="str">
        <f>IF(IF(B170="", "", VLOOKUP(B170,'API Data Dictionary'!C:E,3,FALSE))=0, "", IF(B170="", "", VLOOKUP(B170,'API Data Dictionary'!C:E,3,FALSE)))</f>
        <v/>
      </c>
      <c r="F170" t="str">
        <f>IF(IF(B170="", "", VLOOKUP(B170,'API Data Dictionary'!C:F,4,FALSE))=0, "", IF(B170="", "", VLOOKUP(B170,'API Data Dictionary'!C:F,4,FALSE)))</f>
        <v/>
      </c>
      <c r="G170" t="str">
        <f>IF(IF(B170="", "", VLOOKUP(B170,'API Data Dictionary'!C:G,5,FALSE))=0, "", IF(B170="", "", VLOOKUP(B170,'API Data Dictionary'!C:G,5,FALSE)))</f>
        <v/>
      </c>
    </row>
    <row r="171" spans="1:7" x14ac:dyDescent="0.35">
      <c r="A171" t="str">
        <f t="shared" si="6"/>
        <v/>
      </c>
      <c r="B171" t="str">
        <f t="shared" si="7"/>
        <v/>
      </c>
      <c r="C171" t="str">
        <f>IF(B171="", "", VLOOKUP(B171,'API Data Dictionary'!C:R,16,FALSE))</f>
        <v/>
      </c>
      <c r="D171" t="str">
        <f>IF(B171="", "", VLOOKUP(B171,'API Data Dictionary'!C:D,2,FALSE))</f>
        <v/>
      </c>
      <c r="E171" t="str">
        <f>IF(IF(B171="", "", VLOOKUP(B171,'API Data Dictionary'!C:E,3,FALSE))=0, "", IF(B171="", "", VLOOKUP(B171,'API Data Dictionary'!C:E,3,FALSE)))</f>
        <v/>
      </c>
      <c r="F171" t="str">
        <f>IF(IF(B171="", "", VLOOKUP(B171,'API Data Dictionary'!C:F,4,FALSE))=0, "", IF(B171="", "", VLOOKUP(B171,'API Data Dictionary'!C:F,4,FALSE)))</f>
        <v/>
      </c>
      <c r="G171" t="str">
        <f>IF(IF(B171="", "", VLOOKUP(B171,'API Data Dictionary'!C:G,5,FALSE))=0, "", IF(B171="", "", VLOOKUP(B171,'API Data Dictionary'!C:G,5,FALSE)))</f>
        <v/>
      </c>
    </row>
    <row r="172" spans="1:7" x14ac:dyDescent="0.35">
      <c r="A172" t="str">
        <f t="shared" si="6"/>
        <v/>
      </c>
      <c r="B172" t="str">
        <f t="shared" si="7"/>
        <v/>
      </c>
      <c r="C172" t="str">
        <f>IF(B172="", "", VLOOKUP(B172,'API Data Dictionary'!C:R,16,FALSE))</f>
        <v/>
      </c>
      <c r="D172" t="str">
        <f>IF(B172="", "", VLOOKUP(B172,'API Data Dictionary'!C:D,2,FALSE))</f>
        <v/>
      </c>
      <c r="E172" t="str">
        <f>IF(IF(B172="", "", VLOOKUP(B172,'API Data Dictionary'!C:E,3,FALSE))=0, "", IF(B172="", "", VLOOKUP(B172,'API Data Dictionary'!C:E,3,FALSE)))</f>
        <v/>
      </c>
      <c r="F172" t="str">
        <f>IF(IF(B172="", "", VLOOKUP(B172,'API Data Dictionary'!C:F,4,FALSE))=0, "", IF(B172="", "", VLOOKUP(B172,'API Data Dictionary'!C:F,4,FALSE)))</f>
        <v/>
      </c>
      <c r="G172" t="str">
        <f>IF(IF(B172="", "", VLOOKUP(B172,'API Data Dictionary'!C:G,5,FALSE))=0, "", IF(B172="", "", VLOOKUP(B172,'API Data Dictionary'!C:G,5,FALSE)))</f>
        <v/>
      </c>
    </row>
    <row r="173" spans="1:7" x14ac:dyDescent="0.35">
      <c r="A173" t="str">
        <f t="shared" si="6"/>
        <v/>
      </c>
      <c r="B173" t="str">
        <f t="shared" si="7"/>
        <v/>
      </c>
      <c r="C173" t="str">
        <f>IF(B173="", "", VLOOKUP(B173,'API Data Dictionary'!C:R,16,FALSE))</f>
        <v/>
      </c>
      <c r="D173" t="str">
        <f>IF(B173="", "", VLOOKUP(B173,'API Data Dictionary'!C:D,2,FALSE))</f>
        <v/>
      </c>
      <c r="E173" t="str">
        <f>IF(IF(B173="", "", VLOOKUP(B173,'API Data Dictionary'!C:E,3,FALSE))=0, "", IF(B173="", "", VLOOKUP(B173,'API Data Dictionary'!C:E,3,FALSE)))</f>
        <v/>
      </c>
      <c r="F173" t="str">
        <f>IF(IF(B173="", "", VLOOKUP(B173,'API Data Dictionary'!C:F,4,FALSE))=0, "", IF(B173="", "", VLOOKUP(B173,'API Data Dictionary'!C:F,4,FALSE)))</f>
        <v/>
      </c>
      <c r="G173" t="str">
        <f>IF(IF(B173="", "", VLOOKUP(B173,'API Data Dictionary'!C:G,5,FALSE))=0, "", IF(B173="", "", VLOOKUP(B173,'API Data Dictionary'!C:G,5,FALSE)))</f>
        <v/>
      </c>
    </row>
    <row r="174" spans="1:7" x14ac:dyDescent="0.35">
      <c r="A174" t="str">
        <f t="shared" si="6"/>
        <v/>
      </c>
      <c r="B174" t="str">
        <f t="shared" si="7"/>
        <v/>
      </c>
      <c r="C174" t="str">
        <f>IF(B174="", "", VLOOKUP(B174,'API Data Dictionary'!C:R,16,FALSE))</f>
        <v/>
      </c>
      <c r="D174" t="str">
        <f>IF(B174="", "", VLOOKUP(B174,'API Data Dictionary'!C:D,2,FALSE))</f>
        <v/>
      </c>
      <c r="E174" t="str">
        <f>IF(IF(B174="", "", VLOOKUP(B174,'API Data Dictionary'!C:E,3,FALSE))=0, "", IF(B174="", "", VLOOKUP(B174,'API Data Dictionary'!C:E,3,FALSE)))</f>
        <v/>
      </c>
      <c r="F174" t="str">
        <f>IF(IF(B174="", "", VLOOKUP(B174,'API Data Dictionary'!C:F,4,FALSE))=0, "", IF(B174="", "", VLOOKUP(B174,'API Data Dictionary'!C:F,4,FALSE)))</f>
        <v/>
      </c>
      <c r="G174" t="str">
        <f>IF(IF(B174="", "", VLOOKUP(B174,'API Data Dictionary'!C:G,5,FALSE))=0, "", IF(B174="", "", VLOOKUP(B174,'API Data Dictionary'!C:G,5,FALSE)))</f>
        <v/>
      </c>
    </row>
  </sheetData>
  <mergeCells count="7">
    <mergeCell ref="A2:G2"/>
    <mergeCell ref="A7:G7"/>
    <mergeCell ref="A31:G31"/>
    <mergeCell ref="A38:G38"/>
    <mergeCell ref="A53:G53"/>
    <mergeCell ref="A25:G25"/>
    <mergeCell ref="A28:G2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EA9B2-DA45-4295-B4BD-BE6CDF2FBD2D}">
  <sheetPr>
    <tabColor rgb="FF4472C4"/>
  </sheetPr>
  <dimension ref="A1:G52"/>
  <sheetViews>
    <sheetView zoomScaleNormal="100" workbookViewId="0">
      <selection activeCell="B36" sqref="B36"/>
    </sheetView>
  </sheetViews>
  <sheetFormatPr defaultRowHeight="14.5" x14ac:dyDescent="0.35"/>
  <cols>
    <col min="1" max="1" width="64.81640625" bestFit="1" customWidth="1"/>
    <col min="2" max="2" width="22.1796875" bestFit="1" customWidth="1"/>
    <col min="3" max="3" width="16" bestFit="1" customWidth="1"/>
    <col min="4" max="4" width="16.7265625" bestFit="1" customWidth="1"/>
    <col min="5" max="5" width="10.54296875" customWidth="1"/>
    <col min="6" max="6" width="14.453125" customWidth="1"/>
    <col min="7" max="7" width="255.6328125" bestFit="1" customWidth="1"/>
  </cols>
  <sheetData>
    <row r="1" spans="1:7" ht="43.5" x14ac:dyDescent="0.35">
      <c r="A1" s="63" t="s">
        <v>1132</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 si="0">IF(OR(ISNUMBER(SEARCH("{", A3)),ISNUMBER(SEARCH("[", A3))), "", IFERROR(MID(A3, SEARCH("""", A3) +1, SEARCH("""", A3, SEARCH("""",A3) +1) - SEARCH("""", A3) -1), ""))</f>
        <v/>
      </c>
      <c r="C3" s="62" t="str">
        <f>IF(B3="", "", VLOOKUP(B3,'API Data Dictionary'!C:V,20,FALSE))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1435</v>
      </c>
      <c r="B4" s="62" t="s">
        <v>415</v>
      </c>
      <c r="C4" s="62" t="s">
        <v>68</v>
      </c>
      <c r="D4" s="62" t="s">
        <v>64</v>
      </c>
      <c r="E4" s="62">
        <v>50</v>
      </c>
      <c r="F4" s="62" t="s">
        <v>1433</v>
      </c>
      <c r="G4" s="62" t="s">
        <v>1636</v>
      </c>
    </row>
    <row r="5" spans="1:7" x14ac:dyDescent="0.35">
      <c r="A5" s="64" t="s">
        <v>1120</v>
      </c>
      <c r="B5" s="62" t="str">
        <f t="shared" ref="B5:B16" si="1">IF(OR(ISNUMBER(SEARCH("{", A5)),ISNUMBER(SEARCH("[", A5))), "", IFERROR(MID(A5, SEARCH("""", A5) +1, SEARCH("""", A5, SEARCH("""",A5) +1) - SEARCH("""", A5) -1), ""))</f>
        <v/>
      </c>
      <c r="C5" s="62" t="str">
        <f>IF(B5="", "", VLOOKUP(B5,'API Data Dictionary'!C:V,20,FALSE))</f>
        <v/>
      </c>
      <c r="D5" s="62" t="str">
        <f>IF(B5="", "", VLOOKUP(B5,'API Data Dictionary'!C:D,2,FALSE))</f>
        <v/>
      </c>
      <c r="E5" s="62" t="str">
        <f>IF(IF(B5="", "", VLOOKUP(B5,'API Data Dictionary'!C:E,3,FALSE))=0, "", IF(B5="", "", VLOOKUP(B5,'API Data Dictionary'!C:E,3,FALSE)))</f>
        <v/>
      </c>
      <c r="F5" s="62" t="str">
        <f>IF(IF(B5="", "", VLOOKUP(B5,'API Data Dictionary'!C:F,4,FALSE))=0, "", IF(B5="", "", VLOOKUP(B5,'API Data Dictionary'!C:F,4,FALSE)))</f>
        <v/>
      </c>
      <c r="G5" s="62" t="str">
        <f>IF(IF(B5="", "", VLOOKUP(B5,'API Data Dictionary'!C:G,5,FALSE))=0, "", IF(B5="", "", VLOOKUP(B5,'API Data Dictionary'!C:G,5,FALSE)))</f>
        <v/>
      </c>
    </row>
    <row r="7" spans="1:7" x14ac:dyDescent="0.35">
      <c r="A7" s="222" t="s">
        <v>1751</v>
      </c>
      <c r="B7" s="222"/>
      <c r="C7" s="222"/>
      <c r="D7" s="222"/>
      <c r="E7" s="222"/>
      <c r="F7" s="222"/>
      <c r="G7" s="222"/>
    </row>
    <row r="8" spans="1:7" x14ac:dyDescent="0.35">
      <c r="A8" s="64" t="s">
        <v>1094</v>
      </c>
      <c r="B8" s="62" t="str">
        <f t="shared" si="1"/>
        <v/>
      </c>
      <c r="C8" s="62" t="str">
        <f>IF(B8="", "", VLOOKUP(B8,'API Data Dictionary'!C:V,20,FALSE))</f>
        <v/>
      </c>
      <c r="D8" s="62" t="str">
        <f>IF(B8="", "", VLOOKUP(B8,'API Data Dictionary'!C:D,2,FALSE))</f>
        <v/>
      </c>
      <c r="E8" s="62" t="str">
        <f>IF(IF(B8="", "", VLOOKUP(B8,'API Data Dictionary'!C:E,3,FALSE))=0, "", IF(B8="", "", VLOOKUP(B8,'API Data Dictionary'!C:E,3,FALSE)))</f>
        <v/>
      </c>
      <c r="F8" s="62" t="str">
        <f>IF(IF(B8="", "", VLOOKUP(B8,'API Data Dictionary'!C:F,4,FALSE))=0, "", IF(B8="", "", VLOOKUP(B8,'API Data Dictionary'!C:F,4,FALSE)))</f>
        <v/>
      </c>
      <c r="G8" s="62" t="str">
        <f>IF(IF(B8="", "", VLOOKUP(B8,'API Data Dictionary'!C:G,5,FALSE))=0, "", IF(B8="", "", VLOOKUP(B8,'API Data Dictionary'!C:G,5,FALSE)))</f>
        <v/>
      </c>
    </row>
    <row r="9" spans="1:7" x14ac:dyDescent="0.35">
      <c r="A9" s="64" t="s">
        <v>1350</v>
      </c>
      <c r="B9" s="62" t="str">
        <f t="shared" si="1"/>
        <v>success</v>
      </c>
      <c r="C9" s="62" t="s">
        <v>68</v>
      </c>
      <c r="D9" s="62" t="str">
        <f>IF(B9="", "", VLOOKUP(B9,'API Data Dictionary'!C:D,2,FALSE))</f>
        <v>string - Boolean</v>
      </c>
      <c r="E9" s="62">
        <f>IF(IF(B9="", "", VLOOKUP(B9,'API Data Dictionary'!C:E,3,FALSE))=0, "", IF(B9="", "", VLOOKUP(B9,'API Data Dictionary'!C:E,3,FALSE)))</f>
        <v>100</v>
      </c>
      <c r="F9" s="62" t="str">
        <f>IF(IF(B9="", "", VLOOKUP(B9,'API Data Dictionary'!C:F,4,FALSE))=0, "", IF(B9="", "", VLOOKUP(B9,'API Data Dictionary'!C:F,4,FALSE)))</f>
        <v/>
      </c>
      <c r="G9" s="62" t="str">
        <f>IF(IF(B9="", "", VLOOKUP(B9,'API Data Dictionary'!C:G,5,FALSE))=0, "", IF(B9="", "", VLOOKUP(B9,'API Data Dictionary'!C:G,5,FALSE)))</f>
        <v>Returns true when successful call/connection</v>
      </c>
    </row>
    <row r="10" spans="1:7" x14ac:dyDescent="0.35">
      <c r="A10" s="64" t="s">
        <v>1377</v>
      </c>
      <c r="B10" s="62" t="str">
        <f t="shared" si="1"/>
        <v/>
      </c>
      <c r="C10" s="62" t="str">
        <f>IF(B10="", "", VLOOKUP(B10,'API Data Dictionary'!C:V,20,FALSE))</f>
        <v/>
      </c>
      <c r="D10" s="62" t="str">
        <f>IF(B10="", "", VLOOKUP(B10,'API Data Dictionary'!C:D,2,FALSE))</f>
        <v/>
      </c>
      <c r="E10" s="62" t="str">
        <f>IF(IF(B10="", "", VLOOKUP(B10,'API Data Dictionary'!C:E,3,FALSE))=0, "", IF(B10="", "", VLOOKUP(B10,'API Data Dictionary'!C:E,3,FALSE)))</f>
        <v/>
      </c>
      <c r="F10" s="62" t="str">
        <f>IF(IF(B10="", "", VLOOKUP(B10,'API Data Dictionary'!C:F,4,FALSE))=0, "", IF(B10="", "", VLOOKUP(B10,'API Data Dictionary'!C:F,4,FALSE)))</f>
        <v/>
      </c>
      <c r="G10" s="62" t="str">
        <f>IF(IF(B10="", "", VLOOKUP(B10,'API Data Dictionary'!C:G,5,FALSE))=0, "", IF(B10="", "", VLOOKUP(B10,'API Data Dictionary'!C:G,5,FALSE)))</f>
        <v/>
      </c>
    </row>
    <row r="11" spans="1:7" x14ac:dyDescent="0.35">
      <c r="A11" s="64" t="s">
        <v>1378</v>
      </c>
      <c r="B11" s="62" t="str">
        <f t="shared" si="1"/>
        <v>agentCode</v>
      </c>
      <c r="C11" s="62" t="s">
        <v>68</v>
      </c>
      <c r="D11" s="62" t="str">
        <f>IF(B11="", "", VLOOKUP(B11,'API Data Dictionary'!C:D,2,FALSE))</f>
        <v>string</v>
      </c>
      <c r="E11" s="62">
        <f>IF(IF(B11="", "", VLOOKUP(B11,'API Data Dictionary'!C:E,3,FALSE))=0, "", IF(B11="", "", VLOOKUP(B11,'API Data Dictionary'!C:E,3,FALSE)))</f>
        <v>50</v>
      </c>
      <c r="F11" s="62" t="str">
        <f>IF(IF(B11="", "", VLOOKUP(B11,'API Data Dictionary'!C:F,4,FALSE))=0, "", IF(B11="", "", VLOOKUP(B11,'API Data Dictionary'!C:F,4,FALSE)))</f>
        <v/>
      </c>
      <c r="G11" s="62" t="str">
        <f>IF(IF(B11="", "", VLOOKUP(B11,'API Data Dictionary'!C:G,5,FALSE))=0, "", IF(B11="", "", VLOOKUP(B11,'API Data Dictionary'!C:G,5,FALSE)))</f>
        <v>AgentCode is the Unique Key provided to the Agent when onboarding as a Barbon Customer.
An AgentID may be linked to many Properties being managed by that Agent and Each property may be linked to 1 or more TenancyID's.</v>
      </c>
    </row>
    <row r="12" spans="1:7" x14ac:dyDescent="0.35">
      <c r="A12" s="64" t="s">
        <v>1430</v>
      </c>
      <c r="B12" s="62" t="str">
        <f t="shared" si="1"/>
        <v/>
      </c>
      <c r="C12" s="62" t="str">
        <f>IF(B12="", "", VLOOKUP(B12,'API Data Dictionary'!C:V,20,FALSE))</f>
        <v/>
      </c>
      <c r="D12" s="62" t="str">
        <f>IF(B12="", "", VLOOKUP(B12,'API Data Dictionary'!C:D,2,FALSE))</f>
        <v/>
      </c>
      <c r="E12" s="62" t="str">
        <f>IF(IF(B12="", "", VLOOKUP(B12,'API Data Dictionary'!C:E,3,FALSE))=0, "", IF(B12="", "", VLOOKUP(B12,'API Data Dictionary'!C:E,3,FALSE)))</f>
        <v/>
      </c>
      <c r="F12" s="62" t="str">
        <f>IF(IF(B12="", "", VLOOKUP(B12,'API Data Dictionary'!C:F,4,FALSE))=0, "", IF(B12="", "", VLOOKUP(B12,'API Data Dictionary'!C:F,4,FALSE)))</f>
        <v/>
      </c>
      <c r="G12" s="62" t="str">
        <f>IF(IF(B12="", "", VLOOKUP(B12,'API Data Dictionary'!C:G,5,FALSE))=0, "", IF(B12="", "", VLOOKUP(B12,'API Data Dictionary'!C:G,5,FALSE)))</f>
        <v/>
      </c>
    </row>
    <row r="13" spans="1:7" x14ac:dyDescent="0.35">
      <c r="A13" s="64" t="s">
        <v>1381</v>
      </c>
      <c r="B13" s="62" t="str">
        <f t="shared" si="1"/>
        <v/>
      </c>
      <c r="C13" s="62" t="str">
        <f>IF(B13="", "", VLOOKUP(B13,'API Data Dictionary'!C:V,20,FALSE))</f>
        <v/>
      </c>
      <c r="D13" s="62" t="str">
        <f>IF(B13="", "", VLOOKUP(B13,'API Data Dictionary'!C:D,2,FALSE))</f>
        <v/>
      </c>
      <c r="E13" s="62" t="str">
        <f>IF(IF(B13="", "", VLOOKUP(B13,'API Data Dictionary'!C:E,3,FALSE))=0, "", IF(B13="", "", VLOOKUP(B13,'API Data Dictionary'!C:E,3,FALSE)))</f>
        <v/>
      </c>
      <c r="F13" s="62" t="str">
        <f>IF(IF(B13="", "", VLOOKUP(B13,'API Data Dictionary'!C:F,4,FALSE))=0, "", IF(B13="", "", VLOOKUP(B13,'API Data Dictionary'!C:F,4,FALSE)))</f>
        <v/>
      </c>
      <c r="G13" s="62" t="str">
        <f>IF(IF(B13="", "", VLOOKUP(B13,'API Data Dictionary'!C:G,5,FALSE))=0, "", IF(B13="", "", VLOOKUP(B13,'API Data Dictionary'!C:G,5,FALSE)))</f>
        <v/>
      </c>
    </row>
    <row r="14" spans="1:7" x14ac:dyDescent="0.35">
      <c r="A14" s="64" t="s">
        <v>1403</v>
      </c>
      <c r="B14" s="62" t="str">
        <f t="shared" si="1"/>
        <v>applicantID</v>
      </c>
      <c r="C14" s="62" t="str">
        <f>IF(B14="", "", VLOOKUP(B14,'API Data Dictionary'!C:V,20,FALSE))</f>
        <v>M</v>
      </c>
      <c r="D14" s="62" t="str">
        <f>IF(B14="", "", VLOOKUP(B14,'API Data Dictionary'!C:D,2,FALSE))</f>
        <v>integer</v>
      </c>
      <c r="E14" s="62" t="str">
        <f>IF(IF(B14="", "", VLOOKUP(B14,'API Data Dictionary'!C:E,3,FALSE))=0, "", IF(B14="", "", VLOOKUP(B14,'API Data Dictionary'!C:E,3,FALSE)))</f>
        <v/>
      </c>
      <c r="F14" s="62" t="str">
        <f>IF(IF(B14="", "", VLOOKUP(B14,'API Data Dictionary'!C:F,4,FALSE))=0, "", IF(B14="", "", VLOOKUP(B14,'API Data Dictionary'!C:F,4,FALSE)))</f>
        <v/>
      </c>
      <c r="G14" s="62" t="str">
        <f>IF(IF(B14="", "", VLOOKUP(B14,'API Data Dictionary'!C:G,5,FALSE))=0, "", IF(B14="", "", VLOOKUP(B14,'API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15" spans="1:7" x14ac:dyDescent="0.35">
      <c r="A15" s="64" t="s">
        <v>1431</v>
      </c>
      <c r="B15" s="62" t="str">
        <f t="shared" si="1"/>
        <v>linkSentStatus</v>
      </c>
      <c r="C15" s="62" t="s">
        <v>68</v>
      </c>
      <c r="D15" s="62" t="s">
        <v>64</v>
      </c>
      <c r="E15" s="62">
        <v>50</v>
      </c>
      <c r="F15" s="62"/>
      <c r="G15" s="62" t="s">
        <v>1436</v>
      </c>
    </row>
    <row r="16" spans="1:7" x14ac:dyDescent="0.35">
      <c r="A16" s="64" t="s">
        <v>1188</v>
      </c>
      <c r="B16" s="85" t="str">
        <f t="shared" si="1"/>
        <v/>
      </c>
      <c r="C16" s="85" t="str">
        <f>IF(B16="", "", VLOOKUP(B16,'API Data Dictionary'!C:V,20,FALSE))</f>
        <v/>
      </c>
      <c r="D16" s="85" t="str">
        <f>IF(B16="", "", VLOOKUP(B16,'API Data Dictionary'!C:D,2,FALSE))</f>
        <v/>
      </c>
      <c r="E16" s="85" t="str">
        <f>IF(IF(B16="", "", VLOOKUP(B16,'API Data Dictionary'!C:E,3,FALSE))=0, "", IF(B16="", "", VLOOKUP(B16,'API Data Dictionary'!C:E,3,FALSE)))</f>
        <v/>
      </c>
      <c r="F16" s="85" t="str">
        <f>IF(IF(B16="", "", VLOOKUP(B16,'API Data Dictionary'!C:F,4,FALSE))=0, "", IF(B16="", "", VLOOKUP(B16,'API Data Dictionary'!C:F,4,FALSE)))</f>
        <v/>
      </c>
      <c r="G16" s="85" t="str">
        <f>IF(IF(B16="", "", VLOOKUP(B16,'API Data Dictionary'!C:G,5,FALSE))=0, "", IF(B16="", "", VLOOKUP(B16,'API Data Dictionary'!C:G,5,FALSE)))</f>
        <v/>
      </c>
    </row>
    <row r="17" spans="1:7" x14ac:dyDescent="0.35">
      <c r="A17" s="88" t="s">
        <v>1381</v>
      </c>
      <c r="B17" s="89"/>
      <c r="C17" s="89"/>
      <c r="D17" s="89"/>
      <c r="E17" s="89"/>
      <c r="F17" s="89"/>
      <c r="G17" s="89"/>
    </row>
    <row r="18" spans="1:7" x14ac:dyDescent="0.35">
      <c r="A18" s="64" t="s">
        <v>1634</v>
      </c>
      <c r="B18" s="87" t="str">
        <f t="shared" ref="B18:B20" si="2">IF(OR(ISNUMBER(SEARCH("{", A18)),ISNUMBER(SEARCH("[", A18))), "", IFERROR(MID(A18, SEARCH("""", A18) +1, SEARCH("""", A18, SEARCH("""",A18) +1) - SEARCH("""", A18) -1), ""))</f>
        <v>applicantID</v>
      </c>
      <c r="C18" s="87" t="str">
        <f>IF(B18="", "", VLOOKUP(B18,'API Data Dictionary'!C:V,20,FALSE))</f>
        <v>M</v>
      </c>
      <c r="D18" s="87" t="str">
        <f>IF(B18="", "", VLOOKUP(B18,'API Data Dictionary'!C:D,2,FALSE))</f>
        <v>integer</v>
      </c>
      <c r="E18" s="87" t="str">
        <f>IF(IF(B18="", "", VLOOKUP(B18,'API Data Dictionary'!C:E,3,FALSE))=0, "", IF(B18="", "", VLOOKUP(B18,'API Data Dictionary'!C:E,3,FALSE)))</f>
        <v/>
      </c>
      <c r="F18" s="87" t="str">
        <f>IF(IF(B18="", "", VLOOKUP(B18,'API Data Dictionary'!C:F,4,FALSE))=0, "", IF(B18="", "", VLOOKUP(B18,'API Data Dictionary'!C:F,4,FALSE)))</f>
        <v/>
      </c>
      <c r="G18" s="87" t="str">
        <f>IF(IF(B18="", "", VLOOKUP(B18,'API Data Dictionary'!C:G,5,FALSE))=0, "", IF(B18="", "", VLOOKUP(B18,'API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19" spans="1:7" x14ac:dyDescent="0.35">
      <c r="A19" s="64" t="s">
        <v>1431</v>
      </c>
      <c r="B19" s="62" t="str">
        <f t="shared" si="2"/>
        <v>linkSentStatus</v>
      </c>
      <c r="C19" s="62" t="s">
        <v>68</v>
      </c>
      <c r="D19" s="62" t="s">
        <v>64</v>
      </c>
      <c r="E19" s="62">
        <v>50</v>
      </c>
      <c r="F19" s="62"/>
      <c r="G19" s="62" t="s">
        <v>1436</v>
      </c>
    </row>
    <row r="20" spans="1:7" x14ac:dyDescent="0.35">
      <c r="A20" s="64" t="s">
        <v>1117</v>
      </c>
      <c r="B20" s="62" t="str">
        <f t="shared" si="2"/>
        <v/>
      </c>
      <c r="C20" s="62" t="str">
        <f>IF(B20="", "", VLOOKUP(B20,'API Data Dictionary'!C:V,20,FALSE))</f>
        <v/>
      </c>
      <c r="D20" s="62" t="str">
        <f>IF(B20="", "", VLOOKUP(B20,'API Data Dictionary'!C:D,2,FALSE))</f>
        <v/>
      </c>
      <c r="E20" s="62" t="str">
        <f>IF(IF(B20="", "", VLOOKUP(B20,'API Data Dictionary'!C:E,3,FALSE))=0, "", IF(B20="", "", VLOOKUP(B20,'API Data Dictionary'!C:E,3,FALSE)))</f>
        <v/>
      </c>
      <c r="F20" s="62" t="str">
        <f>IF(IF(B20="", "", VLOOKUP(B20,'API Data Dictionary'!C:F,4,FALSE))=0, "", IF(B20="", "", VLOOKUP(B20,'API Data Dictionary'!C:F,4,FALSE)))</f>
        <v/>
      </c>
      <c r="G20" s="62" t="str">
        <f>IF(IF(B20="", "", VLOOKUP(B20,'API Data Dictionary'!C:G,5,FALSE))=0, "", IF(B20="", "", VLOOKUP(B20,'API Data Dictionary'!C:G,5,FALSE)))</f>
        <v/>
      </c>
    </row>
    <row r="21" spans="1:7" x14ac:dyDescent="0.35">
      <c r="A21" s="64" t="s">
        <v>1383</v>
      </c>
      <c r="B21" s="62" t="str">
        <f>IF(OR(ISNUMBER(SEARCH("{", A21)),ISNUMBER(SEARCH("[", A21))), "", IFERROR(MID(A21, SEARCH("""", A21) +1, SEARCH("""", A21, SEARCH("""",A21) +1) - SEARCH("""", A21) -1), ""))</f>
        <v/>
      </c>
      <c r="C21" s="62" t="str">
        <f>IF(B21="", "", VLOOKUP(B21,'API Data Dictionary'!C:V,20,FALSE))</f>
        <v/>
      </c>
      <c r="D21" s="62" t="str">
        <f>IF(B21="", "", VLOOKUP(B21,'API Data Dictionary'!C:D,2,FALSE))</f>
        <v/>
      </c>
      <c r="E21" s="62" t="str">
        <f>IF(IF(B21="", "", VLOOKUP(B21,'API Data Dictionary'!C:E,3,FALSE))=0, "", IF(B21="", "", VLOOKUP(B21,'API Data Dictionary'!C:E,3,FALSE)))</f>
        <v/>
      </c>
      <c r="F21" s="62" t="str">
        <f>IF(IF(B21="", "", VLOOKUP(B21,'API Data Dictionary'!C:F,4,FALSE))=0, "", IF(B21="", "", VLOOKUP(B21,'API Data Dictionary'!C:F,4,FALSE)))</f>
        <v/>
      </c>
      <c r="G21" s="62" t="str">
        <f>IF(IF(B21="", "", VLOOKUP(B21,'API Data Dictionary'!C:G,5,FALSE))=0, "", IF(B21="", "", VLOOKUP(B21,'API Data Dictionary'!C:G,5,FALSE)))</f>
        <v/>
      </c>
    </row>
    <row r="22" spans="1:7" x14ac:dyDescent="0.35">
      <c r="A22" s="64" t="s">
        <v>1105</v>
      </c>
      <c r="B22" s="62" t="str">
        <f>IF(OR(ISNUMBER(SEARCH("{", A22)),ISNUMBER(SEARCH("[", A22))), "", IFERROR(MID(A22, SEARCH("""", A22) +1, SEARCH("""", A22, SEARCH("""",A22) +1) - SEARCH("""", A22) -1), ""))</f>
        <v/>
      </c>
      <c r="C22" s="62" t="str">
        <f>IF(B22="", "", VLOOKUP(B22,'API Data Dictionary'!C:V,20,FALSE))</f>
        <v/>
      </c>
      <c r="D22" s="62" t="str">
        <f>IF(B22="", "", VLOOKUP(B22,'API Data Dictionary'!C:D,2,FALSE))</f>
        <v/>
      </c>
      <c r="E22" s="62" t="str">
        <f>IF(IF(B22="", "", VLOOKUP(B22,'API Data Dictionary'!C:E,3,FALSE))=0, "", IF(B22="", "", VLOOKUP(B22,'API Data Dictionary'!C:E,3,FALSE)))</f>
        <v/>
      </c>
      <c r="F22" s="62" t="str">
        <f>IF(IF(B22="", "", VLOOKUP(B22,'API Data Dictionary'!C:F,4,FALSE))=0, "", IF(B22="", "", VLOOKUP(B22,'API Data Dictionary'!C:F,4,FALSE)))</f>
        <v/>
      </c>
      <c r="G22" s="62" t="str">
        <f>IF(IF(B22="", "", VLOOKUP(B22,'API Data Dictionary'!C:G,5,FALSE))=0, "", IF(B22="", "", VLOOKUP(B22,'API Data Dictionary'!C:G,5,FALSE)))</f>
        <v/>
      </c>
    </row>
    <row r="23" spans="1:7" x14ac:dyDescent="0.35">
      <c r="A23" s="64" t="s">
        <v>1432</v>
      </c>
      <c r="B23" s="62" t="str">
        <f>IF(OR(ISNUMBER(SEARCH("{", A23)),ISNUMBER(SEARCH("[", A23))), "", IFERROR(MID(A23, SEARCH("""", A23) +1, SEARCH("""", A23, SEARCH("""",A23) +1) - SEARCH("""", A23) -1), ""))</f>
        <v>message</v>
      </c>
      <c r="C23" s="62" t="s">
        <v>68</v>
      </c>
      <c r="D23" s="62" t="str">
        <f>IF(B23="", "", VLOOKUP(B23,'API Data Dictionary'!C:D,2,FALSE))</f>
        <v>string</v>
      </c>
      <c r="E23" s="62">
        <f>IF(IF(B23="", "", VLOOKUP(B23,'API Data Dictionary'!C:E,3,FALSE))=0, "", IF(B23="", "", VLOOKUP(B23,'API Data Dictionary'!C:E,3,FALSE)))</f>
        <v>100</v>
      </c>
      <c r="F23" s="62" t="str">
        <f>IF(IF(B23="", "", VLOOKUP(B23,'API Data Dictionary'!C:F,4,FALSE))=0, "", IF(B23="", "", VLOOKUP(B23,'API Data Dictionary'!C:F,4,FALSE)))</f>
        <v/>
      </c>
      <c r="G23" s="62" t="str">
        <f>IF(IF(B23="", "", VLOOKUP(B23,'API Data Dictionary'!C:G,5,FALSE))=0, "", IF(B23="", "", VLOOKUP(B23,'API Data Dictionary'!C:G,5,FALSE)))</f>
        <v>return value, null or success, unless there has been error</v>
      </c>
    </row>
    <row r="24" spans="1:7" x14ac:dyDescent="0.35">
      <c r="A24" s="64" t="s">
        <v>1120</v>
      </c>
      <c r="B24" s="62" t="str">
        <f>IF(OR(ISNUMBER(SEARCH("{", A24)),ISNUMBER(SEARCH("[", A24))), "", IFERROR(MID(A24, SEARCH("""", A24) +1, SEARCH("""", A24, SEARCH("""",A24) +1) - SEARCH("""", A24) -1), ""))</f>
        <v/>
      </c>
      <c r="C24" s="62" t="str">
        <f>IF(B24="", "", VLOOKUP(B24,'API Data Dictionary'!C:V,20,FALSE))</f>
        <v/>
      </c>
      <c r="D24" s="62" t="str">
        <f>IF(B24="", "", VLOOKUP(B24,'API Data Dictionary'!C:D,2,FALSE))</f>
        <v/>
      </c>
      <c r="E24" s="62" t="str">
        <f>IF(IF(B24="", "", VLOOKUP(B24,'API Data Dictionary'!C:E,3,FALSE))=0, "", IF(B24="", "", VLOOKUP(B24,'API Data Dictionary'!C:E,3,FALSE)))</f>
        <v/>
      </c>
      <c r="F24" s="62" t="str">
        <f>IF(IF(B24="", "", VLOOKUP(B24,'API Data Dictionary'!C:F,4,FALSE))=0, "", IF(B24="", "", VLOOKUP(B24,'API Data Dictionary'!C:F,4,FALSE)))</f>
        <v/>
      </c>
      <c r="G24" s="62" t="str">
        <f>IF(IF(B24="", "", VLOOKUP(B24,'API Data Dictionary'!C:G,5,FALSE))=0, "", IF(B24="", "", VLOOKUP(B24,'API Data Dictionary'!C:G,5,FALSE)))</f>
        <v/>
      </c>
    </row>
    <row r="26" spans="1:7" x14ac:dyDescent="0.35">
      <c r="A26" s="219" t="s">
        <v>1625</v>
      </c>
      <c r="B26" s="220"/>
      <c r="C26" s="220"/>
      <c r="D26" s="220"/>
      <c r="E26" s="220"/>
      <c r="F26" s="220"/>
      <c r="G26" s="220"/>
    </row>
    <row r="27" spans="1:7" x14ac:dyDescent="0.35">
      <c r="A27" s="88" t="s">
        <v>1561</v>
      </c>
      <c r="B27" s="62" t="s">
        <v>1359</v>
      </c>
      <c r="C27" s="89" t="s">
        <v>1359</v>
      </c>
      <c r="D27" s="62" t="s">
        <v>64</v>
      </c>
      <c r="E27" s="89">
        <v>100</v>
      </c>
      <c r="F27" s="89"/>
      <c r="G27" s="89" t="s">
        <v>1562</v>
      </c>
    </row>
    <row r="29" spans="1:7" x14ac:dyDescent="0.35">
      <c r="A29" s="219" t="s">
        <v>1764</v>
      </c>
      <c r="B29" s="220"/>
      <c r="C29" s="220"/>
      <c r="D29" s="220"/>
      <c r="E29" s="220"/>
      <c r="F29" s="220"/>
      <c r="G29" s="220"/>
    </row>
    <row r="30" spans="1:7" x14ac:dyDescent="0.35">
      <c r="A30" s="88" t="s">
        <v>1763</v>
      </c>
      <c r="B30" s="62" t="s">
        <v>1359</v>
      </c>
      <c r="C30" s="89" t="s">
        <v>1359</v>
      </c>
      <c r="D30" s="62" t="s">
        <v>64</v>
      </c>
      <c r="E30" s="89">
        <v>100</v>
      </c>
      <c r="F30" s="89"/>
      <c r="G30" s="89" t="s">
        <v>1765</v>
      </c>
    </row>
    <row r="32" spans="1:7" x14ac:dyDescent="0.35">
      <c r="A32" s="97" t="s">
        <v>1637</v>
      </c>
      <c r="B32" s="97"/>
      <c r="C32" s="97"/>
      <c r="D32" s="97"/>
      <c r="E32" s="97"/>
      <c r="F32" s="97"/>
      <c r="G32" s="105"/>
    </row>
    <row r="33" spans="1:7" x14ac:dyDescent="0.35">
      <c r="A33" s="64" t="s">
        <v>1094</v>
      </c>
      <c r="B33" s="62" t="str">
        <f t="shared" ref="B33:B45" si="3">IF(OR(ISNUMBER(SEARCH("{", A33)),ISNUMBER(SEARCH("[", A33))), "", IFERROR(MID(A33, SEARCH("""", A33) +1, SEARCH("""", A33, SEARCH("""",A33) +1) - SEARCH("""", A33) -1), ""))</f>
        <v/>
      </c>
      <c r="C33" s="62" t="str">
        <f>IF(B33="", "", VLOOKUP(B33,'API Data Dictionary'!C:R,16,FALSE))</f>
        <v/>
      </c>
      <c r="D33" s="62" t="str">
        <f>IF(B33="", "", VLOOKUP(B33,'API Data Dictionary'!C:D,2,FALSE))</f>
        <v/>
      </c>
      <c r="E33" s="62" t="str">
        <f>IF(IF(B33="", "", VLOOKUP(B33,'API Data Dictionary'!C:E,3,FALSE))=0, "", IF(B33="", "", VLOOKUP(B33,'API Data Dictionary'!C:E,3,FALSE)))</f>
        <v/>
      </c>
      <c r="F33" s="62" t="str">
        <f>IF(IF(B33="", "", VLOOKUP(B33,'API Data Dictionary'!C:F,4,FALSE))=0, "", IF(B33="", "", VLOOKUP(B33,'API Data Dictionary'!C:F,4,FALSE)))</f>
        <v/>
      </c>
      <c r="G33" s="62" t="str">
        <f>IF(IF(B33="", "", VLOOKUP(B33,'API Data Dictionary'!C:G,5,FALSE))=0, "", IF(B33="", "", VLOOKUP(B33,'API Data Dictionary'!C:G,5,FALSE)))</f>
        <v/>
      </c>
    </row>
    <row r="34" spans="1:7" x14ac:dyDescent="0.35">
      <c r="A34" s="64" t="s">
        <v>1574</v>
      </c>
      <c r="B34" s="62" t="s">
        <v>1354</v>
      </c>
      <c r="C34" s="62" t="s">
        <v>68</v>
      </c>
      <c r="D34" s="62" t="s">
        <v>1357</v>
      </c>
      <c r="E34" s="106">
        <v>100</v>
      </c>
      <c r="F34" s="62" t="s">
        <v>1433</v>
      </c>
      <c r="G34" s="62" t="s">
        <v>1572</v>
      </c>
    </row>
    <row r="35" spans="1:7" x14ac:dyDescent="0.35">
      <c r="A35" s="64" t="s">
        <v>1377</v>
      </c>
      <c r="B35" s="62" t="s">
        <v>1433</v>
      </c>
      <c r="C35" s="62" t="s">
        <v>1433</v>
      </c>
      <c r="D35" s="62" t="s">
        <v>1433</v>
      </c>
      <c r="E35" s="106" t="s">
        <v>1433</v>
      </c>
      <c r="F35" s="62" t="s">
        <v>1433</v>
      </c>
      <c r="G35" s="62" t="s">
        <v>1433</v>
      </c>
    </row>
    <row r="36" spans="1:7" x14ac:dyDescent="0.35">
      <c r="A36" s="64" t="s">
        <v>1564</v>
      </c>
      <c r="B36" s="62" t="s">
        <v>1589</v>
      </c>
      <c r="C36" s="62" t="s">
        <v>68</v>
      </c>
      <c r="D36" s="62" t="s">
        <v>1593</v>
      </c>
      <c r="E36" s="106"/>
      <c r="F36" s="62"/>
      <c r="G36" s="62"/>
    </row>
    <row r="37" spans="1:7" x14ac:dyDescent="0.35">
      <c r="A37" s="64" t="s">
        <v>1573</v>
      </c>
      <c r="B37" s="62" t="s">
        <v>1590</v>
      </c>
      <c r="C37" s="62" t="s">
        <v>68</v>
      </c>
      <c r="D37" s="62" t="s">
        <v>64</v>
      </c>
      <c r="E37" s="106" t="s">
        <v>1594</v>
      </c>
      <c r="F37" s="62"/>
      <c r="G37" s="62"/>
    </row>
    <row r="38" spans="1:7" x14ac:dyDescent="0.35">
      <c r="A38" s="64" t="s">
        <v>1633</v>
      </c>
      <c r="B38" s="62" t="s">
        <v>1591</v>
      </c>
      <c r="C38" s="62" t="s">
        <v>68</v>
      </c>
      <c r="D38" s="62" t="s">
        <v>64</v>
      </c>
      <c r="E38" s="106" t="s">
        <v>1594</v>
      </c>
      <c r="F38" s="62"/>
      <c r="G38" s="62"/>
    </row>
    <row r="39" spans="1:7" x14ac:dyDescent="0.35">
      <c r="A39" s="64" t="s">
        <v>1566</v>
      </c>
      <c r="B39" s="62" t="s">
        <v>1433</v>
      </c>
      <c r="C39" s="62" t="s">
        <v>1433</v>
      </c>
      <c r="D39" s="62" t="s">
        <v>1433</v>
      </c>
      <c r="E39" s="106" t="s">
        <v>1433</v>
      </c>
      <c r="F39" s="62" t="s">
        <v>1433</v>
      </c>
      <c r="G39" s="62" t="s">
        <v>1433</v>
      </c>
    </row>
    <row r="40" spans="1:7" x14ac:dyDescent="0.35">
      <c r="A40" s="64" t="s">
        <v>1413</v>
      </c>
      <c r="B40" s="62" t="s">
        <v>1433</v>
      </c>
      <c r="C40" s="62"/>
      <c r="D40" s="62" t="s">
        <v>1433</v>
      </c>
      <c r="E40" s="106" t="s">
        <v>1433</v>
      </c>
      <c r="F40" s="62" t="s">
        <v>1433</v>
      </c>
      <c r="G40" s="62" t="s">
        <v>1433</v>
      </c>
    </row>
    <row r="41" spans="1:7" x14ac:dyDescent="0.35">
      <c r="A41" s="64" t="s">
        <v>1576</v>
      </c>
      <c r="B41" s="62" t="s">
        <v>1579</v>
      </c>
      <c r="C41" s="62" t="s">
        <v>68</v>
      </c>
      <c r="D41" s="62" t="s">
        <v>64</v>
      </c>
      <c r="E41" s="106" t="s">
        <v>1594</v>
      </c>
      <c r="F41" s="62"/>
      <c r="G41" s="62"/>
    </row>
    <row r="42" spans="1:7" x14ac:dyDescent="0.35">
      <c r="A42" s="64" t="s">
        <v>1577</v>
      </c>
      <c r="B42" s="62" t="s">
        <v>1580</v>
      </c>
      <c r="C42" s="62" t="s">
        <v>68</v>
      </c>
      <c r="D42" s="62" t="s">
        <v>64</v>
      </c>
      <c r="E42" s="106" t="s">
        <v>1594</v>
      </c>
      <c r="F42" s="62"/>
      <c r="G42" s="62"/>
    </row>
    <row r="43" spans="1:7" x14ac:dyDescent="0.35">
      <c r="A43" s="64" t="s">
        <v>1105</v>
      </c>
      <c r="B43" s="62" t="s">
        <v>1433</v>
      </c>
      <c r="C43" s="62" t="s">
        <v>1433</v>
      </c>
      <c r="D43" s="62" t="s">
        <v>1433</v>
      </c>
      <c r="E43" s="106" t="s">
        <v>1433</v>
      </c>
      <c r="F43" s="62" t="s">
        <v>1433</v>
      </c>
      <c r="G43" s="62"/>
    </row>
    <row r="44" spans="1:7" x14ac:dyDescent="0.35">
      <c r="A44" s="64" t="s">
        <v>1578</v>
      </c>
      <c r="B44" s="62" t="s">
        <v>1592</v>
      </c>
      <c r="C44" s="62" t="s">
        <v>68</v>
      </c>
      <c r="D44" s="62" t="s">
        <v>64</v>
      </c>
      <c r="E44" s="106" t="s">
        <v>1594</v>
      </c>
      <c r="F44" s="62"/>
      <c r="G44" s="62"/>
    </row>
    <row r="45" spans="1:7" x14ac:dyDescent="0.35">
      <c r="A45" s="64" t="s">
        <v>1120</v>
      </c>
      <c r="B45" s="62" t="str">
        <f t="shared" si="3"/>
        <v/>
      </c>
      <c r="C45" s="62" t="str">
        <f>IF(B45="", "", VLOOKUP(B45,'API Data Dictionary'!C:R,16,FALSE))</f>
        <v/>
      </c>
      <c r="D45" s="62" t="str">
        <f>IF(B45="", "", VLOOKUP(B45,'API Data Dictionary'!C:D,2,FALSE))</f>
        <v/>
      </c>
      <c r="E45" s="106" t="str">
        <f>IF(IF(B45="", "", VLOOKUP(B45,'API Data Dictionary'!C:E,3,FALSE))=0, "", IF(B45="", "", VLOOKUP(B45,'API Data Dictionary'!C:E,3,FALSE)))</f>
        <v/>
      </c>
      <c r="F45" s="62" t="str">
        <f>IF(IF(B45="", "", VLOOKUP(B45,'API Data Dictionary'!C:F,4,FALSE))=0, "", IF(B45="", "", VLOOKUP(B45,'API Data Dictionary'!C:F,4,FALSE)))</f>
        <v/>
      </c>
      <c r="G45" s="62" t="str">
        <f>IF(IF(B45="", "", VLOOKUP(B45,'API Data Dictionary'!C:G,5,FALSE))=0, "", IF(B45="", "", VLOOKUP(B45,'API Data Dictionary'!C:G,5,FALSE)))</f>
        <v/>
      </c>
    </row>
    <row r="47" spans="1:7" x14ac:dyDescent="0.35">
      <c r="A47" s="224" t="s">
        <v>1598</v>
      </c>
      <c r="B47" s="224"/>
      <c r="C47" s="224"/>
      <c r="D47" s="224"/>
      <c r="E47" s="224"/>
      <c r="F47" s="224"/>
      <c r="G47" s="224"/>
    </row>
    <row r="48" spans="1:7" x14ac:dyDescent="0.35">
      <c r="A48" s="110" t="s">
        <v>1094</v>
      </c>
      <c r="B48" s="89" t="str">
        <f t="shared" ref="B48:B52" si="4">IF(OR(ISNUMBER(SEARCH("{", A48)),ISNUMBER(SEARCH("[", A48))), "", IFERROR(MID(A48, SEARCH("""", A48) +1, SEARCH("""", A48, SEARCH("""",A48) +1) - SEARCH("""", A48) -1), ""))</f>
        <v/>
      </c>
      <c r="C48" s="89" t="str">
        <f>IF(B48="", "", VLOOKUP(B48,'API Data Dictionary'!C:J,8,FALSE))</f>
        <v/>
      </c>
      <c r="D48" s="89" t="str">
        <f>IF(B48="", "", VLOOKUP(B48,'API Data Dictionary'!C:D,2,FALSE))</f>
        <v/>
      </c>
      <c r="E48" s="89" t="str">
        <f>IF(IF(B48="", "", VLOOKUP(B48,'API Data Dictionary'!C:E,3,FALSE))=0, "", IF(B48="", "", VLOOKUP(B48,'API Data Dictionary'!C:E,3,FALSE)))</f>
        <v/>
      </c>
      <c r="F48" s="89" t="str">
        <f>IF(IF(B48="", "", VLOOKUP(B48,'API Data Dictionary'!C:F,4,FALSE))=0, "", IF(B48="", "", VLOOKUP(B48,'API Data Dictionary'!C:F,4,FALSE)))</f>
        <v/>
      </c>
      <c r="G48" s="89" t="str">
        <f>IF(IF(B48="", "", VLOOKUP(B48,'API Data Dictionary'!C:G,5,FALSE))=0, "", IF(B48="", "", VLOOKUP(B48,'API Data Dictionary'!C:G,5,FALSE)))</f>
        <v/>
      </c>
    </row>
    <row r="49" spans="1:7" x14ac:dyDescent="0.35">
      <c r="A49" s="110" t="s">
        <v>1567</v>
      </c>
      <c r="B49" s="89" t="str">
        <f t="shared" si="4"/>
        <v>success</v>
      </c>
      <c r="C49" s="89" t="s">
        <v>68</v>
      </c>
      <c r="D49" s="89" t="str">
        <f>IF(B49="", "", VLOOKUP(B49,'API Data Dictionary'!C:D,2,FALSE))</f>
        <v>string - Boolean</v>
      </c>
      <c r="E49" s="89">
        <f>IF(IF(B49="", "", VLOOKUP(B49,'API Data Dictionary'!C:E,3,FALSE))=0, "", IF(B49="", "", VLOOKUP(B49,'API Data Dictionary'!C:E,3,FALSE)))</f>
        <v>100</v>
      </c>
      <c r="F49" s="89" t="str">
        <f>IF(IF(B49="", "", VLOOKUP(B49,'API Data Dictionary'!C:F,4,FALSE))=0, "", IF(B49="", "", VLOOKUP(B49,'API Data Dictionary'!C:F,4,FALSE)))</f>
        <v/>
      </c>
      <c r="G49" s="89" t="str">
        <f>IF(IF(B49="", "", VLOOKUP(B49,'API Data Dictionary'!C:G,5,FALSE))=0, "", IF(B49="", "", VLOOKUP(B49,'API Data Dictionary'!C:G,5,FALSE)))</f>
        <v>Returns true when successful call/connection</v>
      </c>
    </row>
    <row r="50" spans="1:7" x14ac:dyDescent="0.35">
      <c r="A50" s="110" t="s">
        <v>1596</v>
      </c>
      <c r="B50" s="89" t="str">
        <f t="shared" si="4"/>
        <v>payload</v>
      </c>
      <c r="C50" s="89" t="s">
        <v>68</v>
      </c>
      <c r="D50" s="89" t="str">
        <f>IF(B50="", "", VLOOKUP(B50,'API Data Dictionary'!C:D,2,FALSE))</f>
        <v>string</v>
      </c>
      <c r="E50" s="89">
        <f>IF(IF(B50="", "", VLOOKUP(B50,'API Data Dictionary'!C:E,3,FALSE))=0, "", IF(B50="", "", VLOOKUP(B50,'API Data Dictionary'!C:E,3,FALSE)))</f>
        <v>100</v>
      </c>
      <c r="F50" s="89" t="str">
        <f>IF(IF(B50="", "", VLOOKUP(B50,'API Data Dictionary'!C:F,4,FALSE))=0, "", IF(B50="", "", VLOOKUP(B50,'API Data Dictionary'!C:F,4,FALSE)))</f>
        <v/>
      </c>
      <c r="G50" s="89" t="str">
        <f>IF(IF(B50="", "", VLOOKUP(B50,'API Data Dictionary'!C:G,5,FALSE))=0, "", IF(B50="", "", VLOOKUP(B50,'API Data Dictionary'!C:G,5,FALSE)))</f>
        <v>Returns healthy when connection has worked properly</v>
      </c>
    </row>
    <row r="51" spans="1:7" x14ac:dyDescent="0.35">
      <c r="A51" s="110" t="s">
        <v>1597</v>
      </c>
      <c r="B51" s="89" t="str">
        <f t="shared" si="4"/>
        <v>message</v>
      </c>
      <c r="C51" s="89" t="s">
        <v>68</v>
      </c>
      <c r="D51" s="89" t="str">
        <f>IF(B51="", "", VLOOKUP(B51,'API Data Dictionary'!C:D,2,FALSE))</f>
        <v>string</v>
      </c>
      <c r="E51" s="89">
        <f>IF(IF(B51="", "", VLOOKUP(B51,'API Data Dictionary'!C:E,3,FALSE))=0, "", IF(B51="", "", VLOOKUP(B51,'API Data Dictionary'!C:E,3,FALSE)))</f>
        <v>100</v>
      </c>
      <c r="F51" s="89" t="str">
        <f>IF(IF(B51="", "", VLOOKUP(B51,'API Data Dictionary'!C:F,4,FALSE))=0, "", IF(B51="", "", VLOOKUP(B51,'API Data Dictionary'!C:F,4,FALSE)))</f>
        <v/>
      </c>
      <c r="G51" s="89" t="str">
        <f>IF(IF(B51="", "", VLOOKUP(B51,'API Data Dictionary'!C:G,5,FALSE))=0, "", IF(B51="", "", VLOOKUP(B51,'API Data Dictionary'!C:G,5,FALSE)))</f>
        <v>return value, null or success, unless there has been error</v>
      </c>
    </row>
    <row r="52" spans="1:7" x14ac:dyDescent="0.35">
      <c r="A52" s="110" t="s">
        <v>1120</v>
      </c>
      <c r="B52" s="89" t="str">
        <f t="shared" si="4"/>
        <v/>
      </c>
      <c r="C52" s="89" t="str">
        <f>IF(B52="", "", VLOOKUP(B52,'API Data Dictionary'!C:J,8,FALSE))</f>
        <v/>
      </c>
      <c r="D52" s="89" t="str">
        <f>IF(B52="", "", VLOOKUP(B52,'API Data Dictionary'!C:D,2,FALSE))</f>
        <v/>
      </c>
      <c r="E52" s="89" t="str">
        <f>IF(IF(B52="", "", VLOOKUP(B52,'API Data Dictionary'!C:E,3,FALSE))=0, "", IF(B52="", "", VLOOKUP(B52,'API Data Dictionary'!C:E,3,FALSE)))</f>
        <v/>
      </c>
      <c r="F52" s="89" t="str">
        <f>IF(IF(B52="", "", VLOOKUP(B52,'API Data Dictionary'!C:F,4,FALSE))=0, "", IF(B52="", "", VLOOKUP(B52,'API Data Dictionary'!C:F,4,FALSE)))</f>
        <v/>
      </c>
      <c r="G52" s="89" t="str">
        <f>IF(IF(B52="", "", VLOOKUP(B52,'API Data Dictionary'!C:G,5,FALSE))=0, "", IF(B52="", "", VLOOKUP(B52,'API Data Dictionary'!C:G,5,FALSE)))</f>
        <v/>
      </c>
    </row>
  </sheetData>
  <mergeCells count="5">
    <mergeCell ref="A2:G2"/>
    <mergeCell ref="A7:G7"/>
    <mergeCell ref="A47:G47"/>
    <mergeCell ref="A26:G26"/>
    <mergeCell ref="A29:G29"/>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755B8-2506-43DD-9B60-58152575CF28}">
  <sheetPr>
    <tabColor rgb="FF4472C4"/>
  </sheetPr>
  <dimension ref="A1:G34"/>
  <sheetViews>
    <sheetView topLeftCell="A5" zoomScaleNormal="100" workbookViewId="0">
      <selection activeCell="A24" sqref="A22:XFD24"/>
    </sheetView>
  </sheetViews>
  <sheetFormatPr defaultRowHeight="14.5" x14ac:dyDescent="0.35"/>
  <cols>
    <col min="1" max="1" width="56.36328125" bestFit="1" customWidth="1"/>
    <col min="2" max="2" width="16.26953125" bestFit="1" customWidth="1"/>
    <col min="3" max="3" width="12" customWidth="1"/>
    <col min="4" max="4" width="22" bestFit="1" customWidth="1"/>
    <col min="6" max="6" width="11.81640625" customWidth="1"/>
    <col min="7" max="7" width="174.1796875" bestFit="1" customWidth="1"/>
  </cols>
  <sheetData>
    <row r="1" spans="1:7" ht="43.5" x14ac:dyDescent="0.35">
      <c r="A1" s="63" t="s">
        <v>1133</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IF(OR(ISNUMBER(SEARCH("{", A3)),ISNUMBER(SEARCH("[", A3))), "", IFERROR(MID(A3, SEARCH("""", A3) +1, SEARCH("""", A3, SEARCH("""",A3) +1) - SEARCH("""", A3) -1), ""))</f>
        <v/>
      </c>
      <c r="C3" s="62" t="str">
        <f>IF(B3="", "", VLOOKUP(B3,'API Data Dictionary'!C:T,18,FALSE))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1134</v>
      </c>
      <c r="B4" s="62" t="str">
        <f t="shared" ref="B4:B7" si="0">IF(OR(ISNUMBER(SEARCH("{", A4)),ISNUMBER(SEARCH("[", A4))), "", IFERROR(MID(A4, SEARCH("""", A4) +1, SEARCH("""", A4, SEARCH("""",A4) +1) - SEARCH("""", A4) -1), ""))</f>
        <v>applicantID</v>
      </c>
      <c r="C4" s="62" t="str">
        <f>IF(B4="", "", VLOOKUP(B4,'API Data Dictionary'!C:T,18,FALSE))</f>
        <v>M</v>
      </c>
      <c r="D4" s="62" t="str">
        <f>IF(B4="", "", VLOOKUP(B4,'API Data Dictionary'!C:D,2,FALSE))</f>
        <v>integer</v>
      </c>
      <c r="E4" s="62" t="str">
        <f>IF(IF(B4="", "", VLOOKUP(B4,'API Data Dictionary'!C:E,3,FALSE))=0, "", IF(B4="", "", VLOOKUP(B4,'API Data Dictionary'!C:E,3,FALSE)))</f>
        <v/>
      </c>
      <c r="F4" s="62" t="str">
        <f>IF(IF(B4="", "", VLOOKUP(B4,'API Data Dictionary'!C:F,4,FALSE))=0, "", IF(B4="", "", VLOOKUP(B4,'API Data Dictionary'!C:F,4,FALSE)))</f>
        <v/>
      </c>
      <c r="G4" s="62" t="str">
        <f>IF(IF(B4="", "", VLOOKUP(B4,'API Data Dictionary'!C:G,5,FALSE))=0, "", IF(B4="", "", VLOOKUP(B4,'API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5" spans="1:7" x14ac:dyDescent="0.35">
      <c r="A5" s="64" t="s">
        <v>1135</v>
      </c>
      <c r="B5" s="62" t="str">
        <f t="shared" si="0"/>
        <v>filestream</v>
      </c>
      <c r="C5" s="62" t="str">
        <f>IF(B5="", "", VLOOKUP(B5,'API Data Dictionary'!C:T,18,FALSE))</f>
        <v>M</v>
      </c>
      <c r="D5" s="62" t="str">
        <f>IF(B5="", "", VLOOKUP(B5,'API Data Dictionary'!C:D,2,FALSE))</f>
        <v>string - binary</v>
      </c>
      <c r="E5" s="62" t="str">
        <f>IF(IF(B5="", "", VLOOKUP(B5,'API Data Dictionary'!C:E,3,FALSE))=0, "", IF(B5="", "", VLOOKUP(B5,'API Data Dictionary'!C:E,3,FALSE)))</f>
        <v/>
      </c>
      <c r="F5" s="62" t="str">
        <f>IF(IF(B5="", "", VLOOKUP(B5,'API Data Dictionary'!C:F,4,FALSE))=0, "", IF(B5="", "", VLOOKUP(B5,'API Data Dictionary'!C:F,4,FALSE)))</f>
        <v/>
      </c>
      <c r="G5" s="62" t="str">
        <f>IF(IF(B5="", "", VLOOKUP(B5,'API Data Dictionary'!C:G,5,FALSE))=0, "", IF(B5="", "", VLOOKUP(B5,'API Data Dictionary'!C:G,5,FALSE)))</f>
        <v xml:space="preserve">binary encoded filestream </v>
      </c>
    </row>
    <row r="6" spans="1:7" x14ac:dyDescent="0.35">
      <c r="A6" s="64" t="s">
        <v>1439</v>
      </c>
      <c r="B6" s="62" t="str">
        <f t="shared" si="0"/>
        <v>documentTypeID</v>
      </c>
      <c r="C6" s="62" t="str">
        <f>IF(B6="", "", VLOOKUP(B6,'API Data Dictionary'!C:T,18,FALSE))</f>
        <v>M</v>
      </c>
      <c r="D6" s="62" t="str">
        <f>IF(B6="", "", VLOOKUP(B6,'API Data Dictionary'!C:D,2,FALSE))</f>
        <v>enum - Document Type</v>
      </c>
      <c r="E6" s="62" t="str">
        <f>IF(IF(B6="", "", VLOOKUP(B6,'API Data Dictionary'!C:E,3,FALSE))=0, "", IF(B6="", "", VLOOKUP(B6,'API Data Dictionary'!C:E,3,FALSE)))</f>
        <v/>
      </c>
      <c r="F6" s="62" t="str">
        <f>IF(IF(B6="", "", VLOOKUP(B6,'API Data Dictionary'!C:F,4,FALSE))=0, "", IF(B6="", "", VLOOKUP(B6,'API Data Dictionary'!C:F,4,FALSE)))</f>
        <v/>
      </c>
      <c r="G6" s="62" t="str">
        <f>IF(IF(B6="", "", VLOOKUP(B6,'API Data Dictionary'!C:G,5,FALSE))=0, "", IF(B6="", "", VLOOKUP(B6,'API Data Dictionary'!C:G,5,FALSE)))</f>
        <v xml:space="preserve">Reference Document Type </v>
      </c>
    </row>
    <row r="7" spans="1:7" x14ac:dyDescent="0.35">
      <c r="A7" s="64" t="s">
        <v>1120</v>
      </c>
      <c r="B7" s="62" t="str">
        <f t="shared" si="0"/>
        <v/>
      </c>
      <c r="C7" s="62" t="str">
        <f>IF(B7="", "", VLOOKUP(B7,'API Data Dictionary'!C:T,18,FALSE))</f>
        <v/>
      </c>
      <c r="D7" s="62" t="str">
        <f>IF(B7="", "", VLOOKUP(B7,'API Data Dictionary'!C:D,2,FALSE))</f>
        <v/>
      </c>
      <c r="E7" s="62" t="str">
        <f>IF(IF(B7="", "", VLOOKUP(B7,'API Data Dictionary'!C:E,3,FALSE))=0, "", IF(B7="", "", VLOOKUP(B7,'API Data Dictionary'!C:E,3,FALSE)))</f>
        <v/>
      </c>
      <c r="F7" s="62" t="str">
        <f>IF(IF(B7="", "", VLOOKUP(B7,'API Data Dictionary'!C:F,4,FALSE))=0, "", IF(B7="", "", VLOOKUP(B7,'API Data Dictionary'!C:F,4,FALSE)))</f>
        <v/>
      </c>
      <c r="G7" s="62" t="str">
        <f>IF(IF(B7="", "", VLOOKUP(B7,'API Data Dictionary'!C:G,5,FALSE))=0, "", IF(B7="", "", VLOOKUP(B7,'API Data Dictionary'!C:G,5,FALSE)))</f>
        <v/>
      </c>
    </row>
    <row r="9" spans="1:7" x14ac:dyDescent="0.35">
      <c r="A9" s="222" t="s">
        <v>1751</v>
      </c>
      <c r="B9" s="222"/>
      <c r="C9" s="222"/>
      <c r="D9" s="222"/>
      <c r="E9" s="222"/>
      <c r="F9" s="222"/>
      <c r="G9" s="222"/>
    </row>
    <row r="10" spans="1:7" x14ac:dyDescent="0.35">
      <c r="A10" s="64"/>
      <c r="B10" s="62" t="str">
        <f t="shared" ref="B10:B15" si="1">IF(OR(ISNUMBER(SEARCH("{", A10)),ISNUMBER(SEARCH("[", A10))), "", IFERROR(MID(A10, SEARCH("""", A10) +1, SEARCH("""", A10, SEARCH("""",A10) +1) - SEARCH("""", A10) -1), ""))</f>
        <v/>
      </c>
      <c r="C10" s="62" t="str">
        <f>IF(B10="", "", VLOOKUP(B10,'API Data Dictionary'!C:T,18,FALSE))</f>
        <v/>
      </c>
      <c r="D10" s="62" t="str">
        <f>IF(B10="", "", VLOOKUP(B10,'API Data Dictionary'!C:D,2,FALSE))</f>
        <v/>
      </c>
      <c r="E10" s="62" t="str">
        <f>IF(IF(B10="", "", VLOOKUP(B10,'API Data Dictionary'!C:E,3,FALSE))=0, "", IF(B10="", "", VLOOKUP(B10,'API Data Dictionary'!C:E,3,FALSE)))</f>
        <v/>
      </c>
      <c r="F10" s="62" t="str">
        <f>IF(IF(B10="", "", VLOOKUP(B10,'API Data Dictionary'!C:F,4,FALSE))=0, "", IF(B10="", "", VLOOKUP(B10,'API Data Dictionary'!C:F,4,FALSE)))</f>
        <v/>
      </c>
      <c r="G10" s="62" t="str">
        <f>IF(IF(B10="", "", VLOOKUP(B10,'API Data Dictionary'!C:G,5,FALSE))=0, "", IF(B10="", "", VLOOKUP(B10,'API Data Dictionary'!C:G,5,FALSE)))</f>
        <v/>
      </c>
    </row>
    <row r="11" spans="1:7" x14ac:dyDescent="0.35">
      <c r="A11" s="64" t="s">
        <v>1094</v>
      </c>
      <c r="B11" s="62" t="str">
        <f t="shared" si="1"/>
        <v/>
      </c>
      <c r="C11" s="62" t="str">
        <f>IF(B11="", "", VLOOKUP(B11,'API Data Dictionary'!C:T,18,FALSE))</f>
        <v/>
      </c>
      <c r="D11" s="62" t="str">
        <f>IF(B11="", "", VLOOKUP(B11,'API Data Dictionary'!C:D,2,FALSE))</f>
        <v/>
      </c>
      <c r="E11" s="62" t="str">
        <f>IF(IF(B11="", "", VLOOKUP(B11,'API Data Dictionary'!C:E,3,FALSE))=0, "", IF(B11="", "", VLOOKUP(B11,'API Data Dictionary'!C:E,3,FALSE)))</f>
        <v/>
      </c>
      <c r="F11" s="62" t="str">
        <f>IF(IF(B11="", "", VLOOKUP(B11,'API Data Dictionary'!C:F,4,FALSE))=0, "", IF(B11="", "", VLOOKUP(B11,'API Data Dictionary'!C:F,4,FALSE)))</f>
        <v/>
      </c>
      <c r="G11" s="62" t="str">
        <f>IF(IF(B11="", "", VLOOKUP(B11,'API Data Dictionary'!C:G,5,FALSE))=0, "", IF(B11="", "", VLOOKUP(B11,'API Data Dictionary'!C:G,5,FALSE)))</f>
        <v/>
      </c>
    </row>
    <row r="12" spans="1:7" x14ac:dyDescent="0.35">
      <c r="A12" s="64" t="s">
        <v>1350</v>
      </c>
      <c r="B12" s="62" t="str">
        <f t="shared" si="1"/>
        <v>success</v>
      </c>
      <c r="C12" s="62" t="s">
        <v>68</v>
      </c>
      <c r="D12" s="62" t="str">
        <f>IF(B12="", "", VLOOKUP(B12,'API Data Dictionary'!C:D,2,FALSE))</f>
        <v>string - Boolean</v>
      </c>
      <c r="E12" s="62">
        <f>IF(IF(B12="", "", VLOOKUP(B12,'API Data Dictionary'!C:E,3,FALSE))=0, "", IF(B12="", "", VLOOKUP(B12,'API Data Dictionary'!C:E,3,FALSE)))</f>
        <v>100</v>
      </c>
      <c r="F12" s="62" t="str">
        <f>IF(IF(B12="", "", VLOOKUP(B12,'API Data Dictionary'!C:F,4,FALSE))=0, "", IF(B12="", "", VLOOKUP(B12,'API Data Dictionary'!C:F,4,FALSE)))</f>
        <v/>
      </c>
      <c r="G12" s="62" t="str">
        <f>IF(IF(B12="", "", VLOOKUP(B12,'API Data Dictionary'!C:G,5,FALSE))=0, "", IF(B12="", "", VLOOKUP(B12,'API Data Dictionary'!C:G,5,FALSE)))</f>
        <v>Returns true when successful call/connection</v>
      </c>
    </row>
    <row r="13" spans="1:7" x14ac:dyDescent="0.35">
      <c r="A13" s="64" t="s">
        <v>1437</v>
      </c>
      <c r="B13" s="62" t="str">
        <f t="shared" si="1"/>
        <v>payload</v>
      </c>
      <c r="C13" s="62" t="s">
        <v>68</v>
      </c>
      <c r="D13" s="62" t="str">
        <f>IF(B13="", "", VLOOKUP(B13,'API Data Dictionary'!C:D,2,FALSE))</f>
        <v>string</v>
      </c>
      <c r="E13" s="62">
        <f>IF(IF(B13="", "", VLOOKUP(B13,'API Data Dictionary'!C:E,3,FALSE))=0, "", IF(B13="", "", VLOOKUP(B13,'API Data Dictionary'!C:E,3,FALSE)))</f>
        <v>100</v>
      </c>
      <c r="F13" s="62" t="str">
        <f>IF(IF(B13="", "", VLOOKUP(B13,'API Data Dictionary'!C:F,4,FALSE))=0, "", IF(B13="", "", VLOOKUP(B13,'API Data Dictionary'!C:F,4,FALSE)))</f>
        <v/>
      </c>
      <c r="G13" s="62" t="str">
        <f>IF(IF(B13="", "", VLOOKUP(B13,'API Data Dictionary'!C:G,5,FALSE))=0, "", IF(B13="", "", VLOOKUP(B13,'API Data Dictionary'!C:G,5,FALSE)))</f>
        <v>Returns healthy when connection has worked properly</v>
      </c>
    </row>
    <row r="14" spans="1:7" x14ac:dyDescent="0.35">
      <c r="A14" s="64" t="s">
        <v>1438</v>
      </c>
      <c r="B14" s="62" t="str">
        <f t="shared" si="1"/>
        <v>message</v>
      </c>
      <c r="C14" s="62" t="s">
        <v>68</v>
      </c>
      <c r="D14" s="62" t="str">
        <f>IF(B14="", "", VLOOKUP(B14,'API Data Dictionary'!C:D,2,FALSE))</f>
        <v>string</v>
      </c>
      <c r="E14" s="62">
        <f>IF(IF(B14="", "", VLOOKUP(B14,'API Data Dictionary'!C:E,3,FALSE))=0, "", IF(B14="", "", VLOOKUP(B14,'API Data Dictionary'!C:E,3,FALSE)))</f>
        <v>100</v>
      </c>
      <c r="F14" s="62" t="str">
        <f>IF(IF(B14="", "", VLOOKUP(B14,'API Data Dictionary'!C:F,4,FALSE))=0, "", IF(B14="", "", VLOOKUP(B14,'API Data Dictionary'!C:F,4,FALSE)))</f>
        <v/>
      </c>
      <c r="G14" s="62" t="str">
        <f>IF(IF(B14="", "", VLOOKUP(B14,'API Data Dictionary'!C:G,5,FALSE))=0, "", IF(B14="", "", VLOOKUP(B14,'API Data Dictionary'!C:G,5,FALSE)))</f>
        <v>return value, null or success, unless there has been error</v>
      </c>
    </row>
    <row r="15" spans="1:7" x14ac:dyDescent="0.35">
      <c r="A15" s="64" t="s">
        <v>1120</v>
      </c>
      <c r="B15" s="62" t="str">
        <f t="shared" si="1"/>
        <v/>
      </c>
      <c r="C15" s="62" t="str">
        <f>IF(B15="", "", VLOOKUP(B15,'API Data Dictionary'!C:T,18,FALSE))</f>
        <v/>
      </c>
      <c r="D15" s="62" t="str">
        <f>IF(B15="", "", VLOOKUP(B15,'API Data Dictionary'!C:D,2,FALSE))</f>
        <v/>
      </c>
      <c r="E15" s="62" t="str">
        <f>IF(IF(B15="", "", VLOOKUP(B15,'API Data Dictionary'!C:E,3,FALSE))=0, "", IF(B15="", "", VLOOKUP(B15,'API Data Dictionary'!C:E,3,FALSE)))</f>
        <v/>
      </c>
      <c r="F15" s="62" t="str">
        <f>IF(IF(B15="", "", VLOOKUP(B15,'API Data Dictionary'!C:F,4,FALSE))=0, "", IF(B15="", "", VLOOKUP(B15,'API Data Dictionary'!C:F,4,FALSE)))</f>
        <v/>
      </c>
      <c r="G15" s="62" t="str">
        <f>IF(IF(B15="", "", VLOOKUP(B15,'API Data Dictionary'!C:G,5,FALSE))=0, "", IF(B15="", "", VLOOKUP(B15,'API Data Dictionary'!C:G,5,FALSE)))</f>
        <v/>
      </c>
    </row>
    <row r="17" spans="1:7" x14ac:dyDescent="0.35">
      <c r="A17" s="219" t="s">
        <v>1625</v>
      </c>
      <c r="B17" s="220"/>
      <c r="C17" s="220"/>
      <c r="D17" s="220"/>
      <c r="E17" s="220"/>
      <c r="F17" s="220"/>
      <c r="G17" s="220"/>
    </row>
    <row r="18" spans="1:7" x14ac:dyDescent="0.35">
      <c r="A18" s="88" t="s">
        <v>1561</v>
      </c>
      <c r="B18" s="62" t="s">
        <v>1359</v>
      </c>
      <c r="C18" s="89" t="s">
        <v>1359</v>
      </c>
      <c r="D18" s="62" t="s">
        <v>64</v>
      </c>
      <c r="E18" s="89">
        <v>100</v>
      </c>
      <c r="F18" s="89"/>
      <c r="G18" s="89" t="s">
        <v>1562</v>
      </c>
    </row>
    <row r="20" spans="1:7" x14ac:dyDescent="0.35">
      <c r="A20" s="219" t="s">
        <v>1764</v>
      </c>
      <c r="B20" s="220"/>
      <c r="C20" s="220"/>
      <c r="D20" s="220"/>
      <c r="E20" s="220"/>
      <c r="F20" s="220"/>
      <c r="G20" s="220"/>
    </row>
    <row r="21" spans="1:7" x14ac:dyDescent="0.35">
      <c r="A21" s="88" t="s">
        <v>1763</v>
      </c>
      <c r="B21" s="62" t="s">
        <v>1359</v>
      </c>
      <c r="C21" s="89" t="s">
        <v>1359</v>
      </c>
      <c r="D21" s="62" t="s">
        <v>64</v>
      </c>
      <c r="E21" s="89">
        <v>100</v>
      </c>
      <c r="F21" s="89"/>
      <c r="G21" s="89" t="s">
        <v>1765</v>
      </c>
    </row>
    <row r="23" spans="1:7" x14ac:dyDescent="0.35">
      <c r="A23" s="97" t="s">
        <v>1639</v>
      </c>
      <c r="B23" s="97"/>
      <c r="C23" s="97"/>
      <c r="D23" s="97"/>
      <c r="E23" s="97"/>
      <c r="F23" s="97"/>
      <c r="G23" s="105"/>
    </row>
    <row r="24" spans="1:7" x14ac:dyDescent="0.35">
      <c r="A24" s="64" t="s">
        <v>1640</v>
      </c>
      <c r="B24" s="62" t="s">
        <v>1359</v>
      </c>
      <c r="C24" s="62" t="s">
        <v>1359</v>
      </c>
      <c r="D24" s="62" t="s">
        <v>1359</v>
      </c>
      <c r="E24" s="62"/>
      <c r="F24" s="62"/>
      <c r="G24" s="62"/>
    </row>
    <row r="26" spans="1:7" x14ac:dyDescent="0.35">
      <c r="A26" s="97" t="s">
        <v>1987</v>
      </c>
      <c r="B26" s="97"/>
      <c r="C26" s="97"/>
      <c r="D26" s="97"/>
      <c r="E26" s="97"/>
      <c r="F26" s="97"/>
      <c r="G26" s="105"/>
    </row>
    <row r="27" spans="1:7" x14ac:dyDescent="0.35">
      <c r="A27" s="64" t="s">
        <v>1638</v>
      </c>
      <c r="B27" s="62" t="s">
        <v>1359</v>
      </c>
      <c r="C27" s="62" t="s">
        <v>1359</v>
      </c>
      <c r="D27" s="62" t="s">
        <v>1359</v>
      </c>
      <c r="E27" s="62"/>
      <c r="F27" s="62"/>
      <c r="G27" s="62"/>
    </row>
    <row r="29" spans="1:7" x14ac:dyDescent="0.35">
      <c r="A29" s="224" t="s">
        <v>1598</v>
      </c>
      <c r="B29" s="224"/>
      <c r="C29" s="224"/>
      <c r="D29" s="224"/>
      <c r="E29" s="224"/>
      <c r="F29" s="224"/>
      <c r="G29" s="224"/>
    </row>
    <row r="30" spans="1:7" x14ac:dyDescent="0.35">
      <c r="A30" s="110" t="s">
        <v>1094</v>
      </c>
      <c r="B30" s="89" t="str">
        <f t="shared" ref="B30:B34" si="2">IF(OR(ISNUMBER(SEARCH("{", A30)),ISNUMBER(SEARCH("[", A30))), "", IFERROR(MID(A30, SEARCH("""", A30) +1, SEARCH("""", A30, SEARCH("""",A30) +1) - SEARCH("""", A30) -1), ""))</f>
        <v/>
      </c>
      <c r="C30" s="89" t="str">
        <f>IF(B30="", "", VLOOKUP(B30,'API Data Dictionary'!C:J,8,FALSE))</f>
        <v/>
      </c>
      <c r="D30" s="89" t="str">
        <f>IF(B30="", "", VLOOKUP(B30,'API Data Dictionary'!C:D,2,FALSE))</f>
        <v/>
      </c>
      <c r="E30" s="89" t="str">
        <f>IF(IF(B30="", "", VLOOKUP(B30,'API Data Dictionary'!C:E,3,FALSE))=0, "", IF(B30="", "", VLOOKUP(B30,'API Data Dictionary'!C:E,3,FALSE)))</f>
        <v/>
      </c>
      <c r="F30" s="89" t="str">
        <f>IF(IF(B30="", "", VLOOKUP(B30,'API Data Dictionary'!C:F,4,FALSE))=0, "", IF(B30="", "", VLOOKUP(B30,'API Data Dictionary'!C:F,4,FALSE)))</f>
        <v/>
      </c>
      <c r="G30" s="89" t="str">
        <f>IF(IF(B30="", "", VLOOKUP(B30,'API Data Dictionary'!C:G,5,FALSE))=0, "", IF(B30="", "", VLOOKUP(B30,'API Data Dictionary'!C:G,5,FALSE)))</f>
        <v/>
      </c>
    </row>
    <row r="31" spans="1:7" x14ac:dyDescent="0.35">
      <c r="A31" s="110" t="s">
        <v>1567</v>
      </c>
      <c r="B31" s="89" t="str">
        <f t="shared" si="2"/>
        <v>success</v>
      </c>
      <c r="C31" s="89" t="s">
        <v>68</v>
      </c>
      <c r="D31" s="89" t="str">
        <f>IF(B31="", "", VLOOKUP(B31,'API Data Dictionary'!C:D,2,FALSE))</f>
        <v>string - Boolean</v>
      </c>
      <c r="E31" s="89">
        <f>IF(IF(B31="", "", VLOOKUP(B31,'API Data Dictionary'!C:E,3,FALSE))=0, "", IF(B31="", "", VLOOKUP(B31,'API Data Dictionary'!C:E,3,FALSE)))</f>
        <v>100</v>
      </c>
      <c r="F31" s="89" t="str">
        <f>IF(IF(B31="", "", VLOOKUP(B31,'API Data Dictionary'!C:F,4,FALSE))=0, "", IF(B31="", "", VLOOKUP(B31,'API Data Dictionary'!C:F,4,FALSE)))</f>
        <v/>
      </c>
      <c r="G31" s="89" t="str">
        <f>IF(IF(B31="", "", VLOOKUP(B31,'API Data Dictionary'!C:G,5,FALSE))=0, "", IF(B31="", "", VLOOKUP(B31,'API Data Dictionary'!C:G,5,FALSE)))</f>
        <v>Returns true when successful call/connection</v>
      </c>
    </row>
    <row r="32" spans="1:7" x14ac:dyDescent="0.35">
      <c r="A32" s="110" t="s">
        <v>1596</v>
      </c>
      <c r="B32" s="89" t="str">
        <f t="shared" si="2"/>
        <v>payload</v>
      </c>
      <c r="C32" s="89" t="s">
        <v>68</v>
      </c>
      <c r="D32" s="89" t="str">
        <f>IF(B32="", "", VLOOKUP(B32,'API Data Dictionary'!C:D,2,FALSE))</f>
        <v>string</v>
      </c>
      <c r="E32" s="89">
        <f>IF(IF(B32="", "", VLOOKUP(B32,'API Data Dictionary'!C:E,3,FALSE))=0, "", IF(B32="", "", VLOOKUP(B32,'API Data Dictionary'!C:E,3,FALSE)))</f>
        <v>100</v>
      </c>
      <c r="F32" s="89" t="str">
        <f>IF(IF(B32="", "", VLOOKUP(B32,'API Data Dictionary'!C:F,4,FALSE))=0, "", IF(B32="", "", VLOOKUP(B32,'API Data Dictionary'!C:F,4,FALSE)))</f>
        <v/>
      </c>
      <c r="G32" s="89" t="str">
        <f>IF(IF(B32="", "", VLOOKUP(B32,'API Data Dictionary'!C:G,5,FALSE))=0, "", IF(B32="", "", VLOOKUP(B32,'API Data Dictionary'!C:G,5,FALSE)))</f>
        <v>Returns healthy when connection has worked properly</v>
      </c>
    </row>
    <row r="33" spans="1:7" x14ac:dyDescent="0.35">
      <c r="A33" s="110" t="s">
        <v>1597</v>
      </c>
      <c r="B33" s="89" t="str">
        <f t="shared" si="2"/>
        <v>message</v>
      </c>
      <c r="C33" s="89" t="s">
        <v>68</v>
      </c>
      <c r="D33" s="89" t="str">
        <f>IF(B33="", "", VLOOKUP(B33,'API Data Dictionary'!C:D,2,FALSE))</f>
        <v>string</v>
      </c>
      <c r="E33" s="89">
        <f>IF(IF(B33="", "", VLOOKUP(B33,'API Data Dictionary'!C:E,3,FALSE))=0, "", IF(B33="", "", VLOOKUP(B33,'API Data Dictionary'!C:E,3,FALSE)))</f>
        <v>100</v>
      </c>
      <c r="F33" s="89" t="str">
        <f>IF(IF(B33="", "", VLOOKUP(B33,'API Data Dictionary'!C:F,4,FALSE))=0, "", IF(B33="", "", VLOOKUP(B33,'API Data Dictionary'!C:F,4,FALSE)))</f>
        <v/>
      </c>
      <c r="G33" s="89" t="str">
        <f>IF(IF(B33="", "", VLOOKUP(B33,'API Data Dictionary'!C:G,5,FALSE))=0, "", IF(B33="", "", VLOOKUP(B33,'API Data Dictionary'!C:G,5,FALSE)))</f>
        <v>return value, null or success, unless there has been error</v>
      </c>
    </row>
    <row r="34" spans="1:7" x14ac:dyDescent="0.35">
      <c r="A34" s="110" t="s">
        <v>1120</v>
      </c>
      <c r="B34" s="89" t="str">
        <f t="shared" si="2"/>
        <v/>
      </c>
      <c r="C34" s="89" t="str">
        <f>IF(B34="", "", VLOOKUP(B34,'API Data Dictionary'!C:J,8,FALSE))</f>
        <v/>
      </c>
      <c r="D34" s="89" t="str">
        <f>IF(B34="", "", VLOOKUP(B34,'API Data Dictionary'!C:D,2,FALSE))</f>
        <v/>
      </c>
      <c r="E34" s="89" t="str">
        <f>IF(IF(B34="", "", VLOOKUP(B34,'API Data Dictionary'!C:E,3,FALSE))=0, "", IF(B34="", "", VLOOKUP(B34,'API Data Dictionary'!C:E,3,FALSE)))</f>
        <v/>
      </c>
      <c r="F34" s="89" t="str">
        <f>IF(IF(B34="", "", VLOOKUP(B34,'API Data Dictionary'!C:F,4,FALSE))=0, "", IF(B34="", "", VLOOKUP(B34,'API Data Dictionary'!C:F,4,FALSE)))</f>
        <v/>
      </c>
      <c r="G34" s="89" t="str">
        <f>IF(IF(B34="", "", VLOOKUP(B34,'API Data Dictionary'!C:G,5,FALSE))=0, "", IF(B34="", "", VLOOKUP(B34,'API Data Dictionary'!C:G,5,FALSE)))</f>
        <v/>
      </c>
    </row>
  </sheetData>
  <mergeCells count="5">
    <mergeCell ref="A2:G2"/>
    <mergeCell ref="A9:G9"/>
    <mergeCell ref="A29:G29"/>
    <mergeCell ref="A17:G17"/>
    <mergeCell ref="A20:G20"/>
  </mergeCells>
  <phoneticPr fontId="2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F8927-86B5-4325-8DD5-7EC70469FEA5}">
  <sheetPr>
    <tabColor rgb="FF4472C4"/>
  </sheetPr>
  <dimension ref="A1:G41"/>
  <sheetViews>
    <sheetView zoomScaleNormal="100" workbookViewId="0">
      <selection activeCell="D33" sqref="D33"/>
    </sheetView>
  </sheetViews>
  <sheetFormatPr defaultRowHeight="14.5" x14ac:dyDescent="0.35"/>
  <cols>
    <col min="1" max="1" width="72.7265625" customWidth="1"/>
    <col min="2" max="2" width="17.90625" bestFit="1" customWidth="1"/>
    <col min="3" max="3" width="12" customWidth="1"/>
    <col min="4" max="4" width="16.7265625" bestFit="1" customWidth="1"/>
    <col min="6" max="6" width="11.81640625" customWidth="1"/>
    <col min="7" max="7" width="174.1796875" bestFit="1" customWidth="1"/>
  </cols>
  <sheetData>
    <row r="1" spans="1:7" ht="43.5" x14ac:dyDescent="0.35">
      <c r="A1" s="63" t="s">
        <v>1136</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B6" si="0">IF(OR(ISNUMBER(SEARCH("{", A3)),ISNUMBER(SEARCH("[", A3))), "", IFERROR(MID(A3, SEARCH("""", A3) +1, SEARCH("""", A3, SEARCH("""",A3) +1) - SEARCH("""", A3) -1), ""))</f>
        <v/>
      </c>
      <c r="C3" s="62" t="str">
        <f>IF(B3="", "", VLOOKUP(B3,'API Data Dictionary'!C:X,22,FALSE))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1641</v>
      </c>
      <c r="B4" s="62" t="str">
        <f t="shared" si="0"/>
        <v>applicantID</v>
      </c>
      <c r="C4" s="62" t="str">
        <f>IF(B4="", "", VLOOKUP(B4,'API Data Dictionary'!C:X,22,FALSE))</f>
        <v>M</v>
      </c>
      <c r="D4" s="62" t="str">
        <f>IF(B4="", "", VLOOKUP(B4,'API Data Dictionary'!C:D,2,FALSE))</f>
        <v>integer</v>
      </c>
      <c r="E4" s="62" t="str">
        <f>IF(IF(B4="", "", VLOOKUP(B4,'API Data Dictionary'!C:E,3,FALSE))=0, "", IF(B4="", "", VLOOKUP(B4,'API Data Dictionary'!C:E,3,FALSE)))</f>
        <v/>
      </c>
      <c r="F4" s="62" t="str">
        <f>IF(IF(B4="", "", VLOOKUP(B4,'API Data Dictionary'!C:F,4,FALSE))=0, "", IF(B4="", "", VLOOKUP(B4,'API Data Dictionary'!C:F,4,FALSE)))</f>
        <v/>
      </c>
      <c r="G4" s="62" t="str">
        <f>IF(IF(B4="", "", VLOOKUP(B4,'API Data Dictionary'!C:G,5,FALSE))=0, "", IF(B4="", "", VLOOKUP(B4,'API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5" spans="1:7" x14ac:dyDescent="0.35">
      <c r="A5" s="64" t="s">
        <v>1642</v>
      </c>
      <c r="B5" s="62" t="str">
        <f t="shared" si="0"/>
        <v>notes</v>
      </c>
      <c r="C5" s="62" t="str">
        <f>IF(B5="", "", VLOOKUP(B5,'API Data Dictionary'!C:X,22,FALSE))</f>
        <v>M</v>
      </c>
      <c r="D5" s="62" t="str">
        <f>IF(B5="", "", VLOOKUP(B5,'API Data Dictionary'!C:D,2,FALSE))</f>
        <v>string</v>
      </c>
      <c r="E5" s="62">
        <f>IF(IF(B5="", "", VLOOKUP(B5,'API Data Dictionary'!C:E,3,FALSE))=0, "", IF(B5="", "", VLOOKUP(B5,'API Data Dictionary'!C:E,3,FALSE)))</f>
        <v>65535</v>
      </c>
      <c r="F5" s="62" t="str">
        <f>IF(IF(B5="", "", VLOOKUP(B5,'API Data Dictionary'!C:F,4,FALSE))=0, "", IF(B5="", "", VLOOKUP(B5,'API Data Dictionary'!C:F,4,FALSE)))</f>
        <v/>
      </c>
      <c r="G5" s="62" t="str">
        <f>IF(IF(B5="", "", VLOOKUP(B5,'API Data Dictionary'!C:G,5,FALSE))=0, "", IF(B5="", "", VLOOKUP(B5,'API Data Dictionary'!C:G,5,FALSE)))</f>
        <v>Free text notes field</v>
      </c>
    </row>
    <row r="6" spans="1:7" x14ac:dyDescent="0.35">
      <c r="A6" s="64" t="s">
        <v>1120</v>
      </c>
      <c r="B6" s="62" t="str">
        <f t="shared" si="0"/>
        <v/>
      </c>
      <c r="C6" s="62" t="str">
        <f>IF(B6="", "", VLOOKUP(B6,'API Data Dictionary'!C:X,22,FALSE))</f>
        <v/>
      </c>
      <c r="D6" s="62" t="str">
        <f>IF(B6="", "", VLOOKUP(B6,'API Data Dictionary'!C:D,2,FALSE))</f>
        <v/>
      </c>
      <c r="E6" s="62" t="str">
        <f>IF(IF(B6="", "", VLOOKUP(B6,'API Data Dictionary'!C:E,3,FALSE))=0, "", IF(B6="", "", VLOOKUP(B6,'API Data Dictionary'!C:E,3,FALSE)))</f>
        <v/>
      </c>
      <c r="F6" s="62" t="str">
        <f>IF(IF(B6="", "", VLOOKUP(B6,'API Data Dictionary'!C:F,4,FALSE))=0, "", IF(B6="", "", VLOOKUP(B6,'API Data Dictionary'!C:F,4,FALSE)))</f>
        <v/>
      </c>
      <c r="G6" s="62" t="str">
        <f>IF(IF(B6="", "", VLOOKUP(B6,'API Data Dictionary'!C:G,5,FALSE))=0, "", IF(B6="", "", VLOOKUP(B6,'API Data Dictionary'!C:G,5,FALSE)))</f>
        <v/>
      </c>
    </row>
    <row r="8" spans="1:7" x14ac:dyDescent="0.35">
      <c r="A8" s="222" t="s">
        <v>1751</v>
      </c>
      <c r="B8" s="222"/>
      <c r="C8" s="222"/>
      <c r="D8" s="222"/>
      <c r="E8" s="222"/>
      <c r="F8" s="222"/>
      <c r="G8" s="222"/>
    </row>
    <row r="9" spans="1:7" x14ac:dyDescent="0.35">
      <c r="A9" s="64" t="s">
        <v>1094</v>
      </c>
      <c r="B9" s="62" t="str">
        <f t="shared" ref="B9:B11" si="1">IF(OR(ISNUMBER(SEARCH("{", A9)),ISNUMBER(SEARCH("[", A9))), "", IFERROR(MID(A9, SEARCH("""", A9) +1, SEARCH("""", A9, SEARCH("""",A9) +1) - SEARCH("""", A9) -1), ""))</f>
        <v/>
      </c>
      <c r="C9" s="62" t="str">
        <f>IF(B9="", "", VLOOKUP(B9,'API Data Dictionary'!C:X,22,FALSE))</f>
        <v/>
      </c>
      <c r="D9" s="62" t="str">
        <f>IF(B9="", "", VLOOKUP(B9,'API Data Dictionary'!C:D,2,FALSE))</f>
        <v/>
      </c>
      <c r="E9" s="62" t="str">
        <f>IF(IF(B9="", "", VLOOKUP(B9,'API Data Dictionary'!C:E,3,FALSE))=0, "", IF(B9="", "", VLOOKUP(B9,'API Data Dictionary'!C:E,3,FALSE)))</f>
        <v/>
      </c>
      <c r="F9" s="62" t="str">
        <f>IF(IF(B9="", "", VLOOKUP(B9,'API Data Dictionary'!C:F,4,FALSE))=0, "", IF(B9="", "", VLOOKUP(B9,'API Data Dictionary'!C:F,4,FALSE)))</f>
        <v/>
      </c>
      <c r="G9" s="62" t="str">
        <f>IF(IF(B9="", "", VLOOKUP(B9,'API Data Dictionary'!C:G,5,FALSE))=0, "", IF(B9="", "", VLOOKUP(B9,'API Data Dictionary'!C:G,5,FALSE)))</f>
        <v/>
      </c>
    </row>
    <row r="10" spans="1:7" x14ac:dyDescent="0.35">
      <c r="A10" s="64" t="s">
        <v>1350</v>
      </c>
      <c r="B10" s="62" t="str">
        <f t="shared" si="1"/>
        <v>success</v>
      </c>
      <c r="C10" s="62" t="s">
        <v>68</v>
      </c>
      <c r="D10" s="62" t="str">
        <f>IF(B10="", "", VLOOKUP(B10,'API Data Dictionary'!C:D,2,FALSE))</f>
        <v>string - Boolean</v>
      </c>
      <c r="E10" s="62">
        <f>IF(IF(B10="", "", VLOOKUP(B10,'API Data Dictionary'!C:E,3,FALSE))=0, "", IF(B10="", "", VLOOKUP(B10,'API Data Dictionary'!C:E,3,FALSE)))</f>
        <v>100</v>
      </c>
      <c r="F10" s="62" t="str">
        <f>IF(IF(B10="", "", VLOOKUP(B10,'API Data Dictionary'!C:F,4,FALSE))=0, "", IF(B10="", "", VLOOKUP(B10,'API Data Dictionary'!C:F,4,FALSE)))</f>
        <v/>
      </c>
      <c r="G10" s="62" t="str">
        <f>IF(IF(B10="", "", VLOOKUP(B10,'API Data Dictionary'!C:G,5,FALSE))=0, "", IF(B10="", "", VLOOKUP(B10,'API Data Dictionary'!C:G,5,FALSE)))</f>
        <v>Returns true when successful call/connection</v>
      </c>
    </row>
    <row r="11" spans="1:7" x14ac:dyDescent="0.35">
      <c r="A11" s="64" t="s">
        <v>1596</v>
      </c>
      <c r="B11" s="62" t="str">
        <f t="shared" si="1"/>
        <v>payload</v>
      </c>
      <c r="C11" s="62">
        <f>IF(B11="", "", VLOOKUP(B11,'API Data Dictionary'!C:X,22,FALSE))</f>
        <v>0</v>
      </c>
      <c r="D11" s="62" t="str">
        <f>IF(B11="", "", VLOOKUP(B11,'API Data Dictionary'!C:D,2,FALSE))</f>
        <v>string</v>
      </c>
      <c r="E11" s="62">
        <f>IF(IF(B11="", "", VLOOKUP(B11,'API Data Dictionary'!C:E,3,FALSE))=0, "", IF(B11="", "", VLOOKUP(B11,'API Data Dictionary'!C:E,3,FALSE)))</f>
        <v>100</v>
      </c>
      <c r="F11" s="62" t="str">
        <f>IF(IF(B11="", "", VLOOKUP(B11,'API Data Dictionary'!C:F,4,FALSE))=0, "", IF(B11="", "", VLOOKUP(B11,'API Data Dictionary'!C:F,4,FALSE)))</f>
        <v/>
      </c>
      <c r="G11" s="62" t="str">
        <f>IF(IF(B11="", "", VLOOKUP(B11,'API Data Dictionary'!C:G,5,FALSE))=0, "", IF(B11="", "", VLOOKUP(B11,'API Data Dictionary'!C:G,5,FALSE)))</f>
        <v>Returns healthy when connection has worked properly</v>
      </c>
    </row>
    <row r="12" spans="1:7" x14ac:dyDescent="0.35">
      <c r="A12" s="64" t="s">
        <v>1988</v>
      </c>
      <c r="B12" s="62" t="str">
        <f>IF(OR(ISNUMBER( SEARCH("{",#REF!)),ISNUMBER( SEARCH("[",#REF!))), "", IFERROR(MID(#REF!, SEARCH("""",#REF!) +1, SEARCH("""",#REF!, SEARCH( """",#REF!) +1) - SEARCH("""",#REF!) -1), ""))</f>
        <v/>
      </c>
      <c r="C12" s="62" t="s">
        <v>68</v>
      </c>
      <c r="D12" s="62" t="s">
        <v>78</v>
      </c>
      <c r="E12" s="62"/>
      <c r="F12" s="62"/>
      <c r="G12" s="62" t="s">
        <v>1440</v>
      </c>
    </row>
    <row r="13" spans="1:7" x14ac:dyDescent="0.35">
      <c r="A13" s="64" t="s">
        <v>1120</v>
      </c>
      <c r="B13" s="62" t="str">
        <f>IF(OR(ISNUMBER( SEARCH("{",#REF!)),ISNUMBER( SEARCH("[",#REF!))), "", IFERROR(MID(#REF!, SEARCH("""",#REF!) +1, SEARCH("""",#REF!, SEARCH( """",#REF!) +1) - SEARCH("""",#REF!) -1), ""))</f>
        <v/>
      </c>
      <c r="C13" s="62" t="s">
        <v>68</v>
      </c>
      <c r="D13" s="62" t="s">
        <v>78</v>
      </c>
      <c r="E13" s="62"/>
      <c r="F13" s="62"/>
      <c r="G13" s="62" t="s">
        <v>1434</v>
      </c>
    </row>
    <row r="15" spans="1:7" x14ac:dyDescent="0.35">
      <c r="A15" s="219" t="s">
        <v>1625</v>
      </c>
      <c r="B15" s="220"/>
      <c r="C15" s="220"/>
      <c r="D15" s="220"/>
      <c r="E15" s="220"/>
      <c r="F15" s="220"/>
      <c r="G15" s="220"/>
    </row>
    <row r="16" spans="1:7" x14ac:dyDescent="0.35">
      <c r="A16" s="88" t="s">
        <v>1561</v>
      </c>
      <c r="B16" s="62" t="s">
        <v>1359</v>
      </c>
      <c r="C16" s="89" t="s">
        <v>1359</v>
      </c>
      <c r="D16" s="62" t="s">
        <v>64</v>
      </c>
      <c r="E16" s="89">
        <v>100</v>
      </c>
      <c r="F16" s="89"/>
      <c r="G16" s="89" t="s">
        <v>1562</v>
      </c>
    </row>
    <row r="18" spans="1:7" x14ac:dyDescent="0.35">
      <c r="A18" s="219" t="s">
        <v>1764</v>
      </c>
      <c r="B18" s="220"/>
      <c r="C18" s="220"/>
      <c r="D18" s="220"/>
      <c r="E18" s="220"/>
      <c r="F18" s="220"/>
      <c r="G18" s="220"/>
    </row>
    <row r="19" spans="1:7" x14ac:dyDescent="0.35">
      <c r="A19" s="88" t="s">
        <v>1763</v>
      </c>
      <c r="B19" s="62" t="s">
        <v>1359</v>
      </c>
      <c r="C19" s="89" t="s">
        <v>1359</v>
      </c>
      <c r="D19" s="62" t="s">
        <v>64</v>
      </c>
      <c r="E19" s="89">
        <v>100</v>
      </c>
      <c r="F19" s="89"/>
      <c r="G19" s="89" t="s">
        <v>1765</v>
      </c>
    </row>
    <row r="21" spans="1:7" x14ac:dyDescent="0.35">
      <c r="A21" s="97" t="s">
        <v>1643</v>
      </c>
      <c r="B21" s="97"/>
      <c r="C21" s="97"/>
      <c r="D21" s="97"/>
      <c r="E21" s="97"/>
      <c r="F21" s="97"/>
      <c r="G21" s="105"/>
    </row>
    <row r="22" spans="1:7" x14ac:dyDescent="0.35">
      <c r="A22" s="64" t="s">
        <v>1094</v>
      </c>
      <c r="B22" s="62" t="str">
        <f t="shared" ref="B22:B34" si="2">IF(OR(ISNUMBER(SEARCH("{", A22)),ISNUMBER(SEARCH("[", A22))), "", IFERROR(MID(A22, SEARCH("""", A22) +1, SEARCH("""", A22, SEARCH("""",A22) +1) - SEARCH("""", A22) -1), ""))</f>
        <v/>
      </c>
      <c r="C22" s="62" t="str">
        <f>IF(B22="", "", VLOOKUP(B22,'API Data Dictionary'!C:R,16,FALSE))</f>
        <v/>
      </c>
      <c r="D22" s="62" t="str">
        <f>IF(B22="", "", VLOOKUP(B22,'API Data Dictionary'!C:D,2,FALSE))</f>
        <v/>
      </c>
      <c r="E22" s="62" t="str">
        <f>IF(IF(B22="", "", VLOOKUP(B22,'API Data Dictionary'!C:E,3,FALSE))=0, "", IF(B22="", "", VLOOKUP(B22,'API Data Dictionary'!C:E,3,FALSE)))</f>
        <v/>
      </c>
      <c r="F22" s="62" t="str">
        <f>IF(IF(B22="", "", VLOOKUP(B22,'API Data Dictionary'!C:F,4,FALSE))=0, "", IF(B22="", "", VLOOKUP(B22,'API Data Dictionary'!C:F,4,FALSE)))</f>
        <v/>
      </c>
      <c r="G22" s="62" t="str">
        <f>IF(IF(B22="", "", VLOOKUP(B22,'API Data Dictionary'!C:G,5,FALSE))=0, "", IF(B22="", "", VLOOKUP(B22,'API Data Dictionary'!C:G,5,FALSE)))</f>
        <v/>
      </c>
    </row>
    <row r="23" spans="1:7" x14ac:dyDescent="0.35">
      <c r="A23" s="64" t="s">
        <v>1574</v>
      </c>
      <c r="B23" s="62" t="s">
        <v>1354</v>
      </c>
      <c r="C23" s="62" t="s">
        <v>68</v>
      </c>
      <c r="D23" s="62" t="s">
        <v>1357</v>
      </c>
      <c r="E23" s="106">
        <v>100</v>
      </c>
      <c r="F23" s="62" t="s">
        <v>1433</v>
      </c>
      <c r="G23" s="62" t="s">
        <v>1572</v>
      </c>
    </row>
    <row r="24" spans="1:7" x14ac:dyDescent="0.35">
      <c r="A24" s="64" t="s">
        <v>1377</v>
      </c>
      <c r="B24" s="62" t="s">
        <v>1433</v>
      </c>
      <c r="C24" s="62" t="s">
        <v>1433</v>
      </c>
      <c r="D24" s="62" t="s">
        <v>1433</v>
      </c>
      <c r="E24" s="106" t="s">
        <v>1433</v>
      </c>
      <c r="F24" s="62" t="s">
        <v>1433</v>
      </c>
      <c r="G24" s="62" t="s">
        <v>1433</v>
      </c>
    </row>
    <row r="25" spans="1:7" x14ac:dyDescent="0.35">
      <c r="A25" s="64" t="s">
        <v>1564</v>
      </c>
      <c r="B25" s="62" t="s">
        <v>1589</v>
      </c>
      <c r="C25" s="62" t="s">
        <v>68</v>
      </c>
      <c r="D25" s="62" t="s">
        <v>1593</v>
      </c>
      <c r="E25" s="106"/>
      <c r="F25" s="62"/>
      <c r="G25" s="62"/>
    </row>
    <row r="26" spans="1:7" x14ac:dyDescent="0.35">
      <c r="A26" s="64" t="s">
        <v>1573</v>
      </c>
      <c r="B26" s="62" t="s">
        <v>1590</v>
      </c>
      <c r="C26" s="62" t="s">
        <v>68</v>
      </c>
      <c r="D26" s="62" t="s">
        <v>64</v>
      </c>
      <c r="E26" s="106" t="s">
        <v>1594</v>
      </c>
      <c r="F26" s="62"/>
      <c r="G26" s="62"/>
    </row>
    <row r="27" spans="1:7" x14ac:dyDescent="0.35">
      <c r="A27" s="64" t="s">
        <v>1633</v>
      </c>
      <c r="B27" s="62" t="s">
        <v>1591</v>
      </c>
      <c r="C27" s="62" t="s">
        <v>68</v>
      </c>
      <c r="D27" s="62" t="s">
        <v>64</v>
      </c>
      <c r="E27" s="106" t="s">
        <v>1594</v>
      </c>
      <c r="F27" s="62"/>
      <c r="G27" s="62"/>
    </row>
    <row r="28" spans="1:7" x14ac:dyDescent="0.35">
      <c r="A28" s="64" t="s">
        <v>1566</v>
      </c>
      <c r="B28" s="62" t="s">
        <v>1433</v>
      </c>
      <c r="C28" s="62" t="s">
        <v>1433</v>
      </c>
      <c r="D28" s="62" t="s">
        <v>1433</v>
      </c>
      <c r="E28" s="106" t="s">
        <v>1433</v>
      </c>
      <c r="F28" s="62" t="s">
        <v>1433</v>
      </c>
      <c r="G28" s="62" t="s">
        <v>1433</v>
      </c>
    </row>
    <row r="29" spans="1:7" x14ac:dyDescent="0.35">
      <c r="A29" s="64" t="s">
        <v>1413</v>
      </c>
      <c r="B29" s="62" t="s">
        <v>1433</v>
      </c>
      <c r="C29" s="62"/>
      <c r="D29" s="62" t="s">
        <v>1433</v>
      </c>
      <c r="E29" s="106" t="s">
        <v>1433</v>
      </c>
      <c r="F29" s="62" t="s">
        <v>1433</v>
      </c>
      <c r="G29" s="62" t="s">
        <v>1433</v>
      </c>
    </row>
    <row r="30" spans="1:7" x14ac:dyDescent="0.35">
      <c r="A30" s="64" t="s">
        <v>1576</v>
      </c>
      <c r="B30" s="62" t="s">
        <v>1579</v>
      </c>
      <c r="C30" s="62" t="s">
        <v>68</v>
      </c>
      <c r="D30" s="62" t="s">
        <v>64</v>
      </c>
      <c r="E30" s="106" t="s">
        <v>1594</v>
      </c>
      <c r="F30" s="62"/>
      <c r="G30" s="62"/>
    </row>
    <row r="31" spans="1:7" x14ac:dyDescent="0.35">
      <c r="A31" s="64" t="s">
        <v>1577</v>
      </c>
      <c r="B31" s="62" t="s">
        <v>1580</v>
      </c>
      <c r="C31" s="62" t="s">
        <v>68</v>
      </c>
      <c r="D31" s="62" t="s">
        <v>64</v>
      </c>
      <c r="E31" s="106" t="s">
        <v>1594</v>
      </c>
      <c r="F31" s="62"/>
      <c r="G31" s="62"/>
    </row>
    <row r="32" spans="1:7" x14ac:dyDescent="0.35">
      <c r="A32" s="64" t="s">
        <v>1105</v>
      </c>
      <c r="B32" s="62" t="s">
        <v>1433</v>
      </c>
      <c r="C32" s="62" t="s">
        <v>1433</v>
      </c>
      <c r="D32" s="62" t="s">
        <v>1433</v>
      </c>
      <c r="E32" s="106" t="s">
        <v>1433</v>
      </c>
      <c r="F32" s="62" t="s">
        <v>1433</v>
      </c>
      <c r="G32" s="62"/>
    </row>
    <row r="33" spans="1:7" x14ac:dyDescent="0.35">
      <c r="A33" s="64" t="s">
        <v>1578</v>
      </c>
      <c r="B33" s="62" t="s">
        <v>1592</v>
      </c>
      <c r="C33" s="62" t="s">
        <v>68</v>
      </c>
      <c r="D33" s="62" t="s">
        <v>64</v>
      </c>
      <c r="E33" s="106" t="s">
        <v>1594</v>
      </c>
      <c r="F33" s="62"/>
      <c r="G33" s="62"/>
    </row>
    <row r="34" spans="1:7" x14ac:dyDescent="0.35">
      <c r="A34" s="64" t="s">
        <v>1120</v>
      </c>
      <c r="B34" s="62" t="str">
        <f t="shared" si="2"/>
        <v/>
      </c>
      <c r="C34" s="62" t="str">
        <f>IF(B34="", "", VLOOKUP(B34,'API Data Dictionary'!C:R,16,FALSE))</f>
        <v/>
      </c>
      <c r="D34" s="62" t="str">
        <f>IF(B34="", "", VLOOKUP(B34,'API Data Dictionary'!C:D,2,FALSE))</f>
        <v/>
      </c>
      <c r="E34" s="62" t="str">
        <f>IF(IF(B34="", "", VLOOKUP(B34,'API Data Dictionary'!C:E,3,FALSE))=0, "", IF(B34="", "", VLOOKUP(B34,'API Data Dictionary'!C:E,3,FALSE)))</f>
        <v/>
      </c>
      <c r="F34" s="62" t="str">
        <f>IF(IF(B34="", "", VLOOKUP(B34,'API Data Dictionary'!C:F,4,FALSE))=0, "", IF(B34="", "", VLOOKUP(B34,'API Data Dictionary'!C:F,4,FALSE)))</f>
        <v/>
      </c>
      <c r="G34" s="62" t="str">
        <f>IF(IF(B34="", "", VLOOKUP(B34,'API Data Dictionary'!C:G,5,FALSE))=0, "", IF(B34="", "", VLOOKUP(B34,'API Data Dictionary'!C:G,5,FALSE)))</f>
        <v/>
      </c>
    </row>
    <row r="36" spans="1:7" x14ac:dyDescent="0.35">
      <c r="A36" s="224" t="s">
        <v>1598</v>
      </c>
      <c r="B36" s="224"/>
      <c r="C36" s="224"/>
      <c r="D36" s="224"/>
      <c r="E36" s="224"/>
      <c r="F36" s="224"/>
      <c r="G36" s="224"/>
    </row>
    <row r="37" spans="1:7" x14ac:dyDescent="0.35">
      <c r="A37" s="110" t="s">
        <v>1094</v>
      </c>
      <c r="B37" s="89" t="str">
        <f t="shared" ref="B37:B41" si="3">IF(OR(ISNUMBER(SEARCH("{", A37)),ISNUMBER(SEARCH("[", A37))), "", IFERROR(MID(A37, SEARCH("""", A37) +1, SEARCH("""", A37, SEARCH("""",A37) +1) - SEARCH("""", A37) -1), ""))</f>
        <v/>
      </c>
      <c r="C37" s="89" t="str">
        <f>IF(B37="", "", VLOOKUP(B37,'API Data Dictionary'!C:J,8,FALSE))</f>
        <v/>
      </c>
      <c r="D37" s="89" t="str">
        <f>IF(B37="", "", VLOOKUP(B37,'API Data Dictionary'!C:D,2,FALSE))</f>
        <v/>
      </c>
      <c r="E37" s="89" t="str">
        <f>IF(IF(B37="", "", VLOOKUP(B37,'API Data Dictionary'!C:E,3,FALSE))=0, "", IF(B37="", "", VLOOKUP(B37,'API Data Dictionary'!C:E,3,FALSE)))</f>
        <v/>
      </c>
      <c r="F37" s="89" t="str">
        <f>IF(IF(B37="", "", VLOOKUP(B37,'API Data Dictionary'!C:F,4,FALSE))=0, "", IF(B37="", "", VLOOKUP(B37,'API Data Dictionary'!C:F,4,FALSE)))</f>
        <v/>
      </c>
      <c r="G37" s="89" t="str">
        <f>IF(IF(B37="", "", VLOOKUP(B37,'API Data Dictionary'!C:G,5,FALSE))=0, "", IF(B37="", "", VLOOKUP(B37,'API Data Dictionary'!C:G,5,FALSE)))</f>
        <v/>
      </c>
    </row>
    <row r="38" spans="1:7" x14ac:dyDescent="0.35">
      <c r="A38" s="110" t="s">
        <v>1567</v>
      </c>
      <c r="B38" s="89" t="str">
        <f t="shared" si="3"/>
        <v>success</v>
      </c>
      <c r="C38" s="89" t="s">
        <v>68</v>
      </c>
      <c r="D38" s="89" t="str">
        <f>IF(B38="", "", VLOOKUP(B38,'API Data Dictionary'!C:D,2,FALSE))</f>
        <v>string - Boolean</v>
      </c>
      <c r="E38" s="89">
        <f>IF(IF(B38="", "", VLOOKUP(B38,'API Data Dictionary'!C:E,3,FALSE))=0, "", IF(B38="", "", VLOOKUP(B38,'API Data Dictionary'!C:E,3,FALSE)))</f>
        <v>100</v>
      </c>
      <c r="F38" s="89" t="str">
        <f>IF(IF(B38="", "", VLOOKUP(B38,'API Data Dictionary'!C:F,4,FALSE))=0, "", IF(B38="", "", VLOOKUP(B38,'API Data Dictionary'!C:F,4,FALSE)))</f>
        <v/>
      </c>
      <c r="G38" s="89" t="str">
        <f>IF(IF(B38="", "", VLOOKUP(B38,'API Data Dictionary'!C:G,5,FALSE))=0, "", IF(B38="", "", VLOOKUP(B38,'API Data Dictionary'!C:G,5,FALSE)))</f>
        <v>Returns true when successful call/connection</v>
      </c>
    </row>
    <row r="39" spans="1:7" x14ac:dyDescent="0.35">
      <c r="A39" s="110" t="s">
        <v>1596</v>
      </c>
      <c r="B39" s="89" t="str">
        <f t="shared" si="3"/>
        <v>payload</v>
      </c>
      <c r="C39" s="89" t="s">
        <v>68</v>
      </c>
      <c r="D39" s="89" t="str">
        <f>IF(B39="", "", VLOOKUP(B39,'API Data Dictionary'!C:D,2,FALSE))</f>
        <v>string</v>
      </c>
      <c r="E39" s="89">
        <f>IF(IF(B39="", "", VLOOKUP(B39,'API Data Dictionary'!C:E,3,FALSE))=0, "", IF(B39="", "", VLOOKUP(B39,'API Data Dictionary'!C:E,3,FALSE)))</f>
        <v>100</v>
      </c>
      <c r="F39" s="89" t="str">
        <f>IF(IF(B39="", "", VLOOKUP(B39,'API Data Dictionary'!C:F,4,FALSE))=0, "", IF(B39="", "", VLOOKUP(B39,'API Data Dictionary'!C:F,4,FALSE)))</f>
        <v/>
      </c>
      <c r="G39" s="89" t="str">
        <f>IF(IF(B39="", "", VLOOKUP(B39,'API Data Dictionary'!C:G,5,FALSE))=0, "", IF(B39="", "", VLOOKUP(B39,'API Data Dictionary'!C:G,5,FALSE)))</f>
        <v>Returns healthy when connection has worked properly</v>
      </c>
    </row>
    <row r="40" spans="1:7" x14ac:dyDescent="0.35">
      <c r="A40" s="110" t="s">
        <v>1597</v>
      </c>
      <c r="B40" s="89" t="str">
        <f t="shared" si="3"/>
        <v>message</v>
      </c>
      <c r="C40" s="89" t="s">
        <v>68</v>
      </c>
      <c r="D40" s="89" t="str">
        <f>IF(B40="", "", VLOOKUP(B40,'API Data Dictionary'!C:D,2,FALSE))</f>
        <v>string</v>
      </c>
      <c r="E40" s="89">
        <f>IF(IF(B40="", "", VLOOKUP(B40,'API Data Dictionary'!C:E,3,FALSE))=0, "", IF(B40="", "", VLOOKUP(B40,'API Data Dictionary'!C:E,3,FALSE)))</f>
        <v>100</v>
      </c>
      <c r="F40" s="89" t="str">
        <f>IF(IF(B40="", "", VLOOKUP(B40,'API Data Dictionary'!C:F,4,FALSE))=0, "", IF(B40="", "", VLOOKUP(B40,'API Data Dictionary'!C:F,4,FALSE)))</f>
        <v/>
      </c>
      <c r="G40" s="89" t="str">
        <f>IF(IF(B40="", "", VLOOKUP(B40,'API Data Dictionary'!C:G,5,FALSE))=0, "", IF(B40="", "", VLOOKUP(B40,'API Data Dictionary'!C:G,5,FALSE)))</f>
        <v>return value, null or success, unless there has been error</v>
      </c>
    </row>
    <row r="41" spans="1:7" x14ac:dyDescent="0.35">
      <c r="A41" s="110" t="s">
        <v>1120</v>
      </c>
      <c r="B41" s="89" t="str">
        <f t="shared" si="3"/>
        <v/>
      </c>
      <c r="C41" s="89" t="str">
        <f>IF(B41="", "", VLOOKUP(B41,'API Data Dictionary'!C:J,8,FALSE))</f>
        <v/>
      </c>
      <c r="D41" s="89" t="str">
        <f>IF(B41="", "", VLOOKUP(B41,'API Data Dictionary'!C:D,2,FALSE))</f>
        <v/>
      </c>
      <c r="E41" s="89" t="str">
        <f>IF(IF(B41="", "", VLOOKUP(B41,'API Data Dictionary'!C:E,3,FALSE))=0, "", IF(B41="", "", VLOOKUP(B41,'API Data Dictionary'!C:E,3,FALSE)))</f>
        <v/>
      </c>
      <c r="F41" s="89" t="str">
        <f>IF(IF(B41="", "", VLOOKUP(B41,'API Data Dictionary'!C:F,4,FALSE))=0, "", IF(B41="", "", VLOOKUP(B41,'API Data Dictionary'!C:F,4,FALSE)))</f>
        <v/>
      </c>
      <c r="G41" s="89" t="str">
        <f>IF(IF(B41="", "", VLOOKUP(B41,'API Data Dictionary'!C:G,5,FALSE))=0, "", IF(B41="", "", VLOOKUP(B41,'API Data Dictionary'!C:G,5,FALSE)))</f>
        <v/>
      </c>
    </row>
  </sheetData>
  <mergeCells count="5">
    <mergeCell ref="A2:G2"/>
    <mergeCell ref="A8:G8"/>
    <mergeCell ref="A36:G36"/>
    <mergeCell ref="A15:G15"/>
    <mergeCell ref="A18:G1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C312E-9D63-4CF0-86F8-1A1C3683C311}">
  <sheetPr>
    <tabColor rgb="FF4472C4"/>
  </sheetPr>
  <dimension ref="A1:G75"/>
  <sheetViews>
    <sheetView zoomScale="55" zoomScaleNormal="55" workbookViewId="0">
      <selection activeCell="A33" sqref="A33:XFD33"/>
    </sheetView>
  </sheetViews>
  <sheetFormatPr defaultRowHeight="14.5" x14ac:dyDescent="0.35"/>
  <cols>
    <col min="1" max="1" width="80.1796875" customWidth="1"/>
    <col min="2" max="2" width="22.1796875" bestFit="1" customWidth="1"/>
    <col min="3" max="3" width="16" bestFit="1" customWidth="1"/>
    <col min="4" max="4" width="28" bestFit="1" customWidth="1"/>
    <col min="5" max="5" width="10.54296875" customWidth="1"/>
    <col min="6" max="6" width="101.36328125" bestFit="1" customWidth="1"/>
    <col min="7" max="7" width="255.6328125" bestFit="1" customWidth="1"/>
  </cols>
  <sheetData>
    <row r="1" spans="1:7" ht="43.5" x14ac:dyDescent="0.35">
      <c r="A1" s="63" t="s">
        <v>1780</v>
      </c>
      <c r="B1" s="63" t="s">
        <v>1090</v>
      </c>
      <c r="C1" s="63" t="s">
        <v>1091</v>
      </c>
      <c r="D1" s="63" t="s">
        <v>1092</v>
      </c>
      <c r="E1" s="63" t="s">
        <v>57</v>
      </c>
      <c r="F1" s="63" t="s">
        <v>58</v>
      </c>
      <c r="G1" s="63" t="s">
        <v>1093</v>
      </c>
    </row>
    <row r="2" spans="1:7" x14ac:dyDescent="0.35">
      <c r="A2" s="84"/>
      <c r="B2" s="84"/>
      <c r="C2" s="84"/>
      <c r="D2" s="84"/>
      <c r="E2" s="84"/>
      <c r="F2" s="84"/>
      <c r="G2" s="84"/>
    </row>
    <row r="3" spans="1:7" s="94" customFormat="1" ht="15" thickBot="1" x14ac:dyDescent="0.4">
      <c r="A3" s="91" t="s">
        <v>1441</v>
      </c>
      <c r="B3" s="92" t="str">
        <f t="shared" ref="B3:B21" si="0">IF(OR(ISNUMBER(SEARCH("{", A3)),ISNUMBER(SEARCH("[", A3))), "", IFERROR(MID(A3, SEARCH("""", A3) +1, SEARCH("""", A3, SEARCH("""",A3) +1) - SEARCH("""", A3) -1), ""))</f>
        <v/>
      </c>
      <c r="C3" s="92" t="str">
        <f>IF(B3="", "", VLOOKUP(B3,'API Data Dictionary'!C:L,10,FALSE))</f>
        <v/>
      </c>
      <c r="D3" s="92" t="str">
        <f>IF(B3="", "", VLOOKUP(B3,'API Data Dictionary'!C:D,2,FALSE))</f>
        <v/>
      </c>
      <c r="E3" s="92" t="str">
        <f>IF(IF(B3="", "", VLOOKUP(B3,'API Data Dictionary'!C:E,3,FALSE))=0, "", IF(B3="", "", VLOOKUP(B3,'API Data Dictionary'!C:E,3,FALSE)))</f>
        <v/>
      </c>
      <c r="F3" s="92" t="str">
        <f>IF(IF(B3="", "", VLOOKUP(B3,'API Data Dictionary'!C:F,4,FALSE))=0, "", IF(B3="", "", VLOOKUP(B3,'API Data Dictionary'!C:F,4,FALSE)))</f>
        <v/>
      </c>
      <c r="G3" s="93" t="str">
        <f>IF(IF(B3="", "", VLOOKUP(B3,'API Data Dictionary'!C:G,5,FALSE))=0, "", IF(B3="", "", VLOOKUP(B3,'API Data Dictionary'!C:G,5,FALSE)))</f>
        <v/>
      </c>
    </row>
    <row r="4" spans="1:7" x14ac:dyDescent="0.35">
      <c r="A4" s="86" t="s">
        <v>1094</v>
      </c>
      <c r="B4" s="87" t="str">
        <f t="shared" si="0"/>
        <v/>
      </c>
      <c r="C4" s="87" t="str">
        <f>IF(B4="", "", VLOOKUP(B4,'API Data Dictionary'!C:L,10,FALSE))</f>
        <v/>
      </c>
      <c r="D4" s="87" t="str">
        <f>IF(B4="", "", VLOOKUP(B4,'API Data Dictionary'!C:D,2,FALSE))</f>
        <v/>
      </c>
      <c r="E4" s="87" t="str">
        <f>IF(IF(B4="", "", VLOOKUP(B4,'API Data Dictionary'!C:E,3,FALSE))=0, "", IF(B4="", "", VLOOKUP(B4,'API Data Dictionary'!C:E,3,FALSE)))</f>
        <v/>
      </c>
      <c r="F4" s="87" t="str">
        <f>IF(IF(B4="", "", VLOOKUP(B4,'API Data Dictionary'!C:F,4,FALSE))=0, "", IF(B4="", "", VLOOKUP(B4,'API Data Dictionary'!C:F,4,FALSE)))</f>
        <v/>
      </c>
      <c r="G4" s="87" t="str">
        <f>IF(IF(B4="", "", VLOOKUP(B4,'API Data Dictionary'!C:G,5,FALSE))=0, "", IF(B4="", "", VLOOKUP(B4,'API Data Dictionary'!C:G,5,FALSE)))</f>
        <v/>
      </c>
    </row>
    <row r="5" spans="1:7" x14ac:dyDescent="0.35">
      <c r="A5" s="64" t="s">
        <v>1727</v>
      </c>
      <c r="B5" s="62" t="str">
        <f t="shared" si="0"/>
        <v>agentCode</v>
      </c>
      <c r="C5" s="62" t="str">
        <f>IF(B5="", "", VLOOKUP(B5,'API Data Dictionary'!C:L,10,FALSE))</f>
        <v>M</v>
      </c>
      <c r="D5" s="62" t="str">
        <f>IF(B5="", "", VLOOKUP(B5,'API Data Dictionary'!C:D,2,FALSE))</f>
        <v>string</v>
      </c>
      <c r="E5" s="62">
        <f>IF(IF(B5="", "", VLOOKUP(B5,'API Data Dictionary'!C:E,3,FALSE))=0, "", IF(B5="", "", VLOOKUP(B5,'API Data Dictionary'!C:E,3,FALSE)))</f>
        <v>50</v>
      </c>
      <c r="F5" s="62" t="str">
        <f>IF(IF(B5="", "", VLOOKUP(B5,'API Data Dictionary'!C:F,4,FALSE))=0, "", IF(B5="", "", VLOOKUP(B5,'API Data Dictionary'!C:F,4,FALSE)))</f>
        <v/>
      </c>
      <c r="G5" s="62" t="str">
        <f>IF(IF(B5="", "", VLOOKUP(B5,'API Data Dictionary'!C:G,5,FALSE))=0, "", IF(B5="", "", VLOOKUP(B5,'API Data Dictionary'!C:G,5,FALSE)))</f>
        <v>AgentCode is the Unique Key provided to the Agent when onboarding as a Barbon Customer.
An AgentID may be linked to many Properties being managed by that Agent and Each property may be linked to 1 or more TenancyID's.</v>
      </c>
    </row>
    <row r="6" spans="1:7" x14ac:dyDescent="0.35">
      <c r="A6" s="64" t="s">
        <v>1649</v>
      </c>
      <c r="B6" s="62" t="str">
        <f t="shared" si="0"/>
        <v>propertyTenancyId</v>
      </c>
      <c r="C6" s="62" t="s">
        <v>68</v>
      </c>
      <c r="D6" s="62" t="str">
        <f>IF(B6="", "", VLOOKUP(B6,'API Data Dictionary'!C:D,2,FALSE))</f>
        <v>integer</v>
      </c>
      <c r="E6" s="62" t="str">
        <f>IF(IF(B6="", "", VLOOKUP(B6,'API Data Dictionary'!C:E,3,FALSE))=0, "", IF(B6="", "", VLOOKUP(B6,'API Data Dictionary'!C:E,3,FALSE)))</f>
        <v/>
      </c>
      <c r="F6" s="62" t="str">
        <f>IF(IF(B6="", "", VLOOKUP(B6,'API Data Dictionary'!C:F,4,FALSE))=0, "", IF(B6="", "", VLOOKUP(B6,'API Data Dictionary'!C:F,4,FALSE)))</f>
        <v/>
      </c>
      <c r="G6" s="62" t="str">
        <f>IF(IF(B6="", "", VLOOKUP(B6,'API Data Dictionary'!C:G,5,FALSE))=0, "", IF(B6="", "", VLOOKUP(B6,'API Data Dictionary'!C:G,5,FALSE)))</f>
        <v>The ID of the property tenancy</v>
      </c>
    </row>
    <row r="7" spans="1:7" x14ac:dyDescent="0.35">
      <c r="A7" s="64" t="s">
        <v>1650</v>
      </c>
      <c r="B7" s="62" t="s">
        <v>439</v>
      </c>
      <c r="C7" s="62" t="s">
        <v>66</v>
      </c>
      <c r="D7" s="62" t="str">
        <f>IF(B7="", "", VLOOKUP(B7,'API Data Dictionary'!C:D,2,FALSE))</f>
        <v>integer</v>
      </c>
      <c r="E7" s="62" t="str">
        <f>IF(IF(B7="", "", VLOOKUP(B7,'API Data Dictionary'!C:E,3,FALSE))=0, "", IF(B7="", "", VLOOKUP(B7,'API Data Dictionary'!C:E,3,FALSE)))</f>
        <v/>
      </c>
      <c r="F7" s="62" t="str">
        <f>IF(IF(B7="", "", VLOOKUP(B7,'API Data Dictionary'!C:F,4,FALSE))=0, "", IF(B7="", "", VLOOKUP(B7,'API Data Dictionary'!C:F,4,FALSE)))</f>
        <v/>
      </c>
      <c r="G7" s="62" t="str">
        <f>IF(IF(B7="", "", VLOOKUP(B7,'API Data Dictionary'!C:G,5,FALSE))=0, "", IF(B7="", "", VLOOKUP(B7,'API Data Dictionary'!C:G,5,FALSE)))</f>
        <v>The ID of the linked applicant, can be blank as []</v>
      </c>
    </row>
    <row r="8" spans="1:7" x14ac:dyDescent="0.35">
      <c r="A8" s="64" t="s">
        <v>1651</v>
      </c>
      <c r="B8" s="62" t="str">
        <f t="shared" si="0"/>
        <v>tenantTypeId</v>
      </c>
      <c r="C8" s="62" t="str">
        <f>IF(B8="", "", VLOOKUP(B8,'API Data Dictionary'!C:L,10,FALSE))</f>
        <v>M</v>
      </c>
      <c r="D8" s="62" t="str">
        <f>IF(B8="", "", VLOOKUP(B8,'API Data Dictionary'!C:D,2,FALSE))</f>
        <v>enum - Tenant Type</v>
      </c>
      <c r="E8" s="62" t="str">
        <f>IF(IF(B8="", "", VLOOKUP(B8,'API Data Dictionary'!C:E,3,FALSE))=0, "", IF(B8="", "", VLOOKUP(B8,'API Data Dictionary'!C:E,3,FALSE)))</f>
        <v/>
      </c>
      <c r="F8" s="62" t="str">
        <f>IF(IF(B8="", "", VLOOKUP(B8,'API Data Dictionary'!C:F,4,FALSE))=0, "", IF(B8="", "", VLOOKUP(B8,'API Data Dictionary'!C:F,4,FALSE)))</f>
        <v>Valid Values 1-4 (See enum definition)</v>
      </c>
      <c r="G8" s="62" t="str">
        <f>IF(IF(B8="", "", VLOOKUP(B8,'API Data Dictionary'!C:G,5,FALSE))=0, "", IF(B8="", "", VLOOKUP(B8,'API Data Dictionary'!C:G,5,FALSE)))</f>
        <v>The Type of the Tenant, e.g. lead or Guarantor</v>
      </c>
    </row>
    <row r="9" spans="1:7" x14ac:dyDescent="0.35">
      <c r="A9" s="64" t="s">
        <v>1644</v>
      </c>
      <c r="B9" s="62" t="str">
        <f t="shared" si="0"/>
        <v>referenceType</v>
      </c>
      <c r="C9" s="62" t="str">
        <f>IF(B9="", "", VLOOKUP(B9,'API Data Dictionary'!C:L,10,FALSE))</f>
        <v>M</v>
      </c>
      <c r="D9" s="62" t="str">
        <f>IF(B9="", "", VLOOKUP(B9,'API Data Dictionary'!C:D,2,FALSE))</f>
        <v>enum - Reference Type</v>
      </c>
      <c r="E9" s="62" t="str">
        <f>IF(IF(B9="", "", VLOOKUP(B9,'API Data Dictionary'!C:E,3,FALSE))=0, "", IF(B9="", "", VLOOKUP(B9,'API Data Dictionary'!C:E,3,FALSE)))</f>
        <v/>
      </c>
      <c r="F9" s="62" t="str">
        <f>IF(IF(B9="", "", VLOOKUP(B9,'API Data Dictionary'!C:F,4,FALSE))=0, "", IF(B9="", "", VLOOKUP(B9,'API Data Dictionary'!C:F,4,FALSE)))</f>
        <v>Valid Values 1-2 (See enum definition)</v>
      </c>
      <c r="G9" s="62" t="str">
        <f>IF(IF(B9="", "", VLOOKUP(B9,'API Data Dictionary'!C:G,5,FALSE))=0, "", IF(B9="", "", VLOOKUP(B9,'API Data Dictionary'!C:G,5,FALSE)))</f>
        <v>The Type of reference, e.g Full or Express</v>
      </c>
    </row>
    <row r="10" spans="1:7" x14ac:dyDescent="0.35">
      <c r="A10" s="64" t="s">
        <v>1645</v>
      </c>
      <c r="B10" s="62" t="str">
        <f t="shared" si="0"/>
        <v>rightToRent</v>
      </c>
      <c r="C10" s="62" t="str">
        <f>IF(B10="", "", VLOOKUP(B10,'API Data Dictionary'!C:L,10,FALSE))</f>
        <v>M</v>
      </c>
      <c r="D10" s="62" t="str">
        <f>IF(B10="", "", VLOOKUP(B10,'API Data Dictionary'!C:D,2,FALSE))</f>
        <v>boolean</v>
      </c>
      <c r="E10" s="62" t="str">
        <f>IF(IF(B10="", "", VLOOKUP(B10,'API Data Dictionary'!C:E,3,FALSE))=0, "", IF(B10="", "", VLOOKUP(B10,'API Data Dictionary'!C:E,3,FALSE)))</f>
        <v/>
      </c>
      <c r="F10" s="62" t="str">
        <f>IF(IF(B10="", "", VLOOKUP(B10,'API Data Dictionary'!C:F,4,FALSE))=0, "", IF(B10="", "", VLOOKUP(B10,'API Data Dictionary'!C:F,4,FALSE)))</f>
        <v/>
      </c>
      <c r="G10" s="62" t="str">
        <f>IF(IF(B10="", "", VLOOKUP(B10,'API Data Dictionary'!C:G,5,FALSE))=0, "", IF(B10="", "", VLOOKUP(B10,'API Data Dictionary'!C:G,5,FALSE)))</f>
        <v>Use Right to rent product for this reference</v>
      </c>
    </row>
    <row r="11" spans="1:7" x14ac:dyDescent="0.35">
      <c r="A11" s="64" t="s">
        <v>1646</v>
      </c>
      <c r="B11" s="62" t="str">
        <f t="shared" si="0"/>
        <v>title</v>
      </c>
      <c r="C11" s="62" t="str">
        <f>IF(B11="", "", VLOOKUP(B11,'API Data Dictionary'!C:L,10,FALSE))</f>
        <v>M</v>
      </c>
      <c r="D11" s="62" t="str">
        <f>IF(B11="", "", VLOOKUP(B11,'API Data Dictionary'!C:D,2,FALSE))</f>
        <v>enum - Title</v>
      </c>
      <c r="E11" s="62" t="str">
        <f>IF(IF(B11="", "", VLOOKUP(B11,'API Data Dictionary'!C:E,3,FALSE))=0, "", IF(B11="", "", VLOOKUP(B11,'API Data Dictionary'!C:E,3,FALSE)))</f>
        <v/>
      </c>
      <c r="F11" s="62" t="str">
        <f>IF(IF(B11="", "", VLOOKUP(B11,'API Data Dictionary'!C:F,4,FALSE))=0, "", IF(B11="", "", VLOOKUP(B11,'API Data Dictionary'!C:F,4,FALSE)))</f>
        <v>Valid Values 1-7 (See enum definition)</v>
      </c>
      <c r="G11" s="62" t="str">
        <f>IF(IF(B11="", "", VLOOKUP(B11,'API Data Dictionary'!C:G,5,FALSE))=0, "", IF(B11="", "", VLOOKUP(B11,'API Data Dictionary'!C:G,5,FALSE)))</f>
        <v>The persons title, e.g. Mr, Mrs, etc.</v>
      </c>
    </row>
    <row r="12" spans="1:7" x14ac:dyDescent="0.35">
      <c r="A12" s="64" t="s">
        <v>1652</v>
      </c>
      <c r="B12" s="62" t="str">
        <f t="shared" si="0"/>
        <v>otherTitle</v>
      </c>
      <c r="C12" s="62" t="str">
        <f>IF(B12="", "", VLOOKUP(B12,'API Data Dictionary'!C:L,10,FALSE))</f>
        <v>X</v>
      </c>
      <c r="D12" s="62" t="str">
        <f>IF(B12="", "", VLOOKUP(B12,'API Data Dictionary'!C:D,2,FALSE))</f>
        <v>string</v>
      </c>
      <c r="E12" s="62">
        <f>IF(IF(B12="", "", VLOOKUP(B12,'API Data Dictionary'!C:E,3,FALSE))=0, "", IF(B12="", "", VLOOKUP(B12,'API Data Dictionary'!C:E,3,FALSE)))</f>
        <v>100</v>
      </c>
      <c r="F12" s="62" t="str">
        <f>IF(IF(B12="", "", VLOOKUP(B12,'API Data Dictionary'!C:F,4,FALSE))=0, "", IF(B12="", "", VLOOKUP(B12,'API Data Dictionary'!C:F,4,FALSE)))</f>
        <v/>
      </c>
      <c r="G12" s="62" t="str">
        <f>IF(IF(B12="", "", VLOOKUP(B12,'API Data Dictionary'!C:G,5,FALSE))=0, "", IF(B12="", "", VLOOKUP(B12,'API Data Dictionary'!C:G,5,FALSE)))</f>
        <v>If other is chosen for title, this is a text field to enter the specific title</v>
      </c>
    </row>
    <row r="13" spans="1:7" x14ac:dyDescent="0.35">
      <c r="A13" s="64" t="s">
        <v>1653</v>
      </c>
      <c r="B13" s="62" t="str">
        <f t="shared" si="0"/>
        <v>firstName</v>
      </c>
      <c r="C13" s="62" t="str">
        <f>IF(B13="", "", VLOOKUP(B13,'API Data Dictionary'!C:L,10,FALSE))</f>
        <v>M</v>
      </c>
      <c r="D13" s="62" t="str">
        <f>IF(B13="", "", VLOOKUP(B13,'API Data Dictionary'!C:D,2,FALSE))</f>
        <v>string</v>
      </c>
      <c r="E13" s="62">
        <f>IF(IF(B13="", "", VLOOKUP(B13,'API Data Dictionary'!C:E,3,FALSE))=0, "", IF(B13="", "", VLOOKUP(B13,'API Data Dictionary'!C:E,3,FALSE)))</f>
        <v>100</v>
      </c>
      <c r="F13" s="62" t="str">
        <f>IF(IF(B13="", "", VLOOKUP(B13,'API Data Dictionary'!C:F,4,FALSE))=0, "", IF(B13="", "", VLOOKUP(B13,'API Data Dictionary'!C:F,4,FALSE)))</f>
        <v>pattern: ^[a-zA-Z0-9\-' ]*$</v>
      </c>
      <c r="G13" s="62" t="str">
        <f>IF(IF(B13="", "", VLOOKUP(B13,'API Data Dictionary'!C:G,5,FALSE))=0, "", IF(B13="", "", VLOOKUP(B13,'API Data Dictionary'!C:G,5,FALSE)))</f>
        <v>First name, validated against the RegEx pattern</v>
      </c>
    </row>
    <row r="14" spans="1:7" x14ac:dyDescent="0.35">
      <c r="A14" s="64" t="s">
        <v>1654</v>
      </c>
      <c r="B14" s="62" t="str">
        <f t="shared" si="0"/>
        <v>middleName</v>
      </c>
      <c r="C14" s="62" t="str">
        <f>IF(B14="", "", VLOOKUP(B14,'API Data Dictionary'!C:L,10,FALSE))</f>
        <v>X</v>
      </c>
      <c r="D14" s="62" t="str">
        <f>IF(B14="", "", VLOOKUP(B14,'API Data Dictionary'!C:D,2,FALSE))</f>
        <v>string</v>
      </c>
      <c r="E14" s="62">
        <f>IF(IF(B14="", "", VLOOKUP(B14,'API Data Dictionary'!C:E,3,FALSE))=0, "", IF(B14="", "", VLOOKUP(B14,'API Data Dictionary'!C:E,3,FALSE)))</f>
        <v>50</v>
      </c>
      <c r="F14" s="62" t="str">
        <f>IF(IF(B14="", "", VLOOKUP(B14,'API Data Dictionary'!C:F,4,FALSE))=0, "", IF(B14="", "", VLOOKUP(B14,'API Data Dictionary'!C:F,4,FALSE)))</f>
        <v>pattern: ^[a-zA-Z0-9\-' ]*$</v>
      </c>
      <c r="G14" s="62" t="str">
        <f>IF(IF(B14="", "", VLOOKUP(B14,'API Data Dictionary'!C:G,5,FALSE))=0, "", IF(B14="", "", VLOOKUP(B14,'API Data Dictionary'!C:G,5,FALSE)))</f>
        <v>Middle name, validated against the RegEx pattern</v>
      </c>
    </row>
    <row r="15" spans="1:7" x14ac:dyDescent="0.35">
      <c r="A15" s="64" t="s">
        <v>1655</v>
      </c>
      <c r="B15" s="62" t="str">
        <f t="shared" si="0"/>
        <v>surname</v>
      </c>
      <c r="C15" s="62" t="str">
        <f>IF(B15="", "", VLOOKUP(B15,'API Data Dictionary'!C:L,10,FALSE))</f>
        <v>M</v>
      </c>
      <c r="D15" s="62" t="str">
        <f>IF(B15="", "", VLOOKUP(B15,'API Data Dictionary'!C:D,2,FALSE))</f>
        <v>string</v>
      </c>
      <c r="E15" s="62">
        <f>IF(IF(B15="", "", VLOOKUP(B15,'API Data Dictionary'!C:E,3,FALSE))=0, "", IF(B15="", "", VLOOKUP(B15,'API Data Dictionary'!C:E,3,FALSE)))</f>
        <v>100</v>
      </c>
      <c r="F15" s="62" t="str">
        <f>IF(IF(B15="", "", VLOOKUP(B15,'API Data Dictionary'!C:F,4,FALSE))=0, "", IF(B15="", "", VLOOKUP(B15,'API Data Dictionary'!C:F,4,FALSE)))</f>
        <v>pattern: ^[a-zA-Z0-9\-' ]*$</v>
      </c>
      <c r="G15" s="62" t="str">
        <f>IF(IF(B15="", "", VLOOKUP(B15,'API Data Dictionary'!C:G,5,FALSE))=0, "", IF(B15="", "", VLOOKUP(B15,'API Data Dictionary'!C:G,5,FALSE)))</f>
        <v>Surname name, validated against the RegEx pattern</v>
      </c>
    </row>
    <row r="16" spans="1:7" x14ac:dyDescent="0.35">
      <c r="A16" s="64" t="s">
        <v>1656</v>
      </c>
      <c r="B16" s="62" t="str">
        <f t="shared" si="0"/>
        <v>shareOfRent</v>
      </c>
      <c r="C16" s="62" t="str">
        <f>IF(B16="", "", VLOOKUP(B16,'API Data Dictionary'!C:L,10,FALSE))</f>
        <v>M</v>
      </c>
      <c r="D16" s="62" t="str">
        <f>IF(B16="", "", VLOOKUP(B16,'API Data Dictionary'!C:D,2,FALSE))</f>
        <v>number (double)</v>
      </c>
      <c r="E16" s="62" t="str">
        <f>IF(IF(B16="", "", VLOOKUP(B16,'API Data Dictionary'!C:E,3,FALSE))=0, "", IF(B16="", "", VLOOKUP(B16,'API Data Dictionary'!C:E,3,FALSE)))</f>
        <v/>
      </c>
      <c r="F16" s="62" t="str">
        <f>IF(IF(B16="", "", VLOOKUP(B16,'API Data Dictionary'!C:F,4,FALSE))=0, "", IF(B16="", "", VLOOKUP(B16,'API Data Dictionary'!C:F,4,FALSE)))</f>
        <v>pattern: ^\d*.\d{0,2}$</v>
      </c>
      <c r="G16" s="62" t="str">
        <f>IF(IF(B16="", "", VLOOKUP(B16,'API Data Dictionary'!C:G,5,FALSE))=0, "", IF(B16="", "", VLOOKUP(B16,'API Data Dictionary'!C:G,5,FALSE)))</f>
        <v>GBP value of the applicants share of the rent</v>
      </c>
    </row>
    <row r="17" spans="1:7" x14ac:dyDescent="0.35">
      <c r="A17" s="64" t="s">
        <v>1647</v>
      </c>
      <c r="B17" s="62" t="str">
        <f t="shared" si="0"/>
        <v>telephoneCountryID</v>
      </c>
      <c r="C17" s="62" t="str">
        <f>IF(B17="", "", VLOOKUP(B17,'API Data Dictionary'!C:L,10,FALSE))</f>
        <v>M</v>
      </c>
      <c r="D17" s="62" t="str">
        <f>IF(B17="", "", VLOOKUP(B17,'API Data Dictionary'!C:D,2,FALSE))</f>
        <v>enum -Country/Location Code</v>
      </c>
      <c r="E17" s="62" t="str">
        <f>IF(IF(B17="", "", VLOOKUP(B17,'API Data Dictionary'!C:E,3,FALSE))=0, "", IF(B17="", "", VLOOKUP(B17,'API Data Dictionary'!C:E,3,FALSE)))</f>
        <v/>
      </c>
      <c r="F17" s="62" t="str">
        <f>IF(IF(B17="", "", VLOOKUP(B17,'API Data Dictionary'!C:F,4,FALSE))=0, "", IF(B17="", "", VLOOKUP(B17,'API Data Dictionary'!C:F,4,FALSE)))</f>
        <v>Valid Values 1-239 (See enum definition)</v>
      </c>
      <c r="G17" s="62" t="str">
        <f>IF(IF(B17="", "", VLOOKUP(B17,'API Data Dictionary'!C:G,5,FALSE))=0, "", IF(B17="", "", VLOOKUP(B17,'API Data Dictionary'!C:G,5,FALSE)))</f>
        <v>The country/location code of the phone number</v>
      </c>
    </row>
    <row r="18" spans="1:7" x14ac:dyDescent="0.35">
      <c r="A18" s="64" t="s">
        <v>1657</v>
      </c>
      <c r="B18" s="62" t="str">
        <f t="shared" si="0"/>
        <v>contactTelephoneNo</v>
      </c>
      <c r="C18" s="62" t="str">
        <f>IF(B18="", "", VLOOKUP(B18,'API Data Dictionary'!C:L,10,FALSE))</f>
        <v>M</v>
      </c>
      <c r="D18" s="62" t="str">
        <f>IF(B18="", "", VLOOKUP(B18,'API Data Dictionary'!C:D,2,FALSE))</f>
        <v>string</v>
      </c>
      <c r="E18" s="62">
        <f>IF(IF(B18="", "", VLOOKUP(B18,'API Data Dictionary'!C:E,3,FALSE))=0, "", IF(B18="", "", VLOOKUP(B18,'API Data Dictionary'!C:E,3,FALSE)))</f>
        <v>15</v>
      </c>
      <c r="F18" s="62" t="str">
        <f>IF(IF(B18="", "", VLOOKUP(B18,'API Data Dictionary'!C:F,4,FALSE))=0, "", IF(B18="", "", VLOOKUP(B18,'API Data Dictionary'!C:F,4,FALSE)))</f>
        <v>pattern: ^(\d{11})$</v>
      </c>
      <c r="G18" s="62" t="str">
        <f>IF(IF(B18="", "", VLOOKUP(B18,'API Data Dictionary'!C:G,5,FALSE))=0, "", IF(B18="", "", VLOOKUP(B18,'API Data Dictionary'!C:G,5,FALSE)))</f>
        <v xml:space="preserve">The telephone number </v>
      </c>
    </row>
    <row r="19" spans="1:7" x14ac:dyDescent="0.35">
      <c r="A19" s="64" t="s">
        <v>1658</v>
      </c>
      <c r="B19" s="62" t="str">
        <f t="shared" si="0"/>
        <v>emailAddress</v>
      </c>
      <c r="C19" s="62" t="str">
        <f>IF(B19="", "", VLOOKUP(B19,'API Data Dictionary'!C:L,10,FALSE))</f>
        <v>M</v>
      </c>
      <c r="D19" s="62" t="str">
        <f>IF(B19="", "", VLOOKUP(B19,'API Data Dictionary'!C:D,2,FALSE))</f>
        <v>string ($email)</v>
      </c>
      <c r="E19" s="62">
        <f>IF(IF(B19="", "", VLOOKUP(B19,'API Data Dictionary'!C:E,3,FALSE))=0, "", IF(B19="", "", VLOOKUP(B19,'API Data Dictionary'!C:E,3,FALSE)))</f>
        <v>200</v>
      </c>
      <c r="F19" s="62" t="str">
        <f>IF(IF(B19="", "", VLOOKUP(B19,'API Data Dictionary'!C:F,4,FALSE))=0, "", IF(B19="", "", VLOOKUP(B19,'API Data Dictionary'!C:F,4,FALSE)))</f>
        <v>pattern: ^(?!.*\.\.)(?!.*\\_\\_)(?!.*\-\-)[a-zA-Z0-9][-a-zA-Z0-9._]+[a-zA-Z0-9]@([-a-zA-Z0-9]+.)+[a-zA-Z]{2,5}$</v>
      </c>
      <c r="G19" s="62" t="str">
        <f>IF(IF(B19="", "", VLOOKUP(B19,'API Data Dictionary'!C:G,5,FALSE))=0, "", IF(B19="", "", VLOOKUP(B19,'API Data Dictionary'!C:G,5,FALSE)))</f>
        <v>The email address</v>
      </c>
    </row>
    <row r="20" spans="1:7" x14ac:dyDescent="0.35">
      <c r="A20" s="64" t="s">
        <v>1120</v>
      </c>
      <c r="B20" s="62" t="str">
        <f t="shared" si="0"/>
        <v/>
      </c>
      <c r="C20" s="62" t="str">
        <f>IF(B20="", "", VLOOKUP(B20,'API Data Dictionary'!C:L,10,FALSE))</f>
        <v/>
      </c>
      <c r="D20" s="62" t="str">
        <f>IF(B20="", "", VLOOKUP(B20,'API Data Dictionary'!C:D,2,FALSE))</f>
        <v/>
      </c>
      <c r="E20" s="62" t="str">
        <f>IF(IF(B20="", "", VLOOKUP(B20,'API Data Dictionary'!C:E,3,FALSE))=0, "", IF(B20="", "", VLOOKUP(B20,'API Data Dictionary'!C:E,3,FALSE)))</f>
        <v/>
      </c>
      <c r="F20" s="62" t="str">
        <f>IF(IF(B20="", "", VLOOKUP(B20,'API Data Dictionary'!C:F,4,FALSE))=0, "", IF(B20="", "", VLOOKUP(B20,'API Data Dictionary'!C:F,4,FALSE)))</f>
        <v/>
      </c>
      <c r="G20" s="62" t="str">
        <f>IF(IF(B20="", "", VLOOKUP(B20,'API Data Dictionary'!C:G,5,FALSE))=0, "", IF(B20="", "", VLOOKUP(B20,'API Data Dictionary'!C:G,5,FALSE)))</f>
        <v/>
      </c>
    </row>
    <row r="21" spans="1:7" x14ac:dyDescent="0.35">
      <c r="B21" s="85" t="str">
        <f t="shared" si="0"/>
        <v/>
      </c>
      <c r="C21" s="85" t="str">
        <f>IF(B21="", "", VLOOKUP(B21,'API Data Dictionary'!C:L,10,FALSE))</f>
        <v/>
      </c>
      <c r="D21" s="85" t="str">
        <f>IF(B21="", "", VLOOKUP(B21,'API Data Dictionary'!C:D,2,FALSE))</f>
        <v/>
      </c>
      <c r="E21" s="85" t="str">
        <f>IF(IF(B21="", "", VLOOKUP(B21,'API Data Dictionary'!C:E,3,FALSE))=0, "", IF(B21="", "", VLOOKUP(B21,'API Data Dictionary'!C:E,3,FALSE)))</f>
        <v/>
      </c>
      <c r="F21" s="85" t="str">
        <f>IF(IF(B21="", "", VLOOKUP(B21,'API Data Dictionary'!C:F,4,FALSE))=0, "", IF(B21="", "", VLOOKUP(B21,'API Data Dictionary'!C:F,4,FALSE)))</f>
        <v/>
      </c>
      <c r="G21" s="85" t="str">
        <f>IF(IF(B21="", "", VLOOKUP(B21,'API Data Dictionary'!C:G,5,FALSE))=0, "", IF(B21="", "", VLOOKUP(B21,'API Data Dictionary'!C:G,5,FALSE)))</f>
        <v/>
      </c>
    </row>
    <row r="22" spans="1:7" x14ac:dyDescent="0.35">
      <c r="C22" s="107"/>
    </row>
    <row r="23" spans="1:7" x14ac:dyDescent="0.35">
      <c r="A23" s="222" t="s">
        <v>1751</v>
      </c>
      <c r="B23" s="222"/>
      <c r="C23" s="222"/>
      <c r="D23" s="222"/>
      <c r="E23" s="222"/>
      <c r="F23" s="222"/>
      <c r="G23" s="222"/>
    </row>
    <row r="24" spans="1:7" x14ac:dyDescent="0.35">
      <c r="A24" s="96" t="s">
        <v>1094</v>
      </c>
      <c r="B24" s="62" t="str">
        <f t="shared" ref="B24:B28" si="1">IF(OR(ISNUMBER(SEARCH("{", A24)),ISNUMBER(SEARCH("[", A24))), "", IFERROR(MID(A24, SEARCH("""", A24) +1, SEARCH("""", A24, SEARCH("""",A24) +1) - SEARCH("""", A24) -1), ""))</f>
        <v/>
      </c>
      <c r="C24" s="62"/>
      <c r="D24" s="62" t="str">
        <f>IF(B24="", "", VLOOKUP(B24,'API Data Dictionary'!C:D,2,FALSE))</f>
        <v/>
      </c>
      <c r="E24" s="62" t="str">
        <f>IF(IF(B24="", "", VLOOKUP(B24,'API Data Dictionary'!C:E,3,FALSE))=0, "", IF(B24="", "", VLOOKUP(B24,'API Data Dictionary'!C:E,3,FALSE)))</f>
        <v/>
      </c>
      <c r="F24" s="62" t="str">
        <f>IF(IF(B24="", "", VLOOKUP(B24,'API Data Dictionary'!C:F,4,FALSE))=0, "", IF(B24="", "", VLOOKUP(B24,'API Data Dictionary'!C:F,4,FALSE)))</f>
        <v/>
      </c>
      <c r="G24" s="62" t="str">
        <f>IF(IF(B24="", "", VLOOKUP(B24,'API Data Dictionary'!C:G,5,FALSE))=0, "", IF(B24="", "", VLOOKUP(B24,'API Data Dictionary'!C:G,5,FALSE)))</f>
        <v/>
      </c>
    </row>
    <row r="25" spans="1:7" x14ac:dyDescent="0.35">
      <c r="A25" s="96" t="s">
        <v>1350</v>
      </c>
      <c r="B25" s="62" t="str">
        <f t="shared" si="1"/>
        <v>success</v>
      </c>
      <c r="C25" s="62" t="s">
        <v>68</v>
      </c>
      <c r="D25" s="62" t="str">
        <f>IF(B25="", "", VLOOKUP(B25,'API Data Dictionary'!C:D,2,FALSE))</f>
        <v>string - Boolean</v>
      </c>
      <c r="E25" s="62">
        <f>IF(IF(B25="", "", VLOOKUP(B25,'API Data Dictionary'!C:E,3,FALSE))=0, "", IF(B25="", "", VLOOKUP(B25,'API Data Dictionary'!C:E,3,FALSE)))</f>
        <v>100</v>
      </c>
      <c r="F25" s="62" t="str">
        <f>IF(IF(B25="", "", VLOOKUP(B25,'API Data Dictionary'!C:F,4,FALSE))=0, "", IF(B25="", "", VLOOKUP(B25,'API Data Dictionary'!C:F,4,FALSE)))</f>
        <v/>
      </c>
      <c r="G25" s="62" t="str">
        <f>IF(IF(B25="", "", VLOOKUP(B25,'API Data Dictionary'!C:G,5,FALSE))=0, "", IF(B25="", "", VLOOKUP(B25,'API Data Dictionary'!C:G,5,FALSE)))</f>
        <v>Returns true when successful call/connection</v>
      </c>
    </row>
    <row r="26" spans="1:7" x14ac:dyDescent="0.35">
      <c r="A26" s="96" t="s">
        <v>1377</v>
      </c>
      <c r="B26" s="62" t="str">
        <f t="shared" si="1"/>
        <v/>
      </c>
      <c r="C26" s="62" t="s">
        <v>68</v>
      </c>
      <c r="D26" s="62" t="str">
        <f>IF(B26="", "", VLOOKUP(B26,'API Data Dictionary'!C:D,2,FALSE))</f>
        <v/>
      </c>
      <c r="E26" s="62" t="str">
        <f>IF(IF(B26="", "", VLOOKUP(B26,'API Data Dictionary'!C:E,3,FALSE))=0, "", IF(B26="", "", VLOOKUP(B26,'API Data Dictionary'!C:E,3,FALSE)))</f>
        <v/>
      </c>
      <c r="F26" s="62" t="str">
        <f>IF(IF(B26="", "", VLOOKUP(B26,'API Data Dictionary'!C:F,4,FALSE))=0, "", IF(B26="", "", VLOOKUP(B26,'API Data Dictionary'!C:F,4,FALSE)))</f>
        <v/>
      </c>
      <c r="G26" s="62" t="str">
        <f>IF(IF(B26="", "", VLOOKUP(B26,'API Data Dictionary'!C:G,5,FALSE))=0, "", IF(B26="", "", VLOOKUP(B26,'API Data Dictionary'!C:G,5,FALSE)))</f>
        <v/>
      </c>
    </row>
    <row r="27" spans="1:7" x14ac:dyDescent="0.35">
      <c r="A27" s="96" t="s">
        <v>1726</v>
      </c>
      <c r="B27" s="62" t="str">
        <f t="shared" si="1"/>
        <v>agentCode</v>
      </c>
      <c r="C27" s="62" t="s">
        <v>68</v>
      </c>
      <c r="D27" s="62" t="str">
        <f>IF(B27="", "", VLOOKUP(B27,'API Data Dictionary'!C:D,2,FALSE))</f>
        <v>string</v>
      </c>
      <c r="E27" s="62">
        <f>IF(IF(B27="", "", VLOOKUP(B27,'API Data Dictionary'!C:E,3,FALSE))=0, "", IF(B27="", "", VLOOKUP(B27,'API Data Dictionary'!C:E,3,FALSE)))</f>
        <v>50</v>
      </c>
      <c r="F27" s="62" t="str">
        <f>IF(IF(B27="", "", VLOOKUP(B27,'API Data Dictionary'!C:F,4,FALSE))=0, "", IF(B27="", "", VLOOKUP(B27,'API Data Dictionary'!C:F,4,FALSE)))</f>
        <v/>
      </c>
      <c r="G27" s="62" t="str">
        <f>IF(IF(B27="", "", VLOOKUP(B27,'API Data Dictionary'!C:G,5,FALSE))=0, "", IF(B27="", "", VLOOKUP(B27,'API Data Dictionary'!C:G,5,FALSE)))</f>
        <v>AgentCode is the Unique Key provided to the Agent when onboarding as a Barbon Customer.
An AgentID may be linked to many Properties being managed by that Agent and Each property may be linked to 1 or more TenancyID's.</v>
      </c>
    </row>
    <row r="28" spans="1:7" x14ac:dyDescent="0.35">
      <c r="A28" s="96" t="s">
        <v>1659</v>
      </c>
      <c r="B28" s="62" t="str">
        <f t="shared" si="1"/>
        <v>propertyTenancyId</v>
      </c>
      <c r="C28" s="62" t="s">
        <v>68</v>
      </c>
      <c r="D28" s="62" t="str">
        <f>IF(B28="", "", VLOOKUP(B28,'API Data Dictionary'!C:D,2,FALSE))</f>
        <v>integer</v>
      </c>
      <c r="E28" s="62" t="str">
        <f>IF(IF(B28="", "", VLOOKUP(B28,'API Data Dictionary'!C:E,3,FALSE))=0, "", IF(B28="", "", VLOOKUP(B28,'API Data Dictionary'!C:E,3,FALSE)))</f>
        <v/>
      </c>
      <c r="F28" s="62" t="str">
        <f>IF(IF(B28="", "", VLOOKUP(B28,'API Data Dictionary'!C:F,4,FALSE))=0, "", IF(B28="", "", VLOOKUP(B28,'API Data Dictionary'!C:F,4,FALSE)))</f>
        <v/>
      </c>
      <c r="G28" s="62" t="str">
        <f>IF(IF(B28="", "", VLOOKUP(B28,'API Data Dictionary'!C:G,5,FALSE))=0, "", IF(B28="", "", VLOOKUP(B28,'API Data Dictionary'!C:G,5,FALSE)))</f>
        <v>The ID of the property tenancy</v>
      </c>
    </row>
    <row r="29" spans="1:7" x14ac:dyDescent="0.35">
      <c r="A29" s="96" t="s">
        <v>1380</v>
      </c>
      <c r="B29" s="62" t="str">
        <f t="shared" ref="B29:B38" si="2">IF(OR(ISNUMBER(SEARCH("{", A29)),ISNUMBER(SEARCH("[", A29))), "", IFERROR(MID(A29, SEARCH("""", A29) +1, SEARCH("""", A29, SEARCH("""",A29) +1) - SEARCH("""", A29) -1), ""))</f>
        <v/>
      </c>
      <c r="C29" s="62" t="str">
        <f>IF(B29="", "", VLOOKUP(B29,'API Data Dictionary'!C:L,10,FALSE))</f>
        <v/>
      </c>
      <c r="D29" s="62" t="str">
        <f>IF(B29="", "", VLOOKUP(B29,'API Data Dictionary'!C:D,2,FALSE))</f>
        <v/>
      </c>
      <c r="E29" s="62" t="str">
        <f>IF(IF(B29="", "", VLOOKUP(B29,'API Data Dictionary'!C:E,3,FALSE))=0, "", IF(B29="", "", VLOOKUP(B29,'API Data Dictionary'!C:E,3,FALSE)))</f>
        <v/>
      </c>
      <c r="F29" s="62" t="str">
        <f>IF(IF(B29="", "", VLOOKUP(B29,'API Data Dictionary'!C:F,4,FALSE))=0, "", IF(B29="", "", VLOOKUP(B29,'API Data Dictionary'!C:F,4,FALSE)))</f>
        <v/>
      </c>
      <c r="G29" s="62" t="str">
        <f>IF(IF(B29="", "", VLOOKUP(B29,'API Data Dictionary'!C:G,5,FALSE))=0, "", IF(B29="", "", VLOOKUP(B29,'API Data Dictionary'!C:G,5,FALSE)))</f>
        <v/>
      </c>
    </row>
    <row r="30" spans="1:7" x14ac:dyDescent="0.35">
      <c r="A30" s="96" t="s">
        <v>1381</v>
      </c>
      <c r="B30" s="62" t="str">
        <f t="shared" si="2"/>
        <v/>
      </c>
      <c r="C30" s="62" t="str">
        <f>IF(B30="", "", VLOOKUP(B30,'API Data Dictionary'!C:L,10,FALSE))</f>
        <v/>
      </c>
      <c r="D30" s="62" t="str">
        <f>IF(B30="", "", VLOOKUP(B30,'API Data Dictionary'!C:D,2,FALSE))</f>
        <v/>
      </c>
      <c r="E30" s="62" t="str">
        <f>IF(IF(B30="", "", VLOOKUP(B30,'API Data Dictionary'!C:E,3,FALSE))=0, "", IF(B30="", "", VLOOKUP(B30,'API Data Dictionary'!C:E,3,FALSE)))</f>
        <v/>
      </c>
      <c r="F30" s="62" t="str">
        <f>IF(IF(B30="", "", VLOOKUP(B30,'API Data Dictionary'!C:F,4,FALSE))=0, "", IF(B30="", "", VLOOKUP(B30,'API Data Dictionary'!C:F,4,FALSE)))</f>
        <v/>
      </c>
      <c r="G30" s="62" t="str">
        <f>IF(IF(B30="", "", VLOOKUP(B30,'API Data Dictionary'!C:G,5,FALSE))=0, "", IF(B30="", "", VLOOKUP(B30,'API Data Dictionary'!C:G,5,FALSE)))</f>
        <v/>
      </c>
    </row>
    <row r="31" spans="1:7" x14ac:dyDescent="0.35">
      <c r="A31" s="96" t="s">
        <v>1660</v>
      </c>
      <c r="B31" s="62" t="str">
        <f t="shared" si="2"/>
        <v>applicantID</v>
      </c>
      <c r="C31" s="62" t="s">
        <v>68</v>
      </c>
      <c r="D31" s="62" t="str">
        <f>IF(B31="", "", VLOOKUP(B31,'API Data Dictionary'!C:D,2,FALSE))</f>
        <v>integer</v>
      </c>
      <c r="E31" s="62" t="str">
        <f>IF(IF(B31="", "", VLOOKUP(B31,'API Data Dictionary'!C:E,3,FALSE))=0, "", IF(B31="", "", VLOOKUP(B31,'API Data Dictionary'!C:E,3,FALSE)))</f>
        <v/>
      </c>
      <c r="F31" s="62" t="str">
        <f>IF(IF(B31="", "", VLOOKUP(B31,'API Data Dictionary'!C:F,4,FALSE))=0, "", IF(B31="", "", VLOOKUP(B31,'API Data Dictionary'!C:F,4,FALSE)))</f>
        <v/>
      </c>
      <c r="G31" s="62" t="str">
        <f>IF(IF(B31="", "", VLOOKUP(B31,'API Data Dictionary'!C:G,5,FALSE))=0, "", IF(B31="", "", VLOOKUP(B31,'API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32" spans="1:7" x14ac:dyDescent="0.35">
      <c r="A32" s="96" t="s">
        <v>1661</v>
      </c>
      <c r="B32" s="62" t="str">
        <f t="shared" si="2"/>
        <v>applicantName</v>
      </c>
      <c r="C32" s="62" t="s">
        <v>68</v>
      </c>
      <c r="D32" s="62" t="s">
        <v>64</v>
      </c>
      <c r="E32" s="62">
        <v>1000</v>
      </c>
      <c r="F32" s="62"/>
      <c r="G32" s="62" t="s">
        <v>1673</v>
      </c>
    </row>
    <row r="33" spans="1:7" s="249" customFormat="1" x14ac:dyDescent="0.35">
      <c r="A33" s="96" t="s">
        <v>1993</v>
      </c>
      <c r="B33" s="248" t="s">
        <v>166</v>
      </c>
      <c r="C33" s="248" t="s">
        <v>68</v>
      </c>
      <c r="D33" s="248" t="s">
        <v>167</v>
      </c>
      <c r="E33" s="248">
        <v>200</v>
      </c>
      <c r="F33" s="248" t="s">
        <v>168</v>
      </c>
      <c r="G33" s="248" t="s">
        <v>169</v>
      </c>
    </row>
    <row r="34" spans="1:7" x14ac:dyDescent="0.35">
      <c r="A34" s="96" t="s">
        <v>1117</v>
      </c>
      <c r="B34" s="62" t="str">
        <f t="shared" si="2"/>
        <v/>
      </c>
      <c r="C34" s="62" t="str">
        <f>IF(B34="", "", VLOOKUP(B34,'API Data Dictionary'!C:L,10,FALSE))</f>
        <v/>
      </c>
      <c r="D34" s="62" t="str">
        <f>IF(B34="", "", VLOOKUP(B34,'API Data Dictionary'!C:D,2,FALSE))</f>
        <v/>
      </c>
      <c r="E34" s="62" t="str">
        <f>IF(IF(B34="", "", VLOOKUP(B34,'API Data Dictionary'!C:E,3,FALSE))=0, "", IF(B34="", "", VLOOKUP(B34,'API Data Dictionary'!C:E,3,FALSE)))</f>
        <v/>
      </c>
      <c r="F34" s="62" t="str">
        <f>IF(IF(B34="", "", VLOOKUP(B34,'API Data Dictionary'!C:F,4,FALSE))=0, "", IF(B34="", "", VLOOKUP(B34,'API Data Dictionary'!C:F,4,FALSE)))</f>
        <v/>
      </c>
      <c r="G34" s="62" t="str">
        <f>IF(IF(B34="", "", VLOOKUP(B34,'API Data Dictionary'!C:G,5,FALSE))=0, "", IF(B34="", "", VLOOKUP(B34,'API Data Dictionary'!C:G,5,FALSE)))</f>
        <v/>
      </c>
    </row>
    <row r="35" spans="1:7" x14ac:dyDescent="0.35">
      <c r="A35" s="96" t="s">
        <v>1383</v>
      </c>
      <c r="B35" s="62" t="str">
        <f t="shared" si="2"/>
        <v/>
      </c>
      <c r="C35" s="62" t="str">
        <f>IF(B35="", "", VLOOKUP(B35,'API Data Dictionary'!C:L,10,FALSE))</f>
        <v/>
      </c>
      <c r="D35" s="62" t="str">
        <f>IF(B35="", "", VLOOKUP(B35,'API Data Dictionary'!C:D,2,FALSE))</f>
        <v/>
      </c>
      <c r="E35" s="62" t="str">
        <f>IF(IF(B35="", "", VLOOKUP(B35,'API Data Dictionary'!C:E,3,FALSE))=0, "", IF(B35="", "", VLOOKUP(B35,'API Data Dictionary'!C:E,3,FALSE)))</f>
        <v/>
      </c>
      <c r="F35" s="62" t="str">
        <f>IF(IF(B35="", "", VLOOKUP(B35,'API Data Dictionary'!C:F,4,FALSE))=0, "", IF(B35="", "", VLOOKUP(B35,'API Data Dictionary'!C:F,4,FALSE)))</f>
        <v/>
      </c>
      <c r="G35" s="62" t="str">
        <f>IF(IF(B35="", "", VLOOKUP(B35,'API Data Dictionary'!C:G,5,FALSE))=0, "", IF(B35="", "", VLOOKUP(B35,'API Data Dictionary'!C:G,5,FALSE)))</f>
        <v/>
      </c>
    </row>
    <row r="36" spans="1:7" x14ac:dyDescent="0.35">
      <c r="A36" s="96" t="s">
        <v>1105</v>
      </c>
      <c r="B36" s="62" t="str">
        <f t="shared" si="2"/>
        <v/>
      </c>
      <c r="C36" s="62" t="str">
        <f>IF(B36="", "", VLOOKUP(B36,'API Data Dictionary'!C:L,10,FALSE))</f>
        <v/>
      </c>
      <c r="D36" s="62" t="str">
        <f>IF(B36="", "", VLOOKUP(B36,'API Data Dictionary'!C:D,2,FALSE))</f>
        <v/>
      </c>
      <c r="E36" s="62" t="str">
        <f>IF(IF(B36="", "", VLOOKUP(B36,'API Data Dictionary'!C:E,3,FALSE))=0, "", IF(B36="", "", VLOOKUP(B36,'API Data Dictionary'!C:E,3,FALSE)))</f>
        <v/>
      </c>
      <c r="F36" s="62" t="str">
        <f>IF(IF(B36="", "", VLOOKUP(B36,'API Data Dictionary'!C:F,4,FALSE))=0, "", IF(B36="", "", VLOOKUP(B36,'API Data Dictionary'!C:F,4,FALSE)))</f>
        <v/>
      </c>
      <c r="G36" s="62" t="str">
        <f>IF(IF(B36="", "", VLOOKUP(B36,'API Data Dictionary'!C:G,5,FALSE))=0, "", IF(B36="", "", VLOOKUP(B36,'API Data Dictionary'!C:G,5,FALSE)))</f>
        <v/>
      </c>
    </row>
    <row r="37" spans="1:7" s="249" customFormat="1" x14ac:dyDescent="0.35">
      <c r="A37" s="96" t="s">
        <v>1788</v>
      </c>
      <c r="B37" s="248" t="str">
        <f t="shared" si="2"/>
        <v>message</v>
      </c>
      <c r="C37" s="248" t="s">
        <v>68</v>
      </c>
      <c r="D37" s="248" t="str">
        <f>IF(B37="", "", VLOOKUP(B37,'API Data Dictionary'!C:D,2,FALSE))</f>
        <v>string</v>
      </c>
      <c r="E37" s="248">
        <f>IF(IF(B37="", "", VLOOKUP(B37,'API Data Dictionary'!C:E,3,FALSE))=0, "", IF(B37="", "", VLOOKUP(B37,'API Data Dictionary'!C:E,3,FALSE)))</f>
        <v>100</v>
      </c>
      <c r="F37" s="248" t="str">
        <f>IF(IF(B37="", "", VLOOKUP(B37,'API Data Dictionary'!C:F,4,FALSE))=0, "", IF(B37="", "", VLOOKUP(B37,'API Data Dictionary'!C:F,4,FALSE)))</f>
        <v/>
      </c>
      <c r="G37" s="248" t="str">
        <f>IF(IF(B37="", "", VLOOKUP(B37,'API Data Dictionary'!C:G,5,FALSE))=0, "", IF(B37="", "", VLOOKUP(B37,'API Data Dictionary'!C:G,5,FALSE)))</f>
        <v>return value, null or success, unless there has been error</v>
      </c>
    </row>
    <row r="38" spans="1:7" x14ac:dyDescent="0.35">
      <c r="A38" s="96" t="s">
        <v>1120</v>
      </c>
      <c r="B38" s="62" t="str">
        <f t="shared" si="2"/>
        <v/>
      </c>
      <c r="C38" s="62" t="str">
        <f>IF(B38="", "", VLOOKUP(B38,'API Data Dictionary'!C:L,10,FALSE))</f>
        <v/>
      </c>
      <c r="D38" s="62" t="str">
        <f>IF(B38="", "", VLOOKUP(B38,'API Data Dictionary'!C:D,2,FALSE))</f>
        <v/>
      </c>
      <c r="E38" s="62" t="str">
        <f>IF(IF(B38="", "", VLOOKUP(B38,'API Data Dictionary'!C:E,3,FALSE))=0, "", IF(B38="", "", VLOOKUP(B38,'API Data Dictionary'!C:E,3,FALSE)))</f>
        <v/>
      </c>
      <c r="F38" s="62" t="str">
        <f>IF(IF(B38="", "", VLOOKUP(B38,'API Data Dictionary'!C:F,4,FALSE))=0, "", IF(B38="", "", VLOOKUP(B38,'API Data Dictionary'!C:F,4,FALSE)))</f>
        <v/>
      </c>
      <c r="G38" s="62" t="str">
        <f>IF(IF(B38="", "", VLOOKUP(B38,'API Data Dictionary'!C:G,5,FALSE))=0, "", IF(B38="", "", VLOOKUP(B38,'API Data Dictionary'!C:G,5,FALSE)))</f>
        <v/>
      </c>
    </row>
    <row r="40" spans="1:7" x14ac:dyDescent="0.35">
      <c r="A40" s="219" t="s">
        <v>1625</v>
      </c>
      <c r="B40" s="220"/>
      <c r="C40" s="220"/>
      <c r="D40" s="220"/>
      <c r="E40" s="220"/>
      <c r="F40" s="220"/>
      <c r="G40" s="220"/>
    </row>
    <row r="41" spans="1:7" x14ac:dyDescent="0.35">
      <c r="A41" s="88" t="s">
        <v>1561</v>
      </c>
      <c r="B41" s="62" t="s">
        <v>1359</v>
      </c>
      <c r="C41" s="89" t="s">
        <v>1359</v>
      </c>
      <c r="D41" s="62" t="s">
        <v>64</v>
      </c>
      <c r="E41" s="89">
        <v>100</v>
      </c>
      <c r="F41" s="89"/>
      <c r="G41" s="89" t="s">
        <v>1562</v>
      </c>
    </row>
    <row r="43" spans="1:7" x14ac:dyDescent="0.35">
      <c r="A43" s="219" t="s">
        <v>1764</v>
      </c>
      <c r="B43" s="220"/>
      <c r="C43" s="220"/>
      <c r="D43" s="220"/>
      <c r="E43" s="220"/>
      <c r="F43" s="220"/>
      <c r="G43" s="220"/>
    </row>
    <row r="44" spans="1:7" x14ac:dyDescent="0.35">
      <c r="A44" s="88" t="s">
        <v>1763</v>
      </c>
      <c r="B44" s="62" t="s">
        <v>1359</v>
      </c>
      <c r="C44" s="89" t="s">
        <v>1359</v>
      </c>
      <c r="D44" s="62" t="s">
        <v>64</v>
      </c>
      <c r="E44" s="89">
        <v>100</v>
      </c>
      <c r="F44" s="89"/>
      <c r="G44" s="89" t="s">
        <v>1765</v>
      </c>
    </row>
    <row r="46" spans="1:7" x14ac:dyDescent="0.35">
      <c r="A46" s="97" t="s">
        <v>1672</v>
      </c>
      <c r="B46" s="98"/>
      <c r="C46" s="98"/>
      <c r="D46" s="98"/>
      <c r="E46" s="98"/>
      <c r="F46" s="98"/>
      <c r="G46" s="116"/>
    </row>
    <row r="47" spans="1:7" x14ac:dyDescent="0.35">
      <c r="A47" s="88" t="s">
        <v>1094</v>
      </c>
      <c r="B47" s="89" t="str">
        <f t="shared" ref="B47" si="3">IF(OR(ISNUMBER(SEARCH("{", A47)),ISNUMBER(SEARCH("[", A47))), "", IFERROR(MID(A47, SEARCH("""", A47) +1, SEARCH("""", A47, SEARCH("""",A47) +1) - SEARCH("""", A47) -1), ""))</f>
        <v/>
      </c>
      <c r="C47" s="89" t="str">
        <f>IF(B47="", "", VLOOKUP(B47,'API Data Dictionary'!C:R,16,FALSE))</f>
        <v/>
      </c>
      <c r="D47" s="89" t="str">
        <f>IF(B47="", "", VLOOKUP(B47,'API Data Dictionary'!C:D,2,FALSE))</f>
        <v/>
      </c>
      <c r="E47" s="89" t="str">
        <f>IF(IF(B47="", "", VLOOKUP(B47,'API Data Dictionary'!C:E,3,FALSE))=0, "", IF(B47="", "", VLOOKUP(B47,'API Data Dictionary'!C:E,3,FALSE)))</f>
        <v/>
      </c>
      <c r="F47" s="89" t="str">
        <f>IF(IF(B47="", "", VLOOKUP(B47,'API Data Dictionary'!C:F,4,FALSE))=0, "", IF(B47="", "", VLOOKUP(B47,'API Data Dictionary'!C:F,4,FALSE)))</f>
        <v/>
      </c>
      <c r="G47" s="89" t="str">
        <f>IF(IF(B47="", "", VLOOKUP(B47,'API Data Dictionary'!C:G,5,FALSE))=0, "", IF(B47="", "", VLOOKUP(B47,'API Data Dictionary'!C:G,5,FALSE)))</f>
        <v/>
      </c>
    </row>
    <row r="48" spans="1:7" x14ac:dyDescent="0.35">
      <c r="A48" s="88" t="s">
        <v>1574</v>
      </c>
      <c r="B48" s="89" t="s">
        <v>1354</v>
      </c>
      <c r="C48" s="89" t="s">
        <v>68</v>
      </c>
      <c r="D48" s="89" t="s">
        <v>1357</v>
      </c>
      <c r="E48" s="89">
        <v>100</v>
      </c>
      <c r="F48" s="89" t="s">
        <v>1433</v>
      </c>
      <c r="G48" s="89" t="s">
        <v>1572</v>
      </c>
    </row>
    <row r="49" spans="1:7" x14ac:dyDescent="0.35">
      <c r="A49" s="88" t="s">
        <v>1377</v>
      </c>
      <c r="B49" s="89" t="s">
        <v>1433</v>
      </c>
      <c r="C49" s="89" t="s">
        <v>1433</v>
      </c>
      <c r="D49" s="89" t="s">
        <v>1433</v>
      </c>
      <c r="E49" s="109" t="s">
        <v>1433</v>
      </c>
      <c r="F49" s="89" t="s">
        <v>1433</v>
      </c>
      <c r="G49" s="89" t="s">
        <v>1433</v>
      </c>
    </row>
    <row r="50" spans="1:7" x14ac:dyDescent="0.35">
      <c r="A50" s="88" t="s">
        <v>1564</v>
      </c>
      <c r="B50" s="89" t="s">
        <v>1589</v>
      </c>
      <c r="C50" s="89" t="s">
        <v>68</v>
      </c>
      <c r="D50" s="89" t="s">
        <v>1593</v>
      </c>
      <c r="E50" s="109"/>
      <c r="F50" s="89"/>
      <c r="G50" s="89"/>
    </row>
    <row r="51" spans="1:7" x14ac:dyDescent="0.35">
      <c r="A51" s="88" t="s">
        <v>1662</v>
      </c>
      <c r="B51" s="89" t="s">
        <v>1590</v>
      </c>
      <c r="C51" s="89" t="s">
        <v>68</v>
      </c>
      <c r="D51" s="89" t="s">
        <v>64</v>
      </c>
      <c r="E51" s="109" t="s">
        <v>1594</v>
      </c>
      <c r="F51" s="89"/>
      <c r="G51" s="89"/>
    </row>
    <row r="52" spans="1:7" x14ac:dyDescent="0.35">
      <c r="A52" s="88" t="s">
        <v>1663</v>
      </c>
      <c r="B52" s="89" t="s">
        <v>1591</v>
      </c>
      <c r="C52" s="89" t="s">
        <v>68</v>
      </c>
      <c r="D52" s="89" t="s">
        <v>64</v>
      </c>
      <c r="E52" s="109" t="s">
        <v>1594</v>
      </c>
      <c r="F52" s="89"/>
      <c r="G52" s="89"/>
    </row>
    <row r="53" spans="1:7" x14ac:dyDescent="0.35">
      <c r="A53" s="88" t="s">
        <v>1116</v>
      </c>
      <c r="B53" s="89" t="s">
        <v>1433</v>
      </c>
      <c r="C53" s="89" t="s">
        <v>1433</v>
      </c>
      <c r="D53" s="89" t="s">
        <v>1433</v>
      </c>
      <c r="E53" s="109" t="s">
        <v>1433</v>
      </c>
      <c r="F53" s="89" t="s">
        <v>1433</v>
      </c>
      <c r="G53" s="89" t="s">
        <v>1433</v>
      </c>
    </row>
    <row r="54" spans="1:7" x14ac:dyDescent="0.35">
      <c r="A54" s="88" t="s">
        <v>1664</v>
      </c>
      <c r="B54" s="89" t="s">
        <v>1590</v>
      </c>
      <c r="C54" s="89" t="s">
        <v>68</v>
      </c>
      <c r="D54" s="89" t="s">
        <v>64</v>
      </c>
      <c r="E54" s="109" t="s">
        <v>1594</v>
      </c>
      <c r="F54" s="89"/>
      <c r="G54" s="89" t="s">
        <v>1433</v>
      </c>
    </row>
    <row r="55" spans="1:7" x14ac:dyDescent="0.35">
      <c r="A55" s="88" t="s">
        <v>1665</v>
      </c>
      <c r="B55" s="89" t="s">
        <v>1591</v>
      </c>
      <c r="C55" s="89" t="s">
        <v>68</v>
      </c>
      <c r="D55" s="89" t="s">
        <v>64</v>
      </c>
      <c r="E55" s="109" t="s">
        <v>1594</v>
      </c>
      <c r="F55" s="89"/>
      <c r="G55" s="89"/>
    </row>
    <row r="56" spans="1:7" x14ac:dyDescent="0.35">
      <c r="A56" s="88" t="s">
        <v>1116</v>
      </c>
      <c r="B56" s="89"/>
      <c r="C56" s="89"/>
      <c r="D56" s="89"/>
      <c r="E56" s="109"/>
      <c r="F56" s="89"/>
      <c r="G56" s="89"/>
    </row>
    <row r="57" spans="1:7" x14ac:dyDescent="0.35">
      <c r="A57" s="88" t="s">
        <v>1666</v>
      </c>
      <c r="B57" s="89" t="s">
        <v>1590</v>
      </c>
      <c r="C57" s="89" t="s">
        <v>68</v>
      </c>
      <c r="D57" s="89" t="s">
        <v>64</v>
      </c>
      <c r="E57" s="109" t="s">
        <v>1594</v>
      </c>
      <c r="F57" s="89"/>
      <c r="G57" s="89"/>
    </row>
    <row r="58" spans="1:7" x14ac:dyDescent="0.35">
      <c r="A58" s="88" t="s">
        <v>1667</v>
      </c>
      <c r="B58" s="89" t="s">
        <v>1591</v>
      </c>
      <c r="C58" s="89" t="s">
        <v>68</v>
      </c>
      <c r="D58" s="89" t="s">
        <v>64</v>
      </c>
      <c r="E58" s="109" t="s">
        <v>1594</v>
      </c>
      <c r="F58" s="89"/>
      <c r="G58" s="89"/>
    </row>
    <row r="59" spans="1:7" x14ac:dyDescent="0.35">
      <c r="A59" s="88" t="s">
        <v>1116</v>
      </c>
      <c r="B59" s="89"/>
      <c r="C59" s="89"/>
      <c r="D59" s="89"/>
      <c r="E59" s="109"/>
      <c r="F59" s="89"/>
      <c r="G59" s="89"/>
    </row>
    <row r="60" spans="1:7" x14ac:dyDescent="0.35">
      <c r="A60" s="88" t="s">
        <v>1668</v>
      </c>
      <c r="B60" s="89" t="s">
        <v>1590</v>
      </c>
      <c r="C60" s="89" t="s">
        <v>68</v>
      </c>
      <c r="D60" s="89" t="s">
        <v>64</v>
      </c>
      <c r="E60" s="109" t="s">
        <v>1594</v>
      </c>
      <c r="F60" s="89"/>
      <c r="G60" s="89"/>
    </row>
    <row r="61" spans="1:7" x14ac:dyDescent="0.35">
      <c r="A61" s="88" t="s">
        <v>1669</v>
      </c>
      <c r="B61" s="89" t="s">
        <v>1591</v>
      </c>
      <c r="C61" s="89" t="s">
        <v>68</v>
      </c>
      <c r="D61" s="89" t="s">
        <v>64</v>
      </c>
      <c r="E61" s="109" t="s">
        <v>1594</v>
      </c>
      <c r="F61" s="89"/>
      <c r="G61" s="89"/>
    </row>
    <row r="62" spans="1:7" x14ac:dyDescent="0.35">
      <c r="A62" s="88" t="s">
        <v>1566</v>
      </c>
      <c r="B62" s="89"/>
      <c r="C62" s="89"/>
      <c r="D62" s="89"/>
      <c r="E62" s="109"/>
      <c r="F62" s="89"/>
      <c r="G62" s="89"/>
    </row>
    <row r="63" spans="1:7" x14ac:dyDescent="0.35">
      <c r="A63" s="88" t="s">
        <v>1413</v>
      </c>
      <c r="B63" s="89"/>
      <c r="C63" s="89"/>
      <c r="D63" s="89"/>
      <c r="E63" s="109"/>
      <c r="F63" s="89"/>
      <c r="G63" s="89"/>
    </row>
    <row r="64" spans="1:7" x14ac:dyDescent="0.35">
      <c r="A64" s="88" t="s">
        <v>1670</v>
      </c>
      <c r="B64" s="89" t="s">
        <v>1579</v>
      </c>
      <c r="C64" s="89" t="s">
        <v>68</v>
      </c>
      <c r="D64" s="89" t="s">
        <v>64</v>
      </c>
      <c r="E64" s="109" t="s">
        <v>1594</v>
      </c>
      <c r="F64" s="89"/>
      <c r="G64" s="89"/>
    </row>
    <row r="65" spans="1:7" x14ac:dyDescent="0.35">
      <c r="A65" s="88" t="s">
        <v>1577</v>
      </c>
      <c r="B65" s="89" t="s">
        <v>1580</v>
      </c>
      <c r="C65" s="89" t="s">
        <v>68</v>
      </c>
      <c r="D65" s="89" t="s">
        <v>64</v>
      </c>
      <c r="E65" s="109" t="s">
        <v>1594</v>
      </c>
      <c r="F65" s="89"/>
      <c r="G65" s="89"/>
    </row>
    <row r="66" spans="1:7" x14ac:dyDescent="0.35">
      <c r="A66" s="88" t="s">
        <v>1105</v>
      </c>
      <c r="B66" s="89" t="s">
        <v>1433</v>
      </c>
      <c r="C66" s="89" t="s">
        <v>1433</v>
      </c>
      <c r="D66" s="89" t="s">
        <v>1433</v>
      </c>
      <c r="E66" s="109" t="s">
        <v>1433</v>
      </c>
      <c r="F66" s="89" t="s">
        <v>1433</v>
      </c>
      <c r="G66" s="89"/>
    </row>
    <row r="67" spans="1:7" x14ac:dyDescent="0.35">
      <c r="A67" s="88" t="s">
        <v>1671</v>
      </c>
      <c r="B67" s="89" t="s">
        <v>1592</v>
      </c>
      <c r="C67" s="89" t="s">
        <v>68</v>
      </c>
      <c r="D67" s="89" t="s">
        <v>64</v>
      </c>
      <c r="E67" s="109" t="s">
        <v>1594</v>
      </c>
      <c r="F67" s="89"/>
      <c r="G67" s="89"/>
    </row>
    <row r="68" spans="1:7" x14ac:dyDescent="0.35">
      <c r="A68" s="88" t="s">
        <v>1120</v>
      </c>
      <c r="B68" s="89" t="str">
        <f>IF(OR(ISNUMBER(SEARCH("{", A59)),ISNUMBER(SEARCH("[", A59))), "", IFERROR(MID(A59, SEARCH("""", A59) +1, SEARCH("""", A59, SEARCH("""",A59) +1) - SEARCH("""", A59) -1), ""))</f>
        <v/>
      </c>
      <c r="C68" s="89" t="str">
        <f>IF(B68="", "", VLOOKUP(B68,'API Data Dictionary'!C:R,16,FALSE))</f>
        <v/>
      </c>
      <c r="D68" s="89" t="str">
        <f>IF(B68="", "", VLOOKUP(B68,'API Data Dictionary'!C:D,2,FALSE))</f>
        <v/>
      </c>
      <c r="E68" s="109" t="str">
        <f>IF(IF(B68="", "", VLOOKUP(B68,'API Data Dictionary'!C:E,3,FALSE))=0, "", IF(B68="", "", VLOOKUP(B68,'API Data Dictionary'!C:E,3,FALSE)))</f>
        <v/>
      </c>
      <c r="F68" s="89" t="str">
        <f>IF(IF(B68="", "", VLOOKUP(B68,'API Data Dictionary'!C:F,4,FALSE))=0, "", IF(B68="", "", VLOOKUP(B68,'API Data Dictionary'!C:F,4,FALSE)))</f>
        <v/>
      </c>
      <c r="G68" s="89" t="str">
        <f>IF(IF(B68="", "", VLOOKUP(B68,'API Data Dictionary'!C:G,5,FALSE))=0, "", IF(B68="", "", VLOOKUP(B68,'API Data Dictionary'!C:G,5,FALSE)))</f>
        <v/>
      </c>
    </row>
    <row r="70" spans="1:7" x14ac:dyDescent="0.35">
      <c r="A70" s="224" t="s">
        <v>1598</v>
      </c>
      <c r="B70" s="224"/>
      <c r="C70" s="224"/>
      <c r="D70" s="224"/>
      <c r="E70" s="224"/>
      <c r="F70" s="224"/>
      <c r="G70" s="224"/>
    </row>
    <row r="71" spans="1:7" x14ac:dyDescent="0.35">
      <c r="A71" s="110" t="s">
        <v>1094</v>
      </c>
      <c r="B71" s="89" t="str">
        <f t="shared" ref="B71:B75" si="4">IF(OR(ISNUMBER(SEARCH("{", A71)),ISNUMBER(SEARCH("[", A71))), "", IFERROR(MID(A71, SEARCH("""", A71) +1, SEARCH("""", A71, SEARCH("""",A71) +1) - SEARCH("""", A71) -1), ""))</f>
        <v/>
      </c>
      <c r="C71" s="89" t="str">
        <f>IF(B71="", "", VLOOKUP(B71,'API Data Dictionary'!C:J,8,FALSE))</f>
        <v/>
      </c>
      <c r="D71" s="89" t="str">
        <f>IF(B71="", "", VLOOKUP(B71,'API Data Dictionary'!C:D,2,FALSE))</f>
        <v/>
      </c>
      <c r="E71" s="89" t="str">
        <f>IF(IF(B71="", "", VLOOKUP(B71,'API Data Dictionary'!C:E,3,FALSE))=0, "", IF(B71="", "", VLOOKUP(B71,'API Data Dictionary'!C:E,3,FALSE)))</f>
        <v/>
      </c>
      <c r="F71" s="89" t="str">
        <f>IF(IF(B71="", "", VLOOKUP(B71,'API Data Dictionary'!C:F,4,FALSE))=0, "", IF(B71="", "", VLOOKUP(B71,'API Data Dictionary'!C:F,4,FALSE)))</f>
        <v/>
      </c>
      <c r="G71" s="89" t="str">
        <f>IF(IF(B71="", "", VLOOKUP(B71,'API Data Dictionary'!C:G,5,FALSE))=0, "", IF(B71="", "", VLOOKUP(B71,'API Data Dictionary'!C:G,5,FALSE)))</f>
        <v/>
      </c>
    </row>
    <row r="72" spans="1:7" x14ac:dyDescent="0.35">
      <c r="A72" s="110" t="s">
        <v>1567</v>
      </c>
      <c r="B72" s="89" t="str">
        <f t="shared" si="4"/>
        <v>success</v>
      </c>
      <c r="C72" s="89" t="s">
        <v>68</v>
      </c>
      <c r="D72" s="89" t="str">
        <f>IF(B72="", "", VLOOKUP(B72,'API Data Dictionary'!C:D,2,FALSE))</f>
        <v>string - Boolean</v>
      </c>
      <c r="E72" s="89">
        <f>IF(IF(B72="", "", VLOOKUP(B72,'API Data Dictionary'!C:E,3,FALSE))=0, "", IF(B72="", "", VLOOKUP(B72,'API Data Dictionary'!C:E,3,FALSE)))</f>
        <v>100</v>
      </c>
      <c r="F72" s="89" t="str">
        <f>IF(IF(B72="", "", VLOOKUP(B72,'API Data Dictionary'!C:F,4,FALSE))=0, "", IF(B72="", "", VLOOKUP(B72,'API Data Dictionary'!C:F,4,FALSE)))</f>
        <v/>
      </c>
      <c r="G72" s="89" t="str">
        <f>IF(IF(B72="", "", VLOOKUP(B72,'API Data Dictionary'!C:G,5,FALSE))=0, "", IF(B72="", "", VLOOKUP(B72,'API Data Dictionary'!C:G,5,FALSE)))</f>
        <v>Returns true when successful call/connection</v>
      </c>
    </row>
    <row r="73" spans="1:7" x14ac:dyDescent="0.35">
      <c r="A73" s="110" t="s">
        <v>1596</v>
      </c>
      <c r="B73" s="89" t="str">
        <f t="shared" si="4"/>
        <v>payload</v>
      </c>
      <c r="C73" s="89" t="s">
        <v>68</v>
      </c>
      <c r="D73" s="89" t="str">
        <f>IF(B73="", "", VLOOKUP(B73,'API Data Dictionary'!C:D,2,FALSE))</f>
        <v>string</v>
      </c>
      <c r="E73" s="89">
        <f>IF(IF(B73="", "", VLOOKUP(B73,'API Data Dictionary'!C:E,3,FALSE))=0, "", IF(B73="", "", VLOOKUP(B73,'API Data Dictionary'!C:E,3,FALSE)))</f>
        <v>100</v>
      </c>
      <c r="F73" s="89" t="str">
        <f>IF(IF(B73="", "", VLOOKUP(B73,'API Data Dictionary'!C:F,4,FALSE))=0, "", IF(B73="", "", VLOOKUP(B73,'API Data Dictionary'!C:F,4,FALSE)))</f>
        <v/>
      </c>
      <c r="G73" s="89" t="str">
        <f>IF(IF(B73="", "", VLOOKUP(B73,'API Data Dictionary'!C:G,5,FALSE))=0, "", IF(B73="", "", VLOOKUP(B73,'API Data Dictionary'!C:G,5,FALSE)))</f>
        <v>Returns healthy when connection has worked properly</v>
      </c>
    </row>
    <row r="74" spans="1:7" x14ac:dyDescent="0.35">
      <c r="A74" s="110" t="s">
        <v>1597</v>
      </c>
      <c r="B74" s="89" t="str">
        <f t="shared" si="4"/>
        <v>message</v>
      </c>
      <c r="C74" s="89" t="s">
        <v>68</v>
      </c>
      <c r="D74" s="89" t="str">
        <f>IF(B74="", "", VLOOKUP(B74,'API Data Dictionary'!C:D,2,FALSE))</f>
        <v>string</v>
      </c>
      <c r="E74" s="89">
        <f>IF(IF(B74="", "", VLOOKUP(B74,'API Data Dictionary'!C:E,3,FALSE))=0, "", IF(B74="", "", VLOOKUP(B74,'API Data Dictionary'!C:E,3,FALSE)))</f>
        <v>100</v>
      </c>
      <c r="F74" s="89" t="str">
        <f>IF(IF(B74="", "", VLOOKUP(B74,'API Data Dictionary'!C:F,4,FALSE))=0, "", IF(B74="", "", VLOOKUP(B74,'API Data Dictionary'!C:F,4,FALSE)))</f>
        <v/>
      </c>
      <c r="G74" s="89" t="str">
        <f>IF(IF(B74="", "", VLOOKUP(B74,'API Data Dictionary'!C:G,5,FALSE))=0, "", IF(B74="", "", VLOOKUP(B74,'API Data Dictionary'!C:G,5,FALSE)))</f>
        <v>return value, null or success, unless there has been error</v>
      </c>
    </row>
    <row r="75" spans="1:7" x14ac:dyDescent="0.35">
      <c r="A75" s="110" t="s">
        <v>1120</v>
      </c>
      <c r="B75" s="89" t="str">
        <f t="shared" si="4"/>
        <v/>
      </c>
      <c r="C75" s="89" t="str">
        <f>IF(B75="", "", VLOOKUP(B75,'API Data Dictionary'!C:J,8,FALSE))</f>
        <v/>
      </c>
      <c r="D75" s="89" t="str">
        <f>IF(B75="", "", VLOOKUP(B75,'API Data Dictionary'!C:D,2,FALSE))</f>
        <v/>
      </c>
      <c r="E75" s="89" t="str">
        <f>IF(IF(B75="", "", VLOOKUP(B75,'API Data Dictionary'!C:E,3,FALSE))=0, "", IF(B75="", "", VLOOKUP(B75,'API Data Dictionary'!C:E,3,FALSE)))</f>
        <v/>
      </c>
      <c r="F75" s="89" t="str">
        <f>IF(IF(B75="", "", VLOOKUP(B75,'API Data Dictionary'!C:F,4,FALSE))=0, "", IF(B75="", "", VLOOKUP(B75,'API Data Dictionary'!C:F,4,FALSE)))</f>
        <v/>
      </c>
      <c r="G75" s="89" t="str">
        <f>IF(IF(B75="", "", VLOOKUP(B75,'API Data Dictionary'!C:G,5,FALSE))=0, "", IF(B75="", "", VLOOKUP(B75,'API Data Dictionary'!C:G,5,FALSE)))</f>
        <v/>
      </c>
    </row>
  </sheetData>
  <mergeCells count="4">
    <mergeCell ref="A23:G23"/>
    <mergeCell ref="A40:G40"/>
    <mergeCell ref="A43:G43"/>
    <mergeCell ref="A70:G7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FC867-EC78-4456-A17A-BC1B093EE05B}">
  <sheetPr>
    <tabColor rgb="FF4472C4"/>
  </sheetPr>
  <dimension ref="A1:G255"/>
  <sheetViews>
    <sheetView topLeftCell="A196" zoomScale="55" zoomScaleNormal="55" workbookViewId="0">
      <selection activeCell="A218" sqref="A205:A218"/>
    </sheetView>
  </sheetViews>
  <sheetFormatPr defaultRowHeight="14.5" x14ac:dyDescent="0.35"/>
  <cols>
    <col min="1" max="1" width="80.1796875" customWidth="1"/>
    <col min="2" max="2" width="22.1796875" bestFit="1" customWidth="1"/>
    <col min="3" max="3" width="16" bestFit="1" customWidth="1"/>
    <col min="4" max="4" width="28" bestFit="1" customWidth="1"/>
    <col min="5" max="5" width="10.54296875" customWidth="1"/>
    <col min="6" max="6" width="101.36328125" bestFit="1" customWidth="1"/>
    <col min="7" max="7" width="255.6328125" bestFit="1" customWidth="1"/>
  </cols>
  <sheetData>
    <row r="1" spans="1:7" ht="43.5" x14ac:dyDescent="0.35">
      <c r="A1" s="63" t="s">
        <v>1137</v>
      </c>
      <c r="B1" s="63" t="s">
        <v>1090</v>
      </c>
      <c r="C1" s="63" t="s">
        <v>1091</v>
      </c>
      <c r="D1" s="63" t="s">
        <v>1092</v>
      </c>
      <c r="E1" s="63" t="s">
        <v>57</v>
      </c>
      <c r="F1" s="63" t="s">
        <v>58</v>
      </c>
      <c r="G1" s="63" t="s">
        <v>1093</v>
      </c>
    </row>
    <row r="2" spans="1:7" x14ac:dyDescent="0.35">
      <c r="A2" s="84"/>
      <c r="B2" s="84"/>
      <c r="C2" s="84"/>
      <c r="D2" s="84"/>
      <c r="E2" s="84"/>
      <c r="F2" s="84"/>
      <c r="G2" s="84"/>
    </row>
    <row r="3" spans="1:7" s="94" customFormat="1" x14ac:dyDescent="0.35">
      <c r="A3" s="91" t="s">
        <v>1441</v>
      </c>
      <c r="B3" s="92" t="str">
        <f t="shared" ref="B3:B55" si="0">IF(OR(ISNUMBER(SEARCH("{", A3)),ISNUMBER(SEARCH("[", A3))), "", IFERROR(MID(A3, SEARCH("""", A3) +1, SEARCH("""", A3, SEARCH("""",A3) +1) - SEARCH("""", A3) -1), ""))</f>
        <v/>
      </c>
      <c r="C3" s="92" t="str">
        <f>IF(B3="", "", VLOOKUP(B3,'API Data Dictionary'!C:L,10,FALSE))</f>
        <v/>
      </c>
      <c r="D3" s="92" t="str">
        <f>IF(B3="", "", VLOOKUP(B3,'API Data Dictionary'!C:D,2,FALSE))</f>
        <v/>
      </c>
      <c r="E3" s="92" t="str">
        <f>IF(IF(B3="", "", VLOOKUP(B3,'API Data Dictionary'!C:E,3,FALSE))=0, "", IF(B3="", "", VLOOKUP(B3,'API Data Dictionary'!C:E,3,FALSE)))</f>
        <v/>
      </c>
      <c r="F3" s="92" t="str">
        <f>IF(IF(B3="", "", VLOOKUP(B3,'API Data Dictionary'!C:F,4,FALSE))=0, "", IF(B3="", "", VLOOKUP(B3,'API Data Dictionary'!C:F,4,FALSE)))</f>
        <v/>
      </c>
      <c r="G3" s="93" t="str">
        <f>IF(IF(B3="", "", VLOOKUP(B3,'API Data Dictionary'!C:G,5,FALSE))=0, "", IF(B3="", "", VLOOKUP(B3,'API Data Dictionary'!C:G,5,FALSE)))</f>
        <v/>
      </c>
    </row>
    <row r="4" spans="1:7" x14ac:dyDescent="0.35">
      <c r="A4" s="86" t="s">
        <v>1094</v>
      </c>
      <c r="B4" s="87" t="str">
        <f t="shared" si="0"/>
        <v/>
      </c>
      <c r="C4" s="87" t="str">
        <f>IF(B4="", "", VLOOKUP(B4,'API Data Dictionary'!C:L,10,FALSE))</f>
        <v/>
      </c>
      <c r="D4" s="87" t="str">
        <f>IF(B4="", "", VLOOKUP(B4,'API Data Dictionary'!C:D,2,FALSE))</f>
        <v/>
      </c>
      <c r="E4" s="87" t="str">
        <f>IF(IF(B4="", "", VLOOKUP(B4,'API Data Dictionary'!C:E,3,FALSE))=0, "", IF(B4="", "", VLOOKUP(B4,'API Data Dictionary'!C:E,3,FALSE)))</f>
        <v/>
      </c>
      <c r="F4" s="87" t="str">
        <f>IF(IF(B4="", "", VLOOKUP(B4,'API Data Dictionary'!C:F,4,FALSE))=0, "", IF(B4="", "", VLOOKUP(B4,'API Data Dictionary'!C:F,4,FALSE)))</f>
        <v/>
      </c>
      <c r="G4" s="87" t="str">
        <f>IF(IF(B4="", "", VLOOKUP(B4,'API Data Dictionary'!C:G,5,FALSE))=0, "", IF(B4="", "", VLOOKUP(B4,'API Data Dictionary'!C:G,5,FALSE)))</f>
        <v/>
      </c>
    </row>
    <row r="5" spans="1:7" x14ac:dyDescent="0.35">
      <c r="A5" s="64" t="s">
        <v>1727</v>
      </c>
      <c r="B5" s="62" t="str">
        <f t="shared" si="0"/>
        <v>agentCode</v>
      </c>
      <c r="C5" s="62" t="str">
        <f>IF(B5="", "", VLOOKUP(B5,'API Data Dictionary'!C:L,10,FALSE))</f>
        <v>M</v>
      </c>
      <c r="D5" s="62" t="str">
        <f>IF(B5="", "", VLOOKUP(B5,'API Data Dictionary'!C:D,2,FALSE))</f>
        <v>string</v>
      </c>
      <c r="E5" s="62">
        <f>IF(IF(B5="", "", VLOOKUP(B5,'API Data Dictionary'!C:E,3,FALSE))=0, "", IF(B5="", "", VLOOKUP(B5,'API Data Dictionary'!C:E,3,FALSE)))</f>
        <v>50</v>
      </c>
      <c r="F5" s="62" t="str">
        <f>IF(IF(B5="", "", VLOOKUP(B5,'API Data Dictionary'!C:F,4,FALSE))=0, "", IF(B5="", "", VLOOKUP(B5,'API Data Dictionary'!C:F,4,FALSE)))</f>
        <v/>
      </c>
      <c r="G5" s="62" t="str">
        <f>IF(IF(B5="", "", VLOOKUP(B5,'API Data Dictionary'!C:G,5,FALSE))=0, "", IF(B5="", "", VLOOKUP(B5,'API Data Dictionary'!C:G,5,FALSE)))</f>
        <v>AgentCode is the Unique Key provided to the Agent when onboarding as a Barbon Customer.
An AgentID may be linked to many Properties being managed by that Agent and Each property may be linked to 1 or more TenancyID's.</v>
      </c>
    </row>
    <row r="6" spans="1:7" x14ac:dyDescent="0.35">
      <c r="A6" s="64" t="s">
        <v>1649</v>
      </c>
      <c r="B6" s="62" t="str">
        <f t="shared" si="0"/>
        <v>propertyTenancyId</v>
      </c>
      <c r="C6" s="62" t="s">
        <v>68</v>
      </c>
      <c r="D6" s="62" t="str">
        <f>IF(B6="", "", VLOOKUP(B6,'API Data Dictionary'!C:D,2,FALSE))</f>
        <v>integer</v>
      </c>
      <c r="E6" s="62" t="str">
        <f>IF(IF(B6="", "", VLOOKUP(B6,'API Data Dictionary'!C:E,3,FALSE))=0, "", IF(B6="", "", VLOOKUP(B6,'API Data Dictionary'!C:E,3,FALSE)))</f>
        <v/>
      </c>
      <c r="F6" s="62" t="str">
        <f>IF(IF(B6="", "", VLOOKUP(B6,'API Data Dictionary'!C:F,4,FALSE))=0, "", IF(B6="", "", VLOOKUP(B6,'API Data Dictionary'!C:F,4,FALSE)))</f>
        <v/>
      </c>
      <c r="G6" s="62" t="str">
        <f>IF(IF(B6="", "", VLOOKUP(B6,'API Data Dictionary'!C:G,5,FALSE))=0, "", IF(B6="", "", VLOOKUP(B6,'API Data Dictionary'!C:G,5,FALSE)))</f>
        <v>The ID of the property tenancy</v>
      </c>
    </row>
    <row r="7" spans="1:7" s="94" customFormat="1" ht="15" x14ac:dyDescent="0.4">
      <c r="A7" s="181" t="s">
        <v>1648</v>
      </c>
      <c r="B7" s="180" t="str">
        <f t="shared" si="0"/>
        <v>isSentTenantLink</v>
      </c>
      <c r="C7" s="180" t="s">
        <v>68</v>
      </c>
      <c r="D7" s="180" t="str">
        <f>IF(B7="", "", VLOOKUP(B7,'API Data Dictionary'!C:D,2,FALSE))</f>
        <v>boolean</v>
      </c>
      <c r="E7" s="180" t="str">
        <f>IF(IF(B7="", "", VLOOKUP(B7,'API Data Dictionary'!C:E,3,FALSE))=0, "", IF(B7="", "", VLOOKUP(B7,'API Data Dictionary'!C:E,3,FALSE)))</f>
        <v/>
      </c>
      <c r="F7" s="180" t="str">
        <f>IF(IF(B7="", "", VLOOKUP(B7,'API Data Dictionary'!C:F,4,FALSE))=0, "", IF(B7="", "", VLOOKUP(B7,'API Data Dictionary'!C:F,4,FALSE)))</f>
        <v/>
      </c>
      <c r="G7" s="180" t="str">
        <f>IF(IF(B7="", "", VLOOKUP(B7,'API Data Dictionary'!C:G,5,FALSE))=0, "", IF(B7="", "", VLOOKUP(B7,'API Data Dictionary'!C:G,5,FALSE)))</f>
        <v>Denotes whether the Tentant link is to be sent to applicant, if true, a short payload is required if false, a full data playload is required, see request example</v>
      </c>
    </row>
    <row r="8" spans="1:7" x14ac:dyDescent="0.35">
      <c r="A8" s="64" t="s">
        <v>1650</v>
      </c>
      <c r="B8" s="62" t="s">
        <v>439</v>
      </c>
      <c r="C8" s="62" t="s">
        <v>66</v>
      </c>
      <c r="D8" s="62" t="str">
        <f>IF(B8="", "", VLOOKUP(B8,'API Data Dictionary'!C:D,2,FALSE))</f>
        <v>integer</v>
      </c>
      <c r="E8" s="62" t="str">
        <f>IF(IF(B8="", "", VLOOKUP(B8,'API Data Dictionary'!C:E,3,FALSE))=0, "", IF(B8="", "", VLOOKUP(B8,'API Data Dictionary'!C:E,3,FALSE)))</f>
        <v/>
      </c>
      <c r="F8" s="62" t="str">
        <f>IF(IF(B8="", "", VLOOKUP(B8,'API Data Dictionary'!C:F,4,FALSE))=0, "", IF(B8="", "", VLOOKUP(B8,'API Data Dictionary'!C:F,4,FALSE)))</f>
        <v/>
      </c>
      <c r="G8" s="62" t="str">
        <f>IF(IF(B8="", "", VLOOKUP(B8,'API Data Dictionary'!C:G,5,FALSE))=0, "", IF(B8="", "", VLOOKUP(B8,'API Data Dictionary'!C:G,5,FALSE)))</f>
        <v>The ID of the linked applicant, can be blank as []</v>
      </c>
    </row>
    <row r="9" spans="1:7" x14ac:dyDescent="0.35">
      <c r="A9" s="64" t="s">
        <v>1651</v>
      </c>
      <c r="B9" s="62" t="str">
        <f t="shared" si="0"/>
        <v>tenantTypeId</v>
      </c>
      <c r="C9" s="62" t="str">
        <f>IF(B9="", "", VLOOKUP(B9,'API Data Dictionary'!C:L,10,FALSE))</f>
        <v>M</v>
      </c>
      <c r="D9" s="62" t="str">
        <f>IF(B9="", "", VLOOKUP(B9,'API Data Dictionary'!C:D,2,FALSE))</f>
        <v>enum - Tenant Type</v>
      </c>
      <c r="E9" s="62" t="str">
        <f>IF(IF(B9="", "", VLOOKUP(B9,'API Data Dictionary'!C:E,3,FALSE))=0, "", IF(B9="", "", VLOOKUP(B9,'API Data Dictionary'!C:E,3,FALSE)))</f>
        <v/>
      </c>
      <c r="F9" s="62" t="str">
        <f>IF(IF(B9="", "", VLOOKUP(B9,'API Data Dictionary'!C:F,4,FALSE))=0, "", IF(B9="", "", VLOOKUP(B9,'API Data Dictionary'!C:F,4,FALSE)))</f>
        <v>Valid Values 1-4 (See enum definition)</v>
      </c>
      <c r="G9" s="62" t="str">
        <f>IF(IF(B9="", "", VLOOKUP(B9,'API Data Dictionary'!C:G,5,FALSE))=0, "", IF(B9="", "", VLOOKUP(B9,'API Data Dictionary'!C:G,5,FALSE)))</f>
        <v>The Type of the Tenant, e.g. lead or Guarantor</v>
      </c>
    </row>
    <row r="10" spans="1:7" x14ac:dyDescent="0.35">
      <c r="A10" s="64" t="s">
        <v>1644</v>
      </c>
      <c r="B10" s="62" t="str">
        <f t="shared" si="0"/>
        <v>referenceType</v>
      </c>
      <c r="C10" s="62" t="str">
        <f>IF(B10="", "", VLOOKUP(B10,'API Data Dictionary'!C:L,10,FALSE))</f>
        <v>M</v>
      </c>
      <c r="D10" s="62" t="str">
        <f>IF(B10="", "", VLOOKUP(B10,'API Data Dictionary'!C:D,2,FALSE))</f>
        <v>enum - Reference Type</v>
      </c>
      <c r="E10" s="62" t="str">
        <f>IF(IF(B10="", "", VLOOKUP(B10,'API Data Dictionary'!C:E,3,FALSE))=0, "", IF(B10="", "", VLOOKUP(B10,'API Data Dictionary'!C:E,3,FALSE)))</f>
        <v/>
      </c>
      <c r="F10" s="62" t="str">
        <f>IF(IF(B10="", "", VLOOKUP(B10,'API Data Dictionary'!C:F,4,FALSE))=0, "", IF(B10="", "", VLOOKUP(B10,'API Data Dictionary'!C:F,4,FALSE)))</f>
        <v>Valid Values 1-2 (See enum definition)</v>
      </c>
      <c r="G10" s="62" t="str">
        <f>IF(IF(B10="", "", VLOOKUP(B10,'API Data Dictionary'!C:G,5,FALSE))=0, "", IF(B10="", "", VLOOKUP(B10,'API Data Dictionary'!C:G,5,FALSE)))</f>
        <v>The Type of reference, e.g Full or Express</v>
      </c>
    </row>
    <row r="11" spans="1:7" x14ac:dyDescent="0.35">
      <c r="A11" s="64" t="s">
        <v>1645</v>
      </c>
      <c r="B11" s="62" t="str">
        <f t="shared" si="0"/>
        <v>rightToRent</v>
      </c>
      <c r="C11" s="62" t="str">
        <f>IF(B11="", "", VLOOKUP(B11,'API Data Dictionary'!C:L,10,FALSE))</f>
        <v>M</v>
      </c>
      <c r="D11" s="62" t="str">
        <f>IF(B11="", "", VLOOKUP(B11,'API Data Dictionary'!C:D,2,FALSE))</f>
        <v>boolean</v>
      </c>
      <c r="E11" s="62" t="str">
        <f>IF(IF(B11="", "", VLOOKUP(B11,'API Data Dictionary'!C:E,3,FALSE))=0, "", IF(B11="", "", VLOOKUP(B11,'API Data Dictionary'!C:E,3,FALSE)))</f>
        <v/>
      </c>
      <c r="F11" s="62" t="str">
        <f>IF(IF(B11="", "", VLOOKUP(B11,'API Data Dictionary'!C:F,4,FALSE))=0, "", IF(B11="", "", VLOOKUP(B11,'API Data Dictionary'!C:F,4,FALSE)))</f>
        <v/>
      </c>
      <c r="G11" s="62" t="str">
        <f>IF(IF(B11="", "", VLOOKUP(B11,'API Data Dictionary'!C:G,5,FALSE))=0, "", IF(B11="", "", VLOOKUP(B11,'API Data Dictionary'!C:G,5,FALSE)))</f>
        <v>Use Right to rent product for this reference</v>
      </c>
    </row>
    <row r="12" spans="1:7" x14ac:dyDescent="0.35">
      <c r="A12" s="64" t="s">
        <v>1646</v>
      </c>
      <c r="B12" s="62" t="str">
        <f t="shared" si="0"/>
        <v>title</v>
      </c>
      <c r="C12" s="62" t="str">
        <f>IF(B12="", "", VLOOKUP(B12,'API Data Dictionary'!C:L,10,FALSE))</f>
        <v>M</v>
      </c>
      <c r="D12" s="62" t="str">
        <f>IF(B12="", "", VLOOKUP(B12,'API Data Dictionary'!C:D,2,FALSE))</f>
        <v>enum - Title</v>
      </c>
      <c r="E12" s="62" t="str">
        <f>IF(IF(B12="", "", VLOOKUP(B12,'API Data Dictionary'!C:E,3,FALSE))=0, "", IF(B12="", "", VLOOKUP(B12,'API Data Dictionary'!C:E,3,FALSE)))</f>
        <v/>
      </c>
      <c r="F12" s="62" t="str">
        <f>IF(IF(B12="", "", VLOOKUP(B12,'API Data Dictionary'!C:F,4,FALSE))=0, "", IF(B12="", "", VLOOKUP(B12,'API Data Dictionary'!C:F,4,FALSE)))</f>
        <v>Valid Values 1-7 (See enum definition)</v>
      </c>
      <c r="G12" s="62" t="str">
        <f>IF(IF(B12="", "", VLOOKUP(B12,'API Data Dictionary'!C:G,5,FALSE))=0, "", IF(B12="", "", VLOOKUP(B12,'API Data Dictionary'!C:G,5,FALSE)))</f>
        <v>The persons title, e.g. Mr, Mrs, etc.</v>
      </c>
    </row>
    <row r="13" spans="1:7" x14ac:dyDescent="0.35">
      <c r="A13" s="64" t="s">
        <v>1652</v>
      </c>
      <c r="B13" s="62" t="str">
        <f t="shared" si="0"/>
        <v>otherTitle</v>
      </c>
      <c r="C13" s="62" t="str">
        <f>IF(B13="", "", VLOOKUP(B13,'API Data Dictionary'!C:L,10,FALSE))</f>
        <v>X</v>
      </c>
      <c r="D13" s="62" t="str">
        <f>IF(B13="", "", VLOOKUP(B13,'API Data Dictionary'!C:D,2,FALSE))</f>
        <v>string</v>
      </c>
      <c r="E13" s="62">
        <f>IF(IF(B13="", "", VLOOKUP(B13,'API Data Dictionary'!C:E,3,FALSE))=0, "", IF(B13="", "", VLOOKUP(B13,'API Data Dictionary'!C:E,3,FALSE)))</f>
        <v>100</v>
      </c>
      <c r="F13" s="62" t="str">
        <f>IF(IF(B13="", "", VLOOKUP(B13,'API Data Dictionary'!C:F,4,FALSE))=0, "", IF(B13="", "", VLOOKUP(B13,'API Data Dictionary'!C:F,4,FALSE)))</f>
        <v/>
      </c>
      <c r="G13" s="62" t="str">
        <f>IF(IF(B13="", "", VLOOKUP(B13,'API Data Dictionary'!C:G,5,FALSE))=0, "", IF(B13="", "", VLOOKUP(B13,'API Data Dictionary'!C:G,5,FALSE)))</f>
        <v>If other is chosen for title, this is a text field to enter the specific title</v>
      </c>
    </row>
    <row r="14" spans="1:7" x14ac:dyDescent="0.35">
      <c r="A14" s="64" t="s">
        <v>1653</v>
      </c>
      <c r="B14" s="62" t="str">
        <f t="shared" si="0"/>
        <v>firstName</v>
      </c>
      <c r="C14" s="62" t="str">
        <f>IF(B14="", "", VLOOKUP(B14,'API Data Dictionary'!C:L,10,FALSE))</f>
        <v>M</v>
      </c>
      <c r="D14" s="62" t="str">
        <f>IF(B14="", "", VLOOKUP(B14,'API Data Dictionary'!C:D,2,FALSE))</f>
        <v>string</v>
      </c>
      <c r="E14" s="62">
        <f>IF(IF(B14="", "", VLOOKUP(B14,'API Data Dictionary'!C:E,3,FALSE))=0, "", IF(B14="", "", VLOOKUP(B14,'API Data Dictionary'!C:E,3,FALSE)))</f>
        <v>100</v>
      </c>
      <c r="F14" s="62" t="str">
        <f>IF(IF(B14="", "", VLOOKUP(B14,'API Data Dictionary'!C:F,4,FALSE))=0, "", IF(B14="", "", VLOOKUP(B14,'API Data Dictionary'!C:F,4,FALSE)))</f>
        <v>pattern: ^[a-zA-Z0-9\-' ]*$</v>
      </c>
      <c r="G14" s="62" t="str">
        <f>IF(IF(B14="", "", VLOOKUP(B14,'API Data Dictionary'!C:G,5,FALSE))=0, "", IF(B14="", "", VLOOKUP(B14,'API Data Dictionary'!C:G,5,FALSE)))</f>
        <v>First name, validated against the RegEx pattern</v>
      </c>
    </row>
    <row r="15" spans="1:7" x14ac:dyDescent="0.35">
      <c r="A15" s="64" t="s">
        <v>1654</v>
      </c>
      <c r="B15" s="62" t="str">
        <f t="shared" si="0"/>
        <v>middleName</v>
      </c>
      <c r="C15" s="62" t="str">
        <f>IF(B15="", "", VLOOKUP(B15,'API Data Dictionary'!C:L,10,FALSE))</f>
        <v>X</v>
      </c>
      <c r="D15" s="62" t="str">
        <f>IF(B15="", "", VLOOKUP(B15,'API Data Dictionary'!C:D,2,FALSE))</f>
        <v>string</v>
      </c>
      <c r="E15" s="62">
        <f>IF(IF(B15="", "", VLOOKUP(B15,'API Data Dictionary'!C:E,3,FALSE))=0, "", IF(B15="", "", VLOOKUP(B15,'API Data Dictionary'!C:E,3,FALSE)))</f>
        <v>50</v>
      </c>
      <c r="F15" s="62" t="str">
        <f>IF(IF(B15="", "", VLOOKUP(B15,'API Data Dictionary'!C:F,4,FALSE))=0, "", IF(B15="", "", VLOOKUP(B15,'API Data Dictionary'!C:F,4,FALSE)))</f>
        <v>pattern: ^[a-zA-Z0-9\-' ]*$</v>
      </c>
      <c r="G15" s="62" t="str">
        <f>IF(IF(B15="", "", VLOOKUP(B15,'API Data Dictionary'!C:G,5,FALSE))=0, "", IF(B15="", "", VLOOKUP(B15,'API Data Dictionary'!C:G,5,FALSE)))</f>
        <v>Middle name, validated against the RegEx pattern</v>
      </c>
    </row>
    <row r="16" spans="1:7" x14ac:dyDescent="0.35">
      <c r="A16" s="64" t="s">
        <v>1655</v>
      </c>
      <c r="B16" s="62" t="str">
        <f t="shared" si="0"/>
        <v>surname</v>
      </c>
      <c r="C16" s="62" t="str">
        <f>IF(B16="", "", VLOOKUP(B16,'API Data Dictionary'!C:L,10,FALSE))</f>
        <v>M</v>
      </c>
      <c r="D16" s="62" t="str">
        <f>IF(B16="", "", VLOOKUP(B16,'API Data Dictionary'!C:D,2,FALSE))</f>
        <v>string</v>
      </c>
      <c r="E16" s="62">
        <f>IF(IF(B16="", "", VLOOKUP(B16,'API Data Dictionary'!C:E,3,FALSE))=0, "", IF(B16="", "", VLOOKUP(B16,'API Data Dictionary'!C:E,3,FALSE)))</f>
        <v>100</v>
      </c>
      <c r="F16" s="62" t="str">
        <f>IF(IF(B16="", "", VLOOKUP(B16,'API Data Dictionary'!C:F,4,FALSE))=0, "", IF(B16="", "", VLOOKUP(B16,'API Data Dictionary'!C:F,4,FALSE)))</f>
        <v>pattern: ^[a-zA-Z0-9\-' ]*$</v>
      </c>
      <c r="G16" s="62" t="str">
        <f>IF(IF(B16="", "", VLOOKUP(B16,'API Data Dictionary'!C:G,5,FALSE))=0, "", IF(B16="", "", VLOOKUP(B16,'API Data Dictionary'!C:G,5,FALSE)))</f>
        <v>Surname name, validated against the RegEx pattern</v>
      </c>
    </row>
    <row r="17" spans="1:7" x14ac:dyDescent="0.35">
      <c r="A17" s="64" t="s">
        <v>1656</v>
      </c>
      <c r="B17" s="62" t="str">
        <f t="shared" si="0"/>
        <v>shareOfRent</v>
      </c>
      <c r="C17" s="62" t="str">
        <f>IF(B17="", "", VLOOKUP(B17,'API Data Dictionary'!C:L,10,FALSE))</f>
        <v>M</v>
      </c>
      <c r="D17" s="62" t="str">
        <f>IF(B17="", "", VLOOKUP(B17,'API Data Dictionary'!C:D,2,FALSE))</f>
        <v>number (double)</v>
      </c>
      <c r="E17" s="62" t="str">
        <f>IF(IF(B17="", "", VLOOKUP(B17,'API Data Dictionary'!C:E,3,FALSE))=0, "", IF(B17="", "", VLOOKUP(B17,'API Data Dictionary'!C:E,3,FALSE)))</f>
        <v/>
      </c>
      <c r="F17" s="62" t="str">
        <f>IF(IF(B17="", "", VLOOKUP(B17,'API Data Dictionary'!C:F,4,FALSE))=0, "", IF(B17="", "", VLOOKUP(B17,'API Data Dictionary'!C:F,4,FALSE)))</f>
        <v>pattern: ^\d*.\d{0,2}$</v>
      </c>
      <c r="G17" s="62" t="str">
        <f>IF(IF(B17="", "", VLOOKUP(B17,'API Data Dictionary'!C:G,5,FALSE))=0, "", IF(B17="", "", VLOOKUP(B17,'API Data Dictionary'!C:G,5,FALSE)))</f>
        <v>GBP value of the applicants share of the rent</v>
      </c>
    </row>
    <row r="18" spans="1:7" x14ac:dyDescent="0.35">
      <c r="A18" s="64" t="s">
        <v>1647</v>
      </c>
      <c r="B18" s="62" t="str">
        <f t="shared" si="0"/>
        <v>telephoneCountryID</v>
      </c>
      <c r="C18" s="62" t="str">
        <f>IF(B18="", "", VLOOKUP(B18,'API Data Dictionary'!C:L,10,FALSE))</f>
        <v>M</v>
      </c>
      <c r="D18" s="62" t="str">
        <f>IF(B18="", "", VLOOKUP(B18,'API Data Dictionary'!C:D,2,FALSE))</f>
        <v>enum -Country/Location Code</v>
      </c>
      <c r="E18" s="62" t="str">
        <f>IF(IF(B18="", "", VLOOKUP(B18,'API Data Dictionary'!C:E,3,FALSE))=0, "", IF(B18="", "", VLOOKUP(B18,'API Data Dictionary'!C:E,3,FALSE)))</f>
        <v/>
      </c>
      <c r="F18" s="62" t="str">
        <f>IF(IF(B18="", "", VLOOKUP(B18,'API Data Dictionary'!C:F,4,FALSE))=0, "", IF(B18="", "", VLOOKUP(B18,'API Data Dictionary'!C:F,4,FALSE)))</f>
        <v>Valid Values 1-239 (See enum definition)</v>
      </c>
      <c r="G18" s="62" t="str">
        <f>IF(IF(B18="", "", VLOOKUP(B18,'API Data Dictionary'!C:G,5,FALSE))=0, "", IF(B18="", "", VLOOKUP(B18,'API Data Dictionary'!C:G,5,FALSE)))</f>
        <v>The country/location code of the phone number</v>
      </c>
    </row>
    <row r="19" spans="1:7" x14ac:dyDescent="0.35">
      <c r="A19" s="64" t="s">
        <v>1657</v>
      </c>
      <c r="B19" s="62" t="str">
        <f t="shared" si="0"/>
        <v>contactTelephoneNo</v>
      </c>
      <c r="C19" s="62" t="str">
        <f>IF(B19="", "", VLOOKUP(B19,'API Data Dictionary'!C:L,10,FALSE))</f>
        <v>M</v>
      </c>
      <c r="D19" s="62" t="str">
        <f>IF(B19="", "", VLOOKUP(B19,'API Data Dictionary'!C:D,2,FALSE))</f>
        <v>string</v>
      </c>
      <c r="E19" s="62">
        <f>IF(IF(B19="", "", VLOOKUP(B19,'API Data Dictionary'!C:E,3,FALSE))=0, "", IF(B19="", "", VLOOKUP(B19,'API Data Dictionary'!C:E,3,FALSE)))</f>
        <v>15</v>
      </c>
      <c r="F19" s="62" t="str">
        <f>IF(IF(B19="", "", VLOOKUP(B19,'API Data Dictionary'!C:F,4,FALSE))=0, "", IF(B19="", "", VLOOKUP(B19,'API Data Dictionary'!C:F,4,FALSE)))</f>
        <v>pattern: ^(\d{11})$</v>
      </c>
      <c r="G19" s="62" t="str">
        <f>IF(IF(B19="", "", VLOOKUP(B19,'API Data Dictionary'!C:G,5,FALSE))=0, "", IF(B19="", "", VLOOKUP(B19,'API Data Dictionary'!C:G,5,FALSE)))</f>
        <v xml:space="preserve">The telephone number </v>
      </c>
    </row>
    <row r="20" spans="1:7" x14ac:dyDescent="0.35">
      <c r="A20" s="64" t="s">
        <v>1658</v>
      </c>
      <c r="B20" s="62" t="str">
        <f t="shared" si="0"/>
        <v>emailAddress</v>
      </c>
      <c r="C20" s="62" t="str">
        <f>IF(B20="", "", VLOOKUP(B20,'API Data Dictionary'!C:L,10,FALSE))</f>
        <v>M</v>
      </c>
      <c r="D20" s="62" t="str">
        <f>IF(B20="", "", VLOOKUP(B20,'API Data Dictionary'!C:D,2,FALSE))</f>
        <v>string ($email)</v>
      </c>
      <c r="E20" s="62">
        <f>IF(IF(B20="", "", VLOOKUP(B20,'API Data Dictionary'!C:E,3,FALSE))=0, "", IF(B20="", "", VLOOKUP(B20,'API Data Dictionary'!C:E,3,FALSE)))</f>
        <v>200</v>
      </c>
      <c r="F20" s="62" t="str">
        <f>IF(IF(B20="", "", VLOOKUP(B20,'API Data Dictionary'!C:F,4,FALSE))=0, "", IF(B20="", "", VLOOKUP(B20,'API Data Dictionary'!C:F,4,FALSE)))</f>
        <v>pattern: ^(?!.*\.\.)(?!.*\\_\\_)(?!.*\-\-)[a-zA-Z0-9][-a-zA-Z0-9._]+[a-zA-Z0-9]@([-a-zA-Z0-9]+.)+[a-zA-Z]{2,5}$</v>
      </c>
      <c r="G20" s="62" t="str">
        <f>IF(IF(B20="", "", VLOOKUP(B20,'API Data Dictionary'!C:G,5,FALSE))=0, "", IF(B20="", "", VLOOKUP(B20,'API Data Dictionary'!C:G,5,FALSE)))</f>
        <v>The email address</v>
      </c>
    </row>
    <row r="21" spans="1:7" x14ac:dyDescent="0.35">
      <c r="A21" s="64" t="s">
        <v>1120</v>
      </c>
      <c r="B21" s="62" t="str">
        <f t="shared" si="0"/>
        <v/>
      </c>
      <c r="C21" s="62" t="str">
        <f>IF(B21="", "", VLOOKUP(B21,'API Data Dictionary'!C:L,10,FALSE))</f>
        <v/>
      </c>
      <c r="D21" s="62" t="str">
        <f>IF(B21="", "", VLOOKUP(B21,'API Data Dictionary'!C:D,2,FALSE))</f>
        <v/>
      </c>
      <c r="E21" s="62" t="str">
        <f>IF(IF(B21="", "", VLOOKUP(B21,'API Data Dictionary'!C:E,3,FALSE))=0, "", IF(B21="", "", VLOOKUP(B21,'API Data Dictionary'!C:E,3,FALSE)))</f>
        <v/>
      </c>
      <c r="F21" s="62" t="str">
        <f>IF(IF(B21="", "", VLOOKUP(B21,'API Data Dictionary'!C:F,4,FALSE))=0, "", IF(B21="", "", VLOOKUP(B21,'API Data Dictionary'!C:F,4,FALSE)))</f>
        <v/>
      </c>
      <c r="G21" s="62" t="str">
        <f>IF(IF(B21="", "", VLOOKUP(B21,'API Data Dictionary'!C:G,5,FALSE))=0, "", IF(B21="", "", VLOOKUP(B21,'API Data Dictionary'!C:G,5,FALSE)))</f>
        <v/>
      </c>
    </row>
    <row r="22" spans="1:7" x14ac:dyDescent="0.35">
      <c r="B22" s="85" t="str">
        <f t="shared" si="0"/>
        <v/>
      </c>
      <c r="C22" s="85" t="str">
        <f>IF(B22="", "", VLOOKUP(B22,'API Data Dictionary'!C:L,10,FALSE))</f>
        <v/>
      </c>
      <c r="D22" s="85" t="str">
        <f>IF(B22="", "", VLOOKUP(B22,'API Data Dictionary'!C:D,2,FALSE))</f>
        <v/>
      </c>
      <c r="E22" s="85" t="str">
        <f>IF(IF(B22="", "", VLOOKUP(B22,'API Data Dictionary'!C:E,3,FALSE))=0, "", IF(B22="", "", VLOOKUP(B22,'API Data Dictionary'!C:E,3,FALSE)))</f>
        <v/>
      </c>
      <c r="F22" s="85" t="str">
        <f>IF(IF(B22="", "", VLOOKUP(B22,'API Data Dictionary'!C:F,4,FALSE))=0, "", IF(B22="", "", VLOOKUP(B22,'API Data Dictionary'!C:F,4,FALSE)))</f>
        <v/>
      </c>
      <c r="G22" s="85" t="str">
        <f>IF(IF(B22="", "", VLOOKUP(B22,'API Data Dictionary'!C:G,5,FALSE))=0, "", IF(B22="", "", VLOOKUP(B22,'API Data Dictionary'!C:G,5,FALSE)))</f>
        <v/>
      </c>
    </row>
    <row r="23" spans="1:7" s="94" customFormat="1" x14ac:dyDescent="0.35">
      <c r="A23" s="91" t="s">
        <v>1497</v>
      </c>
      <c r="B23" s="92" t="str">
        <f t="shared" si="0"/>
        <v/>
      </c>
      <c r="C23" s="92" t="str">
        <f>IF(B23="", "", VLOOKUP(B23,'API Data Dictionary'!C:L,10,FALSE))</f>
        <v/>
      </c>
      <c r="D23" s="92" t="str">
        <f>IF(B23="", "", VLOOKUP(B23,'API Data Dictionary'!C:D,2,FALSE))</f>
        <v/>
      </c>
      <c r="E23" s="92" t="str">
        <f>IF(IF(B23="", "", VLOOKUP(B23,'API Data Dictionary'!C:E,3,FALSE))=0, "", IF(B23="", "", VLOOKUP(B23,'API Data Dictionary'!C:E,3,FALSE)))</f>
        <v/>
      </c>
      <c r="F23" s="92" t="str">
        <f>IF(IF(B23="", "", VLOOKUP(B23,'API Data Dictionary'!C:F,4,FALSE))=0, "", IF(B23="", "", VLOOKUP(B23,'API Data Dictionary'!C:F,4,FALSE)))</f>
        <v/>
      </c>
      <c r="G23" s="93" t="str">
        <f>IF(IF(B23="", "", VLOOKUP(B23,'API Data Dictionary'!C:G,5,FALSE))=0, "", IF(B23="", "", VLOOKUP(B23,'API Data Dictionary'!C:G,5,FALSE)))</f>
        <v/>
      </c>
    </row>
    <row r="24" spans="1:7" x14ac:dyDescent="0.35">
      <c r="A24" s="86" t="s">
        <v>1094</v>
      </c>
      <c r="B24" s="87" t="str">
        <f t="shared" si="0"/>
        <v/>
      </c>
      <c r="C24" s="87" t="str">
        <f>IF(B24="", "", VLOOKUP(B24,'API Data Dictionary'!C:L,10,FALSE))</f>
        <v/>
      </c>
      <c r="D24" s="87" t="str">
        <f>IF(B24="", "", VLOOKUP(B24,'API Data Dictionary'!C:D,2,FALSE))</f>
        <v/>
      </c>
      <c r="E24" s="87" t="str">
        <f>IF(IF(B24="", "", VLOOKUP(B24,'API Data Dictionary'!C:E,3,FALSE))=0, "", IF(B24="", "", VLOOKUP(B24,'API Data Dictionary'!C:E,3,FALSE)))</f>
        <v/>
      </c>
      <c r="F24" s="87" t="str">
        <f>IF(IF(B24="", "", VLOOKUP(B24,'API Data Dictionary'!C:F,4,FALSE))=0, "", IF(B24="", "", VLOOKUP(B24,'API Data Dictionary'!C:F,4,FALSE)))</f>
        <v/>
      </c>
      <c r="G24" s="87" t="str">
        <f>IF(IF(B24="", "", VLOOKUP(B24,'API Data Dictionary'!C:G,5,FALSE))=0, "", IF(B24="", "", VLOOKUP(B24,'API Data Dictionary'!C:G,5,FALSE)))</f>
        <v/>
      </c>
    </row>
    <row r="25" spans="1:7" x14ac:dyDescent="0.35">
      <c r="A25" s="64" t="s">
        <v>1095</v>
      </c>
      <c r="B25" s="62" t="str">
        <f t="shared" si="0"/>
        <v>agentCode</v>
      </c>
      <c r="C25" s="62" t="str">
        <f>IF(B25="", "", VLOOKUP(B25,'API Data Dictionary'!C:L,10,FALSE))</f>
        <v>M</v>
      </c>
      <c r="D25" s="62" t="str">
        <f>IF(B25="", "", VLOOKUP(B25,'API Data Dictionary'!C:D,2,FALSE))</f>
        <v>string</v>
      </c>
      <c r="E25" s="62">
        <f>IF(IF(B25="", "", VLOOKUP(B25,'API Data Dictionary'!C:E,3,FALSE))=0, "", IF(B25="", "", VLOOKUP(B25,'API Data Dictionary'!C:E,3,FALSE)))</f>
        <v>50</v>
      </c>
      <c r="F25" s="62" t="str">
        <f>IF(IF(B25="", "", VLOOKUP(B25,'API Data Dictionary'!C:F,4,FALSE))=0, "", IF(B25="", "", VLOOKUP(B25,'API Data Dictionary'!C:F,4,FALSE)))</f>
        <v/>
      </c>
      <c r="G25" s="62" t="str">
        <f>IF(IF(B25="", "", VLOOKUP(B25,'API Data Dictionary'!C:G,5,FALSE))=0, "", IF(B25="", "", VLOOKUP(B25,'API Data Dictionary'!C:G,5,FALSE)))</f>
        <v>AgentCode is the Unique Key provided to the Agent when onboarding as a Barbon Customer.
An AgentID may be linked to many Properties being managed by that Agent and Each property may be linked to 1 or more TenancyID's.</v>
      </c>
    </row>
    <row r="26" spans="1:7" x14ac:dyDescent="0.35">
      <c r="A26" s="64" t="s">
        <v>1138</v>
      </c>
      <c r="B26" s="62" t="str">
        <f t="shared" si="0"/>
        <v>propertyTenancyId</v>
      </c>
      <c r="C26" s="62" t="s">
        <v>68</v>
      </c>
      <c r="D26" s="62" t="str">
        <f>IF(B26="", "", VLOOKUP(B26,'API Data Dictionary'!C:D,2,FALSE))</f>
        <v>integer</v>
      </c>
      <c r="E26" s="62" t="str">
        <f>IF(IF(B26="", "", VLOOKUP(B26,'API Data Dictionary'!C:E,3,FALSE))=0, "", IF(B26="", "", VLOOKUP(B26,'API Data Dictionary'!C:E,3,FALSE)))</f>
        <v/>
      </c>
      <c r="F26" s="62" t="str">
        <f>IF(IF(B26="", "", VLOOKUP(B26,'API Data Dictionary'!C:F,4,FALSE))=0, "", IF(B26="", "", VLOOKUP(B26,'API Data Dictionary'!C:F,4,FALSE)))</f>
        <v/>
      </c>
      <c r="G26" s="62" t="str">
        <f>IF(IF(B26="", "", VLOOKUP(B26,'API Data Dictionary'!C:G,5,FALSE))=0, "", IF(B26="", "", VLOOKUP(B26,'API Data Dictionary'!C:G,5,FALSE)))</f>
        <v>The ID of the property tenancy</v>
      </c>
    </row>
    <row r="27" spans="1:7" s="94" customFormat="1" ht="15" x14ac:dyDescent="0.4">
      <c r="A27" s="181" t="s">
        <v>1140</v>
      </c>
      <c r="B27" s="180" t="str">
        <f t="shared" si="0"/>
        <v>isSentTenantLink</v>
      </c>
      <c r="C27" s="180" t="s">
        <v>68</v>
      </c>
      <c r="D27" s="180" t="str">
        <f>IF(B27="", "", VLOOKUP(B27,'API Data Dictionary'!C:D,2,FALSE))</f>
        <v>boolean</v>
      </c>
      <c r="E27" s="180" t="str">
        <f>IF(IF(B27="", "", VLOOKUP(B27,'API Data Dictionary'!C:E,3,FALSE))=0, "", IF(B27="", "", VLOOKUP(B27,'API Data Dictionary'!C:E,3,FALSE)))</f>
        <v/>
      </c>
      <c r="F27" s="180" t="str">
        <f>IF(IF(B27="", "", VLOOKUP(B27,'API Data Dictionary'!C:F,4,FALSE))=0, "", IF(B27="", "", VLOOKUP(B27,'API Data Dictionary'!C:F,4,FALSE)))</f>
        <v/>
      </c>
      <c r="G27" s="180" t="str">
        <f>IF(IF(B27="", "", VLOOKUP(B27,'API Data Dictionary'!C:G,5,FALSE))=0, "", IF(B27="", "", VLOOKUP(B27,'API Data Dictionary'!C:G,5,FALSE)))</f>
        <v>Denotes whether the Tentant link is to be sent to applicant, if true, a short payload is required if false, a full data playload is required, see request example</v>
      </c>
    </row>
    <row r="28" spans="1:7" x14ac:dyDescent="0.35">
      <c r="A28" s="64" t="s">
        <v>1555</v>
      </c>
      <c r="B28" s="62" t="s">
        <v>439</v>
      </c>
      <c r="C28" s="62" t="s">
        <v>424</v>
      </c>
      <c r="D28" s="62" t="str">
        <f>IF(B28="", "", VLOOKUP(B28,'API Data Dictionary'!C:D,2,FALSE))</f>
        <v>integer</v>
      </c>
      <c r="E28" s="62" t="str">
        <f>IF(IF(B28="", "", VLOOKUP(B28,'API Data Dictionary'!C:E,3,FALSE))=0, "", IF(B28="", "", VLOOKUP(B28,'API Data Dictionary'!C:E,3,FALSE)))</f>
        <v/>
      </c>
      <c r="F28" s="62" t="str">
        <f>IF(IF(B28="", "", VLOOKUP(B28,'API Data Dictionary'!C:F,4,FALSE))=0, "", IF(B28="", "", VLOOKUP(B28,'API Data Dictionary'!C:F,4,FALSE)))</f>
        <v/>
      </c>
      <c r="G28" s="62" t="str">
        <f>IF(IF(B28="", "", VLOOKUP(B28,'API Data Dictionary'!C:G,5,FALSE))=0, "", IF(B28="", "", VLOOKUP(B28,'API Data Dictionary'!C:G,5,FALSE)))</f>
        <v>The ID of the linked applicant, can be blank as []</v>
      </c>
    </row>
    <row r="29" spans="1:7" x14ac:dyDescent="0.35">
      <c r="A29" s="64" t="s">
        <v>1141</v>
      </c>
      <c r="B29" s="62" t="str">
        <f t="shared" si="0"/>
        <v>tenantTypeId</v>
      </c>
      <c r="C29" s="62" t="str">
        <f>IF(B29="", "", VLOOKUP(B29,'API Data Dictionary'!C:L,10,FALSE))</f>
        <v>M</v>
      </c>
      <c r="D29" s="62" t="str">
        <f>IF(B29="", "", VLOOKUP(B29,'API Data Dictionary'!C:D,2,FALSE))</f>
        <v>enum - Tenant Type</v>
      </c>
      <c r="E29" s="62" t="str">
        <f>IF(IF(B29="", "", VLOOKUP(B29,'API Data Dictionary'!C:E,3,FALSE))=0, "", IF(B29="", "", VLOOKUP(B29,'API Data Dictionary'!C:E,3,FALSE)))</f>
        <v/>
      </c>
      <c r="F29" s="62" t="str">
        <f>IF(IF(B29="", "", VLOOKUP(B29,'API Data Dictionary'!C:F,4,FALSE))=0, "", IF(B29="", "", VLOOKUP(B29,'API Data Dictionary'!C:F,4,FALSE)))</f>
        <v>Valid Values 1-4 (See enum definition)</v>
      </c>
      <c r="G29" s="62" t="str">
        <f>IF(IF(B29="", "", VLOOKUP(B29,'API Data Dictionary'!C:G,5,FALSE))=0, "", IF(B29="", "", VLOOKUP(B29,'API Data Dictionary'!C:G,5,FALSE)))</f>
        <v>The Type of the Tenant, e.g. lead or Guarantor</v>
      </c>
    </row>
    <row r="30" spans="1:7" x14ac:dyDescent="0.35">
      <c r="A30" s="64" t="s">
        <v>1142</v>
      </c>
      <c r="B30" s="62" t="str">
        <f t="shared" si="0"/>
        <v>referenceType</v>
      </c>
      <c r="C30" s="62" t="str">
        <f>IF(B30="", "", VLOOKUP(B30,'API Data Dictionary'!C:L,10,FALSE))</f>
        <v>M</v>
      </c>
      <c r="D30" s="62" t="str">
        <f>IF(B30="", "", VLOOKUP(B30,'API Data Dictionary'!C:D,2,FALSE))</f>
        <v>enum - Reference Type</v>
      </c>
      <c r="E30" s="62" t="str">
        <f>IF(IF(B30="", "", VLOOKUP(B30,'API Data Dictionary'!C:E,3,FALSE))=0, "", IF(B30="", "", VLOOKUP(B30,'API Data Dictionary'!C:E,3,FALSE)))</f>
        <v/>
      </c>
      <c r="F30" s="62" t="str">
        <f>IF(IF(B30="", "", VLOOKUP(B30,'API Data Dictionary'!C:F,4,FALSE))=0, "", IF(B30="", "", VLOOKUP(B30,'API Data Dictionary'!C:F,4,FALSE)))</f>
        <v>Valid Values 1-2 (See enum definition)</v>
      </c>
      <c r="G30" s="62" t="str">
        <f>IF(IF(B30="", "", VLOOKUP(B30,'API Data Dictionary'!C:G,5,FALSE))=0, "", IF(B30="", "", VLOOKUP(B30,'API Data Dictionary'!C:G,5,FALSE)))</f>
        <v>The Type of reference, e.g Full or Express</v>
      </c>
    </row>
    <row r="31" spans="1:7" x14ac:dyDescent="0.35">
      <c r="A31" s="64" t="s">
        <v>1143</v>
      </c>
      <c r="B31" s="62" t="str">
        <f t="shared" si="0"/>
        <v>rightToRent</v>
      </c>
      <c r="C31" s="62" t="str">
        <f>IF(B31="", "", VLOOKUP(B31,'API Data Dictionary'!C:L,10,FALSE))</f>
        <v>M</v>
      </c>
      <c r="D31" s="62" t="str">
        <f>IF(B31="", "", VLOOKUP(B31,'API Data Dictionary'!C:D,2,FALSE))</f>
        <v>boolean</v>
      </c>
      <c r="E31" s="62" t="str">
        <f>IF(IF(B31="", "", VLOOKUP(B31,'API Data Dictionary'!C:E,3,FALSE))=0, "", IF(B31="", "", VLOOKUP(B31,'API Data Dictionary'!C:E,3,FALSE)))</f>
        <v/>
      </c>
      <c r="F31" s="62" t="str">
        <f>IF(IF(B31="", "", VLOOKUP(B31,'API Data Dictionary'!C:F,4,FALSE))=0, "", IF(B31="", "", VLOOKUP(B31,'API Data Dictionary'!C:F,4,FALSE)))</f>
        <v/>
      </c>
      <c r="G31" s="62" t="str">
        <f>IF(IF(B31="", "", VLOOKUP(B31,'API Data Dictionary'!C:G,5,FALSE))=0, "", IF(B31="", "", VLOOKUP(B31,'API Data Dictionary'!C:G,5,FALSE)))</f>
        <v>Use Right to rent product for this reference</v>
      </c>
    </row>
    <row r="32" spans="1:7" x14ac:dyDescent="0.35">
      <c r="A32" s="64" t="s">
        <v>1144</v>
      </c>
      <c r="B32" s="62" t="str">
        <f t="shared" si="0"/>
        <v>title</v>
      </c>
      <c r="C32" s="62" t="str">
        <f>IF(B32="", "", VLOOKUP(B32,'API Data Dictionary'!C:L,10,FALSE))</f>
        <v>M</v>
      </c>
      <c r="D32" s="62" t="str">
        <f>IF(B32="", "", VLOOKUP(B32,'API Data Dictionary'!C:D,2,FALSE))</f>
        <v>enum - Title</v>
      </c>
      <c r="E32" s="62" t="str">
        <f>IF(IF(B32="", "", VLOOKUP(B32,'API Data Dictionary'!C:E,3,FALSE))=0, "", IF(B32="", "", VLOOKUP(B32,'API Data Dictionary'!C:E,3,FALSE)))</f>
        <v/>
      </c>
      <c r="F32" s="62" t="str">
        <f>IF(IF(B32="", "", VLOOKUP(B32,'API Data Dictionary'!C:F,4,FALSE))=0, "", IF(B32="", "", VLOOKUP(B32,'API Data Dictionary'!C:F,4,FALSE)))</f>
        <v>Valid Values 1-7 (See enum definition)</v>
      </c>
      <c r="G32" s="62" t="str">
        <f>IF(IF(B32="", "", VLOOKUP(B32,'API Data Dictionary'!C:G,5,FALSE))=0, "", IF(B32="", "", VLOOKUP(B32,'API Data Dictionary'!C:G,5,FALSE)))</f>
        <v>The persons title, e.g. Mr, Mrs, etc.</v>
      </c>
    </row>
    <row r="33" spans="1:7" x14ac:dyDescent="0.35">
      <c r="A33" s="64" t="s">
        <v>1145</v>
      </c>
      <c r="B33" s="62" t="str">
        <f t="shared" si="0"/>
        <v>otherTitle</v>
      </c>
      <c r="C33" s="62" t="str">
        <f>IF(B33="", "", VLOOKUP(B33,'API Data Dictionary'!C:L,10,FALSE))</f>
        <v>X</v>
      </c>
      <c r="D33" s="62" t="str">
        <f>IF(B33="", "", VLOOKUP(B33,'API Data Dictionary'!C:D,2,FALSE))</f>
        <v>string</v>
      </c>
      <c r="E33" s="62">
        <f>IF(IF(B33="", "", VLOOKUP(B33,'API Data Dictionary'!C:E,3,FALSE))=0, "", IF(B33="", "", VLOOKUP(B33,'API Data Dictionary'!C:E,3,FALSE)))</f>
        <v>100</v>
      </c>
      <c r="F33" s="62" t="str">
        <f>IF(IF(B33="", "", VLOOKUP(B33,'API Data Dictionary'!C:F,4,FALSE))=0, "", IF(B33="", "", VLOOKUP(B33,'API Data Dictionary'!C:F,4,FALSE)))</f>
        <v/>
      </c>
      <c r="G33" s="62" t="str">
        <f>IF(IF(B33="", "", VLOOKUP(B33,'API Data Dictionary'!C:G,5,FALSE))=0, "", IF(B33="", "", VLOOKUP(B33,'API Data Dictionary'!C:G,5,FALSE)))</f>
        <v>If other is chosen for title, this is a text field to enter the specific title</v>
      </c>
    </row>
    <row r="34" spans="1:7" x14ac:dyDescent="0.35">
      <c r="A34" s="64" t="s">
        <v>1146</v>
      </c>
      <c r="B34" s="62" t="str">
        <f t="shared" si="0"/>
        <v>firstName</v>
      </c>
      <c r="C34" s="62" t="str">
        <f>IF(B34="", "", VLOOKUP(B34,'API Data Dictionary'!C:L,10,FALSE))</f>
        <v>M</v>
      </c>
      <c r="D34" s="62" t="str">
        <f>IF(B34="", "", VLOOKUP(B34,'API Data Dictionary'!C:D,2,FALSE))</f>
        <v>string</v>
      </c>
      <c r="E34" s="62">
        <f>IF(IF(B34="", "", VLOOKUP(B34,'API Data Dictionary'!C:E,3,FALSE))=0, "", IF(B34="", "", VLOOKUP(B34,'API Data Dictionary'!C:E,3,FALSE)))</f>
        <v>100</v>
      </c>
      <c r="F34" s="62" t="str">
        <f>IF(IF(B34="", "", VLOOKUP(B34,'API Data Dictionary'!C:F,4,FALSE))=0, "", IF(B34="", "", VLOOKUP(B34,'API Data Dictionary'!C:F,4,FALSE)))</f>
        <v>pattern: ^[a-zA-Z0-9\-' ]*$</v>
      </c>
      <c r="G34" s="62" t="str">
        <f>IF(IF(B34="", "", VLOOKUP(B34,'API Data Dictionary'!C:G,5,FALSE))=0, "", IF(B34="", "", VLOOKUP(B34,'API Data Dictionary'!C:G,5,FALSE)))</f>
        <v>First name, validated against the RegEx pattern</v>
      </c>
    </row>
    <row r="35" spans="1:7" x14ac:dyDescent="0.35">
      <c r="A35" s="64" t="s">
        <v>1147</v>
      </c>
      <c r="B35" s="62" t="str">
        <f t="shared" si="0"/>
        <v>middleName</v>
      </c>
      <c r="C35" s="62" t="str">
        <f>IF(B35="", "", VLOOKUP(B35,'API Data Dictionary'!C:L,10,FALSE))</f>
        <v>X</v>
      </c>
      <c r="D35" s="62" t="str">
        <f>IF(B35="", "", VLOOKUP(B35,'API Data Dictionary'!C:D,2,FALSE))</f>
        <v>string</v>
      </c>
      <c r="E35" s="62">
        <f>IF(IF(B35="", "", VLOOKUP(B35,'API Data Dictionary'!C:E,3,FALSE))=0, "", IF(B35="", "", VLOOKUP(B35,'API Data Dictionary'!C:E,3,FALSE)))</f>
        <v>50</v>
      </c>
      <c r="F35" s="62" t="str">
        <f>IF(IF(B35="", "", VLOOKUP(B35,'API Data Dictionary'!C:F,4,FALSE))=0, "", IF(B35="", "", VLOOKUP(B35,'API Data Dictionary'!C:F,4,FALSE)))</f>
        <v>pattern: ^[a-zA-Z0-9\-' ]*$</v>
      </c>
      <c r="G35" s="62" t="str">
        <f>IF(IF(B35="", "", VLOOKUP(B35,'API Data Dictionary'!C:G,5,FALSE))=0, "", IF(B35="", "", VLOOKUP(B35,'API Data Dictionary'!C:G,5,FALSE)))</f>
        <v>Middle name, validated against the RegEx pattern</v>
      </c>
    </row>
    <row r="36" spans="1:7" x14ac:dyDescent="0.35">
      <c r="A36" s="64" t="s">
        <v>1148</v>
      </c>
      <c r="B36" s="62" t="str">
        <f t="shared" si="0"/>
        <v>surname</v>
      </c>
      <c r="C36" s="62" t="str">
        <f>IF(B36="", "", VLOOKUP(B36,'API Data Dictionary'!C:L,10,FALSE))</f>
        <v>M</v>
      </c>
      <c r="D36" s="62" t="str">
        <f>IF(B36="", "", VLOOKUP(B36,'API Data Dictionary'!C:D,2,FALSE))</f>
        <v>string</v>
      </c>
      <c r="E36" s="62">
        <f>IF(IF(B36="", "", VLOOKUP(B36,'API Data Dictionary'!C:E,3,FALSE))=0, "", IF(B36="", "", VLOOKUP(B36,'API Data Dictionary'!C:E,3,FALSE)))</f>
        <v>100</v>
      </c>
      <c r="F36" s="62" t="str">
        <f>IF(IF(B36="", "", VLOOKUP(B36,'API Data Dictionary'!C:F,4,FALSE))=0, "", IF(B36="", "", VLOOKUP(B36,'API Data Dictionary'!C:F,4,FALSE)))</f>
        <v>pattern: ^[a-zA-Z0-9\-' ]*$</v>
      </c>
      <c r="G36" s="62" t="str">
        <f>IF(IF(B36="", "", VLOOKUP(B36,'API Data Dictionary'!C:G,5,FALSE))=0, "", IF(B36="", "", VLOOKUP(B36,'API Data Dictionary'!C:G,5,FALSE)))</f>
        <v>Surname name, validated against the RegEx pattern</v>
      </c>
    </row>
    <row r="37" spans="1:7" x14ac:dyDescent="0.35">
      <c r="A37" s="64" t="s">
        <v>1149</v>
      </c>
      <c r="B37" s="62" t="str">
        <f t="shared" si="0"/>
        <v>shareOfRent</v>
      </c>
      <c r="C37" s="62" t="str">
        <f>IF(B37="", "", VLOOKUP(B37,'API Data Dictionary'!C:L,10,FALSE))</f>
        <v>M</v>
      </c>
      <c r="D37" s="62" t="str">
        <f>IF(B37="", "", VLOOKUP(B37,'API Data Dictionary'!C:D,2,FALSE))</f>
        <v>number (double)</v>
      </c>
      <c r="E37" s="62" t="str">
        <f>IF(IF(B37="", "", VLOOKUP(B37,'API Data Dictionary'!C:E,3,FALSE))=0, "", IF(B37="", "", VLOOKUP(B37,'API Data Dictionary'!C:E,3,FALSE)))</f>
        <v/>
      </c>
      <c r="F37" s="62" t="str">
        <f>IF(IF(B37="", "", VLOOKUP(B37,'API Data Dictionary'!C:F,4,FALSE))=0, "", IF(B37="", "", VLOOKUP(B37,'API Data Dictionary'!C:F,4,FALSE)))</f>
        <v>pattern: ^\d*.\d{0,2}$</v>
      </c>
      <c r="G37" s="62" t="str">
        <f>IF(IF(B37="", "", VLOOKUP(B37,'API Data Dictionary'!C:G,5,FALSE))=0, "", IF(B37="", "", VLOOKUP(B37,'API Data Dictionary'!C:G,5,FALSE)))</f>
        <v>GBP value of the applicants share of the rent</v>
      </c>
    </row>
    <row r="38" spans="1:7" x14ac:dyDescent="0.35">
      <c r="A38" s="64" t="s">
        <v>1150</v>
      </c>
      <c r="B38" s="62" t="str">
        <f t="shared" si="0"/>
        <v>telephoneCountryID</v>
      </c>
      <c r="C38" s="62" t="str">
        <f>IF(B38="", "", VLOOKUP(B38,'API Data Dictionary'!C:L,10,FALSE))</f>
        <v>M</v>
      </c>
      <c r="D38" s="62" t="str">
        <f>IF(B38="", "", VLOOKUP(B38,'API Data Dictionary'!C:D,2,FALSE))</f>
        <v>enum -Country/Location Code</v>
      </c>
      <c r="E38" s="62" t="str">
        <f>IF(IF(B38="", "", VLOOKUP(B38,'API Data Dictionary'!C:E,3,FALSE))=0, "", IF(B38="", "", VLOOKUP(B38,'API Data Dictionary'!C:E,3,FALSE)))</f>
        <v/>
      </c>
      <c r="F38" s="62" t="str">
        <f>IF(IF(B38="", "", VLOOKUP(B38,'API Data Dictionary'!C:F,4,FALSE))=0, "", IF(B38="", "", VLOOKUP(B38,'API Data Dictionary'!C:F,4,FALSE)))</f>
        <v>Valid Values 1-239 (See enum definition)</v>
      </c>
      <c r="G38" s="62" t="str">
        <f>IF(IF(B38="", "", VLOOKUP(B38,'API Data Dictionary'!C:G,5,FALSE))=0, "", IF(B38="", "", VLOOKUP(B38,'API Data Dictionary'!C:G,5,FALSE)))</f>
        <v>The country/location code of the phone number</v>
      </c>
    </row>
    <row r="39" spans="1:7" x14ac:dyDescent="0.35">
      <c r="A39" s="64" t="s">
        <v>1151</v>
      </c>
      <c r="B39" s="62" t="str">
        <f t="shared" si="0"/>
        <v>contactTelephoneNo</v>
      </c>
      <c r="C39" s="62" t="str">
        <f>IF(B39="", "", VLOOKUP(B39,'API Data Dictionary'!C:L,10,FALSE))</f>
        <v>M</v>
      </c>
      <c r="D39" s="62" t="str">
        <f>IF(B39="", "", VLOOKUP(B39,'API Data Dictionary'!C:D,2,FALSE))</f>
        <v>string</v>
      </c>
      <c r="E39" s="62">
        <f>IF(IF(B39="", "", VLOOKUP(B39,'API Data Dictionary'!C:E,3,FALSE))=0, "", IF(B39="", "", VLOOKUP(B39,'API Data Dictionary'!C:E,3,FALSE)))</f>
        <v>15</v>
      </c>
      <c r="F39" s="62" t="str">
        <f>IF(IF(B39="", "", VLOOKUP(B39,'API Data Dictionary'!C:F,4,FALSE))=0, "", IF(B39="", "", VLOOKUP(B39,'API Data Dictionary'!C:F,4,FALSE)))</f>
        <v>pattern: ^(\d{11})$</v>
      </c>
      <c r="G39" s="62" t="str">
        <f>IF(IF(B39="", "", VLOOKUP(B39,'API Data Dictionary'!C:G,5,FALSE))=0, "", IF(B39="", "", VLOOKUP(B39,'API Data Dictionary'!C:G,5,FALSE)))</f>
        <v xml:space="preserve">The telephone number </v>
      </c>
    </row>
    <row r="40" spans="1:7" x14ac:dyDescent="0.35">
      <c r="A40" s="64" t="s">
        <v>1152</v>
      </c>
      <c r="B40" s="62" t="str">
        <f t="shared" si="0"/>
        <v>emailAddress</v>
      </c>
      <c r="C40" s="62" t="str">
        <f>IF(B40="", "", VLOOKUP(B40,'API Data Dictionary'!C:L,10,FALSE))</f>
        <v>M</v>
      </c>
      <c r="D40" s="62" t="str">
        <f>IF(B40="", "", VLOOKUP(B40,'API Data Dictionary'!C:D,2,FALSE))</f>
        <v>string ($email)</v>
      </c>
      <c r="E40" s="62">
        <f>IF(IF(B40="", "", VLOOKUP(B40,'API Data Dictionary'!C:E,3,FALSE))=0, "", IF(B40="", "", VLOOKUP(B40,'API Data Dictionary'!C:E,3,FALSE)))</f>
        <v>200</v>
      </c>
      <c r="F40" s="62" t="str">
        <f>IF(IF(B40="", "", VLOOKUP(B40,'API Data Dictionary'!C:F,4,FALSE))=0, "", IF(B40="", "", VLOOKUP(B40,'API Data Dictionary'!C:F,4,FALSE)))</f>
        <v>pattern: ^(?!.*\.\.)(?!.*\\_\\_)(?!.*\-\-)[a-zA-Z0-9][-a-zA-Z0-9._]+[a-zA-Z0-9]@([-a-zA-Z0-9]+.)+[a-zA-Z]{2,5}$</v>
      </c>
      <c r="G40" s="62" t="str">
        <f>IF(IF(B40="", "", VLOOKUP(B40,'API Data Dictionary'!C:G,5,FALSE))=0, "", IF(B40="", "", VLOOKUP(B40,'API Data Dictionary'!C:G,5,FALSE)))</f>
        <v>The email address</v>
      </c>
    </row>
    <row r="41" spans="1:7" x14ac:dyDescent="0.35">
      <c r="A41" s="64" t="s">
        <v>1153</v>
      </c>
      <c r="B41" s="62" t="str">
        <f t="shared" si="0"/>
        <v>dateOfBirth</v>
      </c>
      <c r="C41" s="62" t="s">
        <v>68</v>
      </c>
      <c r="D41" s="62" t="str">
        <f>IF(B41="", "", VLOOKUP(B41,'API Data Dictionary'!C:D,2,FALSE))</f>
        <v>string ($date-time)</v>
      </c>
      <c r="E41" s="62" t="str">
        <f>IF(IF(B41="", "", VLOOKUP(B41,'API Data Dictionary'!C:E,3,FALSE))=0, "", IF(B41="", "", VLOOKUP(B41,'API Data Dictionary'!C:E,3,FALSE)))</f>
        <v/>
      </c>
      <c r="F41" s="62" t="str">
        <f>IF(IF(B41="", "", VLOOKUP(B41,'API Data Dictionary'!C:F,4,FALSE))=0, "", IF(B41="", "", VLOOKUP(B41,'API Data Dictionary'!C:F,4,FALSE)))</f>
        <v>DD/MM/YYYY</v>
      </c>
      <c r="G41" s="62" t="str">
        <f>IF(IF(B41="", "", VLOOKUP(B41,'API Data Dictionary'!C:G,5,FALSE))=0, "", IF(B41="", "", VLOOKUP(B41,'API Data Dictionary'!C:G,5,FALSE)))</f>
        <v>The date of birth, formatted DD-MM-YYYY</v>
      </c>
    </row>
    <row r="42" spans="1:7" x14ac:dyDescent="0.35">
      <c r="A42" s="64" t="s">
        <v>1154</v>
      </c>
      <c r="B42" s="62" t="str">
        <f t="shared" si="0"/>
        <v>mobileCountryId</v>
      </c>
      <c r="C42" s="62" t="s">
        <v>68</v>
      </c>
      <c r="D42" s="62" t="str">
        <f>IF(B42="", "", VLOOKUP(B42,'API Data Dictionary'!C:D,2,FALSE))</f>
        <v>enum -Country/Location Code</v>
      </c>
      <c r="E42" s="62" t="str">
        <f>IF(IF(B42="", "", VLOOKUP(B42,'API Data Dictionary'!C:E,3,FALSE))=0, "", IF(B42="", "", VLOOKUP(B42,'API Data Dictionary'!C:E,3,FALSE)))</f>
        <v/>
      </c>
      <c r="F42" s="62" t="str">
        <f>IF(IF(B42="", "", VLOOKUP(B42,'API Data Dictionary'!C:F,4,FALSE))=0, "", IF(B42="", "", VLOOKUP(B42,'API Data Dictionary'!C:F,4,FALSE)))</f>
        <v>Valid Values 1-239 (See enum definition)</v>
      </c>
      <c r="G42" s="62" t="str">
        <f>IF(IF(B42="", "", VLOOKUP(B42,'API Data Dictionary'!C:G,5,FALSE))=0, "", IF(B42="", "", VLOOKUP(B42,'API Data Dictionary'!C:G,5,FALSE)))</f>
        <v>The country/location code of the mobile phone number</v>
      </c>
    </row>
    <row r="43" spans="1:7" x14ac:dyDescent="0.35">
      <c r="A43" s="64" t="s">
        <v>1155</v>
      </c>
      <c r="B43" s="62" t="str">
        <f t="shared" si="0"/>
        <v>mobileNumber</v>
      </c>
      <c r="C43" s="62" t="s">
        <v>68</v>
      </c>
      <c r="D43" s="62" t="str">
        <f>IF(B43="", "", VLOOKUP(B43,'API Data Dictionary'!C:D,2,FALSE))</f>
        <v>string</v>
      </c>
      <c r="E43" s="62">
        <f>IF(IF(B43="", "", VLOOKUP(B43,'API Data Dictionary'!C:E,3,FALSE))=0, "", IF(B43="", "", VLOOKUP(B43,'API Data Dictionary'!C:E,3,FALSE)))</f>
        <v>15</v>
      </c>
      <c r="F43" s="62" t="str">
        <f>IF(IF(B43="", "", VLOOKUP(B43,'API Data Dictionary'!C:F,4,FALSE))=0, "", IF(B43="", "", VLOOKUP(B43,'API Data Dictionary'!C:F,4,FALSE)))</f>
        <v>pattern: ^(\d{11})$</v>
      </c>
      <c r="G43" s="62" t="str">
        <f>IF(IF(B43="", "", VLOOKUP(B43,'API Data Dictionary'!C:G,5,FALSE))=0, "", IF(B43="", "", VLOOKUP(B43,'API Data Dictionary'!C:G,5,FALSE)))</f>
        <v>The mobile phone number</v>
      </c>
    </row>
    <row r="44" spans="1:7" x14ac:dyDescent="0.35">
      <c r="A44" s="64" t="s">
        <v>1156</v>
      </c>
      <c r="B44" s="62" t="str">
        <f t="shared" si="0"/>
        <v>nationality</v>
      </c>
      <c r="C44" s="62" t="s">
        <v>68</v>
      </c>
      <c r="D44" s="62" t="str">
        <f>IF(B44="", "", VLOOKUP(B44,'API Data Dictionary'!C:D,2,FALSE))</f>
        <v>enum - Nationality</v>
      </c>
      <c r="E44" s="62" t="str">
        <f>IF(IF(B44="", "", VLOOKUP(B44,'API Data Dictionary'!C:E,3,FALSE))=0, "", IF(B44="", "", VLOOKUP(B44,'API Data Dictionary'!C:E,3,FALSE)))</f>
        <v/>
      </c>
      <c r="F44" s="62" t="str">
        <f>IF(IF(B44="", "", VLOOKUP(B44,'API Data Dictionary'!C:F,4,FALSE))=0, "", IF(B44="", "", VLOOKUP(B44,'API Data Dictionary'!C:F,4,FALSE)))</f>
        <v>Valid Values 1-231 (See enum definition)</v>
      </c>
      <c r="G44" s="62" t="str">
        <f>IF(IF(B44="", "", VLOOKUP(B44,'API Data Dictionary'!C:G,5,FALSE))=0, "", IF(B44="", "", VLOOKUP(B44,'API Data Dictionary'!C:G,5,FALSE)))</f>
        <v>The nationality, from the nationality enum list</v>
      </c>
    </row>
    <row r="45" spans="1:7" x14ac:dyDescent="0.35">
      <c r="A45" s="64" t="s">
        <v>1157</v>
      </c>
      <c r="B45" s="62" t="str">
        <f t="shared" si="0"/>
        <v>niNumber</v>
      </c>
      <c r="C45" s="62" t="s">
        <v>68</v>
      </c>
      <c r="D45" s="62" t="str">
        <f>IF(B45="", "", VLOOKUP(B45,'API Data Dictionary'!C:D,2,FALSE))</f>
        <v>string</v>
      </c>
      <c r="E45" s="62">
        <f>IF(IF(B45="", "", VLOOKUP(B45,'API Data Dictionary'!C:E,3,FALSE))=0, "", IF(B45="", "", VLOOKUP(B45,'API Data Dictionary'!C:E,3,FALSE)))</f>
        <v>100</v>
      </c>
      <c r="F45" s="62" t="str">
        <f>IF(IF(B45="", "", VLOOKUP(B45,'API Data Dictionary'!C:F,4,FALSE))=0, "", IF(B45="", "", VLOOKUP(B45,'API Data Dictionary'!C:F,4,FALSE)))</f>
        <v>pattern: ^[a-zA-Z]{2}(?:\d){6}[a-zA-Z]{1}$</v>
      </c>
      <c r="G45" s="62" t="str">
        <f>IF(IF(B45="", "", VLOOKUP(B45,'API Data Dictionary'!C:G,5,FALSE))=0, "", IF(B45="", "", VLOOKUP(B45,'API Data Dictionary'!C:G,5,FALSE)))</f>
        <v>NI Number, matched to RegEx pattern</v>
      </c>
    </row>
    <row r="46" spans="1:7" x14ac:dyDescent="0.35">
      <c r="A46" s="64" t="s">
        <v>1158</v>
      </c>
      <c r="B46" s="62" t="str">
        <f t="shared" si="0"/>
        <v>residentStatus</v>
      </c>
      <c r="C46" s="62" t="s">
        <v>68</v>
      </c>
      <c r="D46" s="62" t="str">
        <f>IF(B46="", "", VLOOKUP(B46,'API Data Dictionary'!C:D,2,FALSE))</f>
        <v xml:space="preserve">enum - resident Status	</v>
      </c>
      <c r="E46" s="62" t="str">
        <f>IF(IF(B46="", "", VLOOKUP(B46,'API Data Dictionary'!C:E,3,FALSE))=0, "", IF(B46="", "", VLOOKUP(B46,'API Data Dictionary'!C:E,3,FALSE)))</f>
        <v/>
      </c>
      <c r="F46" s="62" t="str">
        <f>IF(IF(B46="", "", VLOOKUP(B46,'API Data Dictionary'!C:F,4,FALSE))=0, "", IF(B46="", "", VLOOKUP(B46,'API Data Dictionary'!C:F,4,FALSE)))</f>
        <v>Valid Values 1-2 (See enum definition)</v>
      </c>
      <c r="G46" s="62" t="str">
        <f>IF(IF(B46="", "", VLOOKUP(B46,'API Data Dictionary'!C:G,5,FALSE))=0, "", IF(B46="", "", VLOOKUP(B46,'API Data Dictionary'!C:G,5,FALSE)))</f>
        <v>Denotes the resident status e.g. UK resident</v>
      </c>
    </row>
    <row r="47" spans="1:7" x14ac:dyDescent="0.35">
      <c r="A47" s="64" t="s">
        <v>1159</v>
      </c>
      <c r="B47" s="62" t="str">
        <f t="shared" si="0"/>
        <v>additionalInformation</v>
      </c>
      <c r="C47" s="62" t="s">
        <v>68</v>
      </c>
      <c r="D47" s="62" t="str">
        <f>IF(B47="", "", VLOOKUP(B47,'API Data Dictionary'!C:D,2,FALSE))</f>
        <v>string</v>
      </c>
      <c r="E47" s="62">
        <f>IF(IF(B47="", "", VLOOKUP(B47,'API Data Dictionary'!C:E,3,FALSE))=0, "", IF(B47="", "", VLOOKUP(B47,'API Data Dictionary'!C:E,3,FALSE)))</f>
        <v>65535</v>
      </c>
      <c r="F47" s="62" t="str">
        <f>IF(IF(B47="", "", VLOOKUP(B47,'API Data Dictionary'!C:F,4,FALSE))=0, "", IF(B47="", "", VLOOKUP(B47,'API Data Dictionary'!C:F,4,FALSE)))</f>
        <v/>
      </c>
      <c r="G47" s="62" t="str">
        <f>IF(IF(B47="", "", VLOOKUP(B47,'API Data Dictionary'!C:G,5,FALSE))=0, "", IF(B47="", "", VLOOKUP(B47,'API Data Dictionary'!C:G,5,FALSE)))</f>
        <v>Free text field for additional information</v>
      </c>
    </row>
    <row r="48" spans="1:7" x14ac:dyDescent="0.35">
      <c r="A48" s="64" t="s">
        <v>1160</v>
      </c>
      <c r="B48" s="62" t="str">
        <f t="shared" si="0"/>
        <v>isAdvanceRent</v>
      </c>
      <c r="C48" s="62" t="s">
        <v>68</v>
      </c>
      <c r="D48" s="62" t="str">
        <f>IF(B48="", "", VLOOKUP(B48,'API Data Dictionary'!C:D,2,FALSE))</f>
        <v>boolean</v>
      </c>
      <c r="E48" s="62" t="str">
        <f>IF(IF(B48="", "", VLOOKUP(B48,'API Data Dictionary'!C:E,3,FALSE))=0, "", IF(B48="", "", VLOOKUP(B48,'API Data Dictionary'!C:E,3,FALSE)))</f>
        <v/>
      </c>
      <c r="F48" s="62" t="str">
        <f>IF(IF(B48="", "", VLOOKUP(B48,'API Data Dictionary'!C:F,4,FALSE))=0, "", IF(B48="", "", VLOOKUP(B48,'API Data Dictionary'!C:F,4,FALSE)))</f>
        <v/>
      </c>
      <c r="G48" s="62" t="str">
        <f>IF(IF(B48="", "", VLOOKUP(B48,'API Data Dictionary'!C:G,5,FALSE))=0, "", IF(B48="", "", VLOOKUP(B48,'API Data Dictionary'!C:G,5,FALSE)))</f>
        <v>Denotes whether rent is paid in advance</v>
      </c>
    </row>
    <row r="49" spans="1:7" x14ac:dyDescent="0.35">
      <c r="A49" s="64" t="s">
        <v>1161</v>
      </c>
      <c r="B49" s="62" t="str">
        <f t="shared" si="0"/>
        <v/>
      </c>
      <c r="C49" s="62" t="str">
        <f>IF(B49="", "", VLOOKUP(B49,'API Data Dictionary'!C:L,10,FALSE))</f>
        <v/>
      </c>
      <c r="D49" s="62" t="str">
        <f>IF(B49="", "", VLOOKUP(B49,'API Data Dictionary'!C:D,2,FALSE))</f>
        <v/>
      </c>
      <c r="E49" s="62" t="str">
        <f>IF(IF(B49="", "", VLOOKUP(B49,'API Data Dictionary'!C:E,3,FALSE))=0, "", IF(B49="", "", VLOOKUP(B49,'API Data Dictionary'!C:E,3,FALSE)))</f>
        <v/>
      </c>
      <c r="F49" s="62" t="str">
        <f>IF(IF(B49="", "", VLOOKUP(B49,'API Data Dictionary'!C:F,4,FALSE))=0, "", IF(B49="", "", VLOOKUP(B49,'API Data Dictionary'!C:F,4,FALSE)))</f>
        <v/>
      </c>
      <c r="G49" s="62" t="str">
        <f>IF(IF(B49="", "", VLOOKUP(B49,'API Data Dictionary'!C:G,5,FALSE))=0, "", IF(B49="", "", VLOOKUP(B49,'API Data Dictionary'!C:G,5,FALSE)))</f>
        <v/>
      </c>
    </row>
    <row r="50" spans="1:7" x14ac:dyDescent="0.35">
      <c r="A50" s="64" t="s">
        <v>1107</v>
      </c>
      <c r="B50" s="62" t="str">
        <f t="shared" si="0"/>
        <v/>
      </c>
      <c r="C50" s="62" t="str">
        <f>IF(B50="", "", VLOOKUP(B50,'API Data Dictionary'!C:L,10,FALSE))</f>
        <v/>
      </c>
      <c r="D50" s="62" t="str">
        <f>IF(B50="", "", VLOOKUP(B50,'API Data Dictionary'!C:D,2,FALSE))</f>
        <v/>
      </c>
      <c r="E50" s="62" t="str">
        <f>IF(IF(B50="", "", VLOOKUP(B50,'API Data Dictionary'!C:E,3,FALSE))=0, "", IF(B50="", "", VLOOKUP(B50,'API Data Dictionary'!C:E,3,FALSE)))</f>
        <v/>
      </c>
      <c r="F50" s="62" t="str">
        <f>IF(IF(B50="", "", VLOOKUP(B50,'API Data Dictionary'!C:F,4,FALSE))=0, "", IF(B50="", "", VLOOKUP(B50,'API Data Dictionary'!C:F,4,FALSE)))</f>
        <v/>
      </c>
      <c r="G50" s="62" t="str">
        <f>IF(IF(B50="", "", VLOOKUP(B50,'API Data Dictionary'!C:G,5,FALSE))=0, "", IF(B50="", "", VLOOKUP(B50,'API Data Dictionary'!C:G,5,FALSE)))</f>
        <v/>
      </c>
    </row>
    <row r="51" spans="1:7" x14ac:dyDescent="0.35">
      <c r="A51" s="64" t="s">
        <v>1112</v>
      </c>
      <c r="B51" s="62" t="str">
        <f t="shared" si="0"/>
        <v>firstName</v>
      </c>
      <c r="C51" s="62" t="str">
        <f>IF(B51="", "", VLOOKUP(B51,'API Data Dictionary'!C:L,10,FALSE))</f>
        <v>M</v>
      </c>
      <c r="D51" s="62" t="str">
        <f>IF(B51="", "", VLOOKUP(B51,'API Data Dictionary'!C:D,2,FALSE))</f>
        <v>string</v>
      </c>
      <c r="E51" s="62">
        <f>IF(IF(B51="", "", VLOOKUP(B51,'API Data Dictionary'!C:E,3,FALSE))=0, "", IF(B51="", "", VLOOKUP(B51,'API Data Dictionary'!C:E,3,FALSE)))</f>
        <v>100</v>
      </c>
      <c r="F51" s="62" t="str">
        <f>IF(IF(B51="", "", VLOOKUP(B51,'API Data Dictionary'!C:F,4,FALSE))=0, "", IF(B51="", "", VLOOKUP(B51,'API Data Dictionary'!C:F,4,FALSE)))</f>
        <v>pattern: ^[a-zA-Z0-9\-' ]*$</v>
      </c>
      <c r="G51" s="62" t="str">
        <f>IF(IF(B51="", "", VLOOKUP(B51,'API Data Dictionary'!C:G,5,FALSE))=0, "", IF(B51="", "", VLOOKUP(B51,'API Data Dictionary'!C:G,5,FALSE)))</f>
        <v>First name, validated against the RegEx pattern</v>
      </c>
    </row>
    <row r="52" spans="1:7" x14ac:dyDescent="0.35">
      <c r="A52" s="64" t="s">
        <v>1113</v>
      </c>
      <c r="B52" s="62" t="str">
        <f t="shared" si="0"/>
        <v>middleName</v>
      </c>
      <c r="C52" s="62" t="str">
        <f>IF(B52="", "", VLOOKUP(B52,'API Data Dictionary'!C:L,10,FALSE))</f>
        <v>X</v>
      </c>
      <c r="D52" s="62" t="str">
        <f>IF(B52="", "", VLOOKUP(B52,'API Data Dictionary'!C:D,2,FALSE))</f>
        <v>string</v>
      </c>
      <c r="E52" s="62">
        <f>IF(IF(B52="", "", VLOOKUP(B52,'API Data Dictionary'!C:E,3,FALSE))=0, "", IF(B52="", "", VLOOKUP(B52,'API Data Dictionary'!C:E,3,FALSE)))</f>
        <v>50</v>
      </c>
      <c r="F52" s="62" t="str">
        <f>IF(IF(B52="", "", VLOOKUP(B52,'API Data Dictionary'!C:F,4,FALSE))=0, "", IF(B52="", "", VLOOKUP(B52,'API Data Dictionary'!C:F,4,FALSE)))</f>
        <v>pattern: ^[a-zA-Z0-9\-' ]*$</v>
      </c>
      <c r="G52" s="62" t="str">
        <f>IF(IF(B52="", "", VLOOKUP(B52,'API Data Dictionary'!C:G,5,FALSE))=0, "", IF(B52="", "", VLOOKUP(B52,'API Data Dictionary'!C:G,5,FALSE)))</f>
        <v>Middle name, validated against the RegEx pattern</v>
      </c>
    </row>
    <row r="53" spans="1:7" x14ac:dyDescent="0.35">
      <c r="A53" s="64" t="s">
        <v>1162</v>
      </c>
      <c r="B53" s="62" t="str">
        <f t="shared" si="0"/>
        <v>lastName</v>
      </c>
      <c r="C53" s="62" t="s">
        <v>68</v>
      </c>
      <c r="D53" s="62" t="str">
        <f>IF(B53="", "", VLOOKUP(B53,'API Data Dictionary'!C:D,2,FALSE))</f>
        <v>string</v>
      </c>
      <c r="E53" s="62">
        <f>IF(IF(B53="", "", VLOOKUP(B53,'API Data Dictionary'!C:E,3,FALSE))=0, "", IF(B53="", "", VLOOKUP(B53,'API Data Dictionary'!C:E,3,FALSE)))</f>
        <v>100</v>
      </c>
      <c r="F53" s="62" t="str">
        <f>IF(IF(B53="", "", VLOOKUP(B53,'API Data Dictionary'!C:F,4,FALSE))=0, "", IF(B53="", "", VLOOKUP(B53,'API Data Dictionary'!C:F,4,FALSE)))</f>
        <v>pattern: ^[a-zA-Z0-9\-' ]*$</v>
      </c>
      <c r="G53" s="62" t="str">
        <f>IF(IF(B53="", "", VLOOKUP(B53,'API Data Dictionary'!C:G,5,FALSE))=0, "", IF(B53="", "", VLOOKUP(B53,'API Data Dictionary'!C:G,5,FALSE)))</f>
        <v>Surname name, validated against the RegEx pattern</v>
      </c>
    </row>
    <row r="54" spans="1:7" x14ac:dyDescent="0.35">
      <c r="A54" s="64" t="s">
        <v>1163</v>
      </c>
      <c r="B54" s="62" t="str">
        <f t="shared" si="0"/>
        <v>nameChangeDate</v>
      </c>
      <c r="C54" s="62" t="s">
        <v>68</v>
      </c>
      <c r="D54" s="62" t="str">
        <f>IF(B54="", "", VLOOKUP(B54,'API Data Dictionary'!C:D,2,FALSE))</f>
        <v>string ($date-time)</v>
      </c>
      <c r="E54" s="62" t="str">
        <f>IF(IF(B54="", "", VLOOKUP(B54,'API Data Dictionary'!C:E,3,FALSE))=0, "", IF(B54="", "", VLOOKUP(B54,'API Data Dictionary'!C:E,3,FALSE)))</f>
        <v/>
      </c>
      <c r="F54" s="62" t="str">
        <f>IF(IF(B54="", "", VLOOKUP(B54,'API Data Dictionary'!C:F,4,FALSE))=0, "", IF(B54="", "", VLOOKUP(B54,'API Data Dictionary'!C:F,4,FALSE)))</f>
        <v>DD/MM/YYYY</v>
      </c>
      <c r="G54" s="62" t="str">
        <f>IF(IF(B54="", "", VLOOKUP(B54,'API Data Dictionary'!C:G,5,FALSE))=0, "", IF(B54="", "", VLOOKUP(B54,'API Data Dictionary'!C:G,5,FALSE)))</f>
        <v>Date the name was changed, formatted DD/MM/YYYY</v>
      </c>
    </row>
    <row r="55" spans="1:7" x14ac:dyDescent="0.35">
      <c r="A55" s="64" t="s">
        <v>1118</v>
      </c>
      <c r="B55" s="62" t="str">
        <f t="shared" si="0"/>
        <v/>
      </c>
      <c r="C55" s="62" t="str">
        <f>IF(B55="", "", VLOOKUP(B55,'API Data Dictionary'!C:L,10,FALSE))</f>
        <v/>
      </c>
      <c r="D55" s="62" t="str">
        <f>IF(B55="", "", VLOOKUP(B55,'API Data Dictionary'!C:D,2,FALSE))</f>
        <v/>
      </c>
      <c r="E55" s="62" t="str">
        <f>IF(IF(B55="", "", VLOOKUP(B55,'API Data Dictionary'!C:E,3,FALSE))=0, "", IF(B55="", "", VLOOKUP(B55,'API Data Dictionary'!C:E,3,FALSE)))</f>
        <v/>
      </c>
      <c r="F55" s="62" t="str">
        <f>IF(IF(B55="", "", VLOOKUP(B55,'API Data Dictionary'!C:F,4,FALSE))=0, "", IF(B55="", "", VLOOKUP(B55,'API Data Dictionary'!C:F,4,FALSE)))</f>
        <v/>
      </c>
      <c r="G55" s="62" t="str">
        <f>IF(IF(B55="", "", VLOOKUP(B55,'API Data Dictionary'!C:G,5,FALSE))=0, "", IF(B55="", "", VLOOKUP(B55,'API Data Dictionary'!C:G,5,FALSE)))</f>
        <v/>
      </c>
    </row>
    <row r="56" spans="1:7" x14ac:dyDescent="0.35">
      <c r="A56" s="64" t="s">
        <v>1139</v>
      </c>
      <c r="B56" s="62" t="str">
        <f t="shared" ref="B56:B119" si="1">IF(OR(ISNUMBER(SEARCH("{", A56)),ISNUMBER(SEARCH("[", A56))), "", IFERROR(MID(A56, SEARCH("""", A56) +1, SEARCH("""", A56, SEARCH("""",A56) +1) - SEARCH("""", A56) -1), ""))</f>
        <v/>
      </c>
      <c r="C56" s="62" t="str">
        <f>IF(B56="", "", VLOOKUP(B56,'API Data Dictionary'!C:L,10,FALSE))</f>
        <v/>
      </c>
      <c r="D56" s="62" t="str">
        <f>IF(B56="", "", VLOOKUP(B56,'API Data Dictionary'!C:D,2,FALSE))</f>
        <v/>
      </c>
      <c r="E56" s="62" t="str">
        <f>IF(IF(B56="", "", VLOOKUP(B56,'API Data Dictionary'!C:E,3,FALSE))=0, "", IF(B56="", "", VLOOKUP(B56,'API Data Dictionary'!C:E,3,FALSE)))</f>
        <v/>
      </c>
      <c r="F56" s="62" t="str">
        <f>IF(IF(B56="", "", VLOOKUP(B56,'API Data Dictionary'!C:F,4,FALSE))=0, "", IF(B56="", "", VLOOKUP(B56,'API Data Dictionary'!C:F,4,FALSE)))</f>
        <v/>
      </c>
      <c r="G56" s="62" t="str">
        <f>IF(IF(B56="", "", VLOOKUP(B56,'API Data Dictionary'!C:G,5,FALSE))=0, "", IF(B56="", "", VLOOKUP(B56,'API Data Dictionary'!C:G,5,FALSE)))</f>
        <v/>
      </c>
    </row>
    <row r="57" spans="1:7" x14ac:dyDescent="0.35">
      <c r="A57" s="64" t="s">
        <v>1164</v>
      </c>
      <c r="B57" s="62" t="str">
        <f t="shared" si="1"/>
        <v/>
      </c>
      <c r="C57" s="62" t="str">
        <f>IF(B57="", "", VLOOKUP(B57,'API Data Dictionary'!C:L,10,FALSE))</f>
        <v/>
      </c>
      <c r="D57" s="62" t="str">
        <f>IF(B57="", "", VLOOKUP(B57,'API Data Dictionary'!C:D,2,FALSE))</f>
        <v/>
      </c>
      <c r="E57" s="62" t="str">
        <f>IF(IF(B57="", "", VLOOKUP(B57,'API Data Dictionary'!C:E,3,FALSE))=0, "", IF(B57="", "", VLOOKUP(B57,'API Data Dictionary'!C:E,3,FALSE)))</f>
        <v/>
      </c>
      <c r="F57" s="62" t="str">
        <f>IF(IF(B57="", "", VLOOKUP(B57,'API Data Dictionary'!C:F,4,FALSE))=0, "", IF(B57="", "", VLOOKUP(B57,'API Data Dictionary'!C:F,4,FALSE)))</f>
        <v/>
      </c>
      <c r="G57" s="62" t="str">
        <f>IF(IF(B57="", "", VLOOKUP(B57,'API Data Dictionary'!C:G,5,FALSE))=0, "", IF(B57="", "", VLOOKUP(B57,'API Data Dictionary'!C:G,5,FALSE)))</f>
        <v/>
      </c>
    </row>
    <row r="58" spans="1:7" x14ac:dyDescent="0.35">
      <c r="A58" s="64" t="s">
        <v>1107</v>
      </c>
      <c r="B58" s="62" t="str">
        <f t="shared" si="1"/>
        <v/>
      </c>
      <c r="C58" s="62" t="str">
        <f>IF(B58="", "", VLOOKUP(B58,'API Data Dictionary'!C:L,10,FALSE))</f>
        <v/>
      </c>
      <c r="D58" s="62" t="str">
        <f>IF(B58="", "", VLOOKUP(B58,'API Data Dictionary'!C:D,2,FALSE))</f>
        <v/>
      </c>
      <c r="E58" s="62" t="str">
        <f>IF(IF(B58="", "", VLOOKUP(B58,'API Data Dictionary'!C:E,3,FALSE))=0, "", IF(B58="", "", VLOOKUP(B58,'API Data Dictionary'!C:E,3,FALSE)))</f>
        <v/>
      </c>
      <c r="F58" s="62" t="str">
        <f>IF(IF(B58="", "", VLOOKUP(B58,'API Data Dictionary'!C:F,4,FALSE))=0, "", IF(B58="", "", VLOOKUP(B58,'API Data Dictionary'!C:F,4,FALSE)))</f>
        <v/>
      </c>
      <c r="G58" s="62" t="str">
        <f>IF(IF(B58="", "", VLOOKUP(B58,'API Data Dictionary'!C:G,5,FALSE))=0, "", IF(B58="", "", VLOOKUP(B58,'API Data Dictionary'!C:G,5,FALSE)))</f>
        <v/>
      </c>
    </row>
    <row r="59" spans="1:7" x14ac:dyDescent="0.35">
      <c r="A59" s="64" t="s">
        <v>1165</v>
      </c>
      <c r="B59" s="62" t="str">
        <f t="shared" si="1"/>
        <v/>
      </c>
      <c r="C59" s="62" t="str">
        <f>IF(B59="", "", VLOOKUP(B59,'API Data Dictionary'!C:L,10,FALSE))</f>
        <v/>
      </c>
      <c r="D59" s="62" t="str">
        <f>IF(B59="", "", VLOOKUP(B59,'API Data Dictionary'!C:D,2,FALSE))</f>
        <v/>
      </c>
      <c r="E59" s="62" t="str">
        <f>IF(IF(B59="", "", VLOOKUP(B59,'API Data Dictionary'!C:E,3,FALSE))=0, "", IF(B59="", "", VLOOKUP(B59,'API Data Dictionary'!C:E,3,FALSE)))</f>
        <v/>
      </c>
      <c r="F59" s="62" t="str">
        <f>IF(IF(B59="", "", VLOOKUP(B59,'API Data Dictionary'!C:F,4,FALSE))=0, "", IF(B59="", "", VLOOKUP(B59,'API Data Dictionary'!C:F,4,FALSE)))</f>
        <v/>
      </c>
      <c r="G59" s="62" t="str">
        <f>IF(IF(B59="", "", VLOOKUP(B59,'API Data Dictionary'!C:G,5,FALSE))=0, "", IF(B59="", "", VLOOKUP(B59,'API Data Dictionary'!C:G,5,FALSE)))</f>
        <v/>
      </c>
    </row>
    <row r="60" spans="1:7" x14ac:dyDescent="0.35">
      <c r="A60" s="64" t="s">
        <v>1114</v>
      </c>
      <c r="B60" s="62" t="str">
        <f t="shared" si="1"/>
        <v/>
      </c>
      <c r="C60" s="62" t="str">
        <f>IF(B60="", "", VLOOKUP(B60,'API Data Dictionary'!C:L,10,FALSE))</f>
        <v/>
      </c>
      <c r="D60" s="62" t="str">
        <f>IF(B60="", "", VLOOKUP(B60,'API Data Dictionary'!C:D,2,FALSE))</f>
        <v/>
      </c>
      <c r="E60" s="62" t="str">
        <f>IF(IF(B60="", "", VLOOKUP(B60,'API Data Dictionary'!C:E,3,FALSE))=0, "", IF(B60="", "", VLOOKUP(B60,'API Data Dictionary'!C:E,3,FALSE)))</f>
        <v/>
      </c>
      <c r="F60" s="62" t="str">
        <f>IF(IF(B60="", "", VLOOKUP(B60,'API Data Dictionary'!C:F,4,FALSE))=0, "", IF(B60="", "", VLOOKUP(B60,'API Data Dictionary'!C:F,4,FALSE)))</f>
        <v/>
      </c>
      <c r="G60" s="62" t="str">
        <f>IF(IF(B60="", "", VLOOKUP(B60,'API Data Dictionary'!C:G,5,FALSE))=0, "", IF(B60="", "", VLOOKUP(B60,'API Data Dictionary'!C:G,5,FALSE)))</f>
        <v/>
      </c>
    </row>
    <row r="61" spans="1:7" x14ac:dyDescent="0.35">
      <c r="A61" s="64" t="s">
        <v>1166</v>
      </c>
      <c r="B61" s="62" t="str">
        <f t="shared" si="1"/>
        <v>houseNumber</v>
      </c>
      <c r="C61" s="62" t="str">
        <f>IF(B61="", "", VLOOKUP(B61,'API Data Dictionary'!C:L,10,FALSE))</f>
        <v>X</v>
      </c>
      <c r="D61" s="62" t="str">
        <f>IF(B61="", "", VLOOKUP(B61,'API Data Dictionary'!C:D,2,FALSE))</f>
        <v>string</v>
      </c>
      <c r="E61" s="62">
        <f>IF(IF(B61="", "", VLOOKUP(B61,'API Data Dictionary'!C:E,3,FALSE))=0, "", IF(B61="", "", VLOOKUP(B61,'API Data Dictionary'!C:E,3,FALSE)))</f>
        <v>100</v>
      </c>
      <c r="F61" s="62" t="str">
        <f>IF(IF(B61="", "", VLOOKUP(B61,'API Data Dictionary'!C:F,4,FALSE))=0, "", IF(B61="", "", VLOOKUP(B61,'API Data Dictionary'!C:F,4,FALSE)))</f>
        <v/>
      </c>
      <c r="G61" s="62" t="str">
        <f>IF(IF(B61="", "", VLOOKUP(B61,'API Data Dictionary'!C:G,5,FALSE))=0, "", IF(B61="", "", VLOOKUP(B61,'API Data Dictionary'!C:G,5,FALSE)))</f>
        <v xml:space="preserve">The number of the property, mandatory OR pair with House name field </v>
      </c>
    </row>
    <row r="62" spans="1:7" x14ac:dyDescent="0.35">
      <c r="A62" s="64" t="s">
        <v>1167</v>
      </c>
      <c r="B62" s="62" t="str">
        <f t="shared" si="1"/>
        <v>houseName</v>
      </c>
      <c r="C62" s="62" t="str">
        <f>IF(B62="", "", VLOOKUP(B62,'API Data Dictionary'!C:L,10,FALSE))</f>
        <v>X</v>
      </c>
      <c r="D62" s="62" t="str">
        <f>IF(B62="", "", VLOOKUP(B62,'API Data Dictionary'!C:D,2,FALSE))</f>
        <v>string</v>
      </c>
      <c r="E62" s="62">
        <f>IF(IF(B62="", "", VLOOKUP(B62,'API Data Dictionary'!C:E,3,FALSE))=0, "", IF(B62="", "", VLOOKUP(B62,'API Data Dictionary'!C:E,3,FALSE)))</f>
        <v>100</v>
      </c>
      <c r="F62" s="62" t="str">
        <f>IF(IF(B62="", "", VLOOKUP(B62,'API Data Dictionary'!C:F,4,FALSE))=0, "", IF(B62="", "", VLOOKUP(B62,'API Data Dictionary'!C:F,4,FALSE)))</f>
        <v/>
      </c>
      <c r="G62" s="62" t="str">
        <f>IF(IF(B62="", "", VLOOKUP(B62,'API Data Dictionary'!C:G,5,FALSE))=0, "", IF(B62="", "", VLOOKUP(B62,'API Data Dictionary'!C:G,5,FALSE)))</f>
        <v xml:space="preserve">The name of the property, mandatory OR pair with House number field </v>
      </c>
    </row>
    <row r="63" spans="1:7" x14ac:dyDescent="0.35">
      <c r="A63" s="64" t="s">
        <v>1168</v>
      </c>
      <c r="B63" s="62" t="str">
        <f t="shared" si="1"/>
        <v>addressLine1</v>
      </c>
      <c r="C63" s="62" t="str">
        <f>IF(B63="", "", VLOOKUP(B63,'API Data Dictionary'!C:L,10,FALSE))</f>
        <v>M</v>
      </c>
      <c r="D63" s="62" t="str">
        <f>IF(B63="", "", VLOOKUP(B63,'API Data Dictionary'!C:D,2,FALSE))</f>
        <v>string</v>
      </c>
      <c r="E63" s="62">
        <f>IF(IF(B63="", "", VLOOKUP(B63,'API Data Dictionary'!C:E,3,FALSE))=0, "", IF(B63="", "", VLOOKUP(B63,'API Data Dictionary'!C:E,3,FALSE)))</f>
        <v>100</v>
      </c>
      <c r="F63" s="62" t="str">
        <f>IF(IF(B63="", "", VLOOKUP(B63,'API Data Dictionary'!C:F,4,FALSE))=0, "", IF(B63="", "", VLOOKUP(B63,'API Data Dictionary'!C:F,4,FALSE)))</f>
        <v/>
      </c>
      <c r="G63" s="62" t="str">
        <f>IF(IF(B63="", "", VLOOKUP(B63,'API Data Dictionary'!C:G,5,FALSE))=0, "", IF(B63="", "", VLOOKUP(B63,'API Data Dictionary'!C:G,5,FALSE)))</f>
        <v>The first line of the property address</v>
      </c>
    </row>
    <row r="64" spans="1:7" x14ac:dyDescent="0.35">
      <c r="A64" s="64" t="s">
        <v>1169</v>
      </c>
      <c r="B64" s="62" t="str">
        <f t="shared" si="1"/>
        <v>addressLine2</v>
      </c>
      <c r="C64" s="62" t="str">
        <f>IF(B64="", "", VLOOKUP(B64,'API Data Dictionary'!C:L,10,FALSE))</f>
        <v>X</v>
      </c>
      <c r="D64" s="62" t="str">
        <f>IF(B64="", "", VLOOKUP(B64,'API Data Dictionary'!C:D,2,FALSE))</f>
        <v>string</v>
      </c>
      <c r="E64" s="62">
        <f>IF(IF(B64="", "", VLOOKUP(B64,'API Data Dictionary'!C:E,3,FALSE))=0, "", IF(B64="", "", VLOOKUP(B64,'API Data Dictionary'!C:E,3,FALSE)))</f>
        <v>100</v>
      </c>
      <c r="F64" s="62" t="str">
        <f>IF(IF(B64="", "", VLOOKUP(B64,'API Data Dictionary'!C:F,4,FALSE))=0, "", IF(B64="", "", VLOOKUP(B64,'API Data Dictionary'!C:F,4,FALSE)))</f>
        <v/>
      </c>
      <c r="G64" s="62" t="str">
        <f>IF(IF(B64="", "", VLOOKUP(B64,'API Data Dictionary'!C:G,5,FALSE))=0, "", IF(B64="", "", VLOOKUP(B64,'API Data Dictionary'!C:G,5,FALSE)))</f>
        <v>The second line of the property address</v>
      </c>
    </row>
    <row r="65" spans="1:7" x14ac:dyDescent="0.35">
      <c r="A65" s="64" t="s">
        <v>1170</v>
      </c>
      <c r="B65" s="62" t="str">
        <f t="shared" si="1"/>
        <v>town</v>
      </c>
      <c r="C65" s="62" t="str">
        <f>IF(B65="", "", VLOOKUP(B65,'API Data Dictionary'!C:L,10,FALSE))</f>
        <v>M</v>
      </c>
      <c r="D65" s="62" t="str">
        <f>IF(B65="", "", VLOOKUP(B65,'API Data Dictionary'!C:D,2,FALSE))</f>
        <v>string</v>
      </c>
      <c r="E65" s="62">
        <f>IF(IF(B65="", "", VLOOKUP(B65,'API Data Dictionary'!C:E,3,FALSE))=0, "", IF(B65="", "", VLOOKUP(B65,'API Data Dictionary'!C:E,3,FALSE)))</f>
        <v>50</v>
      </c>
      <c r="F65" s="62" t="str">
        <f>IF(IF(B65="", "", VLOOKUP(B65,'API Data Dictionary'!C:F,4,FALSE))=0, "", IF(B65="", "", VLOOKUP(B65,'API Data Dictionary'!C:F,4,FALSE)))</f>
        <v/>
      </c>
      <c r="G65" s="62" t="str">
        <f>IF(IF(B65="", "", VLOOKUP(B65,'API Data Dictionary'!C:G,5,FALSE))=0, "", IF(B65="", "", VLOOKUP(B65,'API Data Dictionary'!C:G,5,FALSE)))</f>
        <v>The town in which the property exists</v>
      </c>
    </row>
    <row r="66" spans="1:7" x14ac:dyDescent="0.35">
      <c r="A66" s="64" t="s">
        <v>1171</v>
      </c>
      <c r="B66" s="62" t="str">
        <f t="shared" si="1"/>
        <v>postcode</v>
      </c>
      <c r="C66" s="62" t="str">
        <f>IF(B66="", "", VLOOKUP(B66,'API Data Dictionary'!C:L,10,FALSE))</f>
        <v>M</v>
      </c>
      <c r="D66" s="62" t="str">
        <f>IF(B66="", "", VLOOKUP(B66,'API Data Dictionary'!C:D,2,FALSE))</f>
        <v>string</v>
      </c>
      <c r="E66" s="62">
        <f>IF(IF(B66="", "", VLOOKUP(B66,'API Data Dictionary'!C:E,3,FALSE))=0, "", IF(B66="", "", VLOOKUP(B66,'API Data Dictionary'!C:E,3,FALSE)))</f>
        <v>50</v>
      </c>
      <c r="F66" s="62" t="str">
        <f>IF(IF(B66="", "", VLOOKUP(B66,'API Data Dictionary'!C:F,4,FALSE))=0, "", IF(B66="", "", VLOOKUP(B66,'API Data Dictionary'!C:F,4,FALSE)))</f>
        <v/>
      </c>
      <c r="G66" s="62" t="str">
        <f>IF(IF(B66="", "", VLOOKUP(B66,'API Data Dictionary'!C:G,5,FALSE))=0, "", IF(B66="", "", VLOOKUP(B66,'API Data Dictionary'!C:G,5,FALSE)))</f>
        <v>the postcode of the property</v>
      </c>
    </row>
    <row r="67" spans="1:7" x14ac:dyDescent="0.35">
      <c r="A67" s="64" t="s">
        <v>1172</v>
      </c>
      <c r="B67" s="62" t="str">
        <f t="shared" si="1"/>
        <v>country</v>
      </c>
      <c r="C67" s="62" t="s">
        <v>68</v>
      </c>
      <c r="D67" s="62" t="str">
        <f>IF(B67="", "", VLOOKUP(B67,'API Data Dictionary'!C:D,2,FALSE))</f>
        <v>enum -Country/Location Code</v>
      </c>
      <c r="E67" s="62" t="str">
        <f>IF(IF(B67="", "", VLOOKUP(B67,'API Data Dictionary'!C:E,3,FALSE))=0, "", IF(B67="", "", VLOOKUP(B67,'API Data Dictionary'!C:E,3,FALSE)))</f>
        <v/>
      </c>
      <c r="F67" s="62" t="str">
        <f>IF(IF(B67="", "", VLOOKUP(B67,'API Data Dictionary'!C:F,4,FALSE))=0, "", IF(B67="", "", VLOOKUP(B67,'API Data Dictionary'!C:F,4,FALSE)))</f>
        <v>Valid Values 1-239 (See enum definition)</v>
      </c>
      <c r="G67" s="62" t="str">
        <f>IF(IF(B67="", "", VLOOKUP(B67,'API Data Dictionary'!C:G,5,FALSE))=0, "", IF(B67="", "", VLOOKUP(B67,'API Data Dictionary'!C:G,5,FALSE)))</f>
        <v>The Country code from the enum list, e.g. France</v>
      </c>
    </row>
    <row r="68" spans="1:7" x14ac:dyDescent="0.35">
      <c r="A68" s="64" t="s">
        <v>1173</v>
      </c>
      <c r="B68" s="62" t="str">
        <f t="shared" si="1"/>
        <v>isUKAddress</v>
      </c>
      <c r="C68" s="62" t="s">
        <v>68</v>
      </c>
      <c r="D68" s="62" t="str">
        <f>IF(B68="", "", VLOOKUP(B68,'API Data Dictionary'!C:D,2,FALSE))</f>
        <v>boolean</v>
      </c>
      <c r="E68" s="62" t="str">
        <f>IF(IF(B68="", "", VLOOKUP(B68,'API Data Dictionary'!C:E,3,FALSE))=0, "", IF(B68="", "", VLOOKUP(B68,'API Data Dictionary'!C:E,3,FALSE)))</f>
        <v/>
      </c>
      <c r="F68" s="62" t="str">
        <f>IF(IF(B68="", "", VLOOKUP(B68,'API Data Dictionary'!C:F,4,FALSE))=0, "", IF(B68="", "", VLOOKUP(B68,'API Data Dictionary'!C:F,4,FALSE)))</f>
        <v/>
      </c>
      <c r="G68" s="62" t="str">
        <f>IF(IF(B68="", "", VLOOKUP(B68,'API Data Dictionary'!C:G,5,FALSE))=0, "", IF(B68="", "", VLOOKUP(B68,'API Data Dictionary'!C:G,5,FALSE)))</f>
        <v>Denotes if the address is in the UK</v>
      </c>
    </row>
    <row r="69" spans="1:7" x14ac:dyDescent="0.35">
      <c r="A69" s="64" t="s">
        <v>1174</v>
      </c>
      <c r="B69" s="62" t="str">
        <f t="shared" si="1"/>
        <v>addressTypeId</v>
      </c>
      <c r="C69" s="62" t="s">
        <v>68</v>
      </c>
      <c r="D69" s="62" t="str">
        <f>IF(B69="", "", VLOOKUP(B69,'API Data Dictionary'!C:D,2,FALSE))</f>
        <v>enum - address Type</v>
      </c>
      <c r="E69" s="62" t="str">
        <f>IF(IF(B69="", "", VLOOKUP(B69,'API Data Dictionary'!C:E,3,FALSE))=0, "", IF(B69="", "", VLOOKUP(B69,'API Data Dictionary'!C:E,3,FALSE)))</f>
        <v/>
      </c>
      <c r="F69" s="62" t="str">
        <f>IF(IF(B69="", "", VLOOKUP(B69,'API Data Dictionary'!C:F,4,FALSE))=0, "", IF(B69="", "", VLOOKUP(B69,'API Data Dictionary'!C:F,4,FALSE)))</f>
        <v>Valid Values 1-2 (See enum definition)</v>
      </c>
      <c r="G69" s="62" t="str">
        <f>IF(IF(B69="", "", VLOOKUP(B69,'API Data Dictionary'!C:G,5,FALSE))=0, "", IF(B69="", "", VLOOKUP(B69,'API Data Dictionary'!C:G,5,FALSE)))</f>
        <v>Whether the address is current or previous, chosen from enum list</v>
      </c>
    </row>
    <row r="70" spans="1:7" x14ac:dyDescent="0.35">
      <c r="A70" s="64" t="s">
        <v>1175</v>
      </c>
      <c r="B70" s="62" t="str">
        <f t="shared" si="1"/>
        <v>monthMovedIn</v>
      </c>
      <c r="C70" s="62" t="s">
        <v>68</v>
      </c>
      <c r="D70" s="62" t="str">
        <f>IF(B70="", "", VLOOKUP(B70,'API Data Dictionary'!C:D,2,FALSE))</f>
        <v>enum - month</v>
      </c>
      <c r="E70" s="62" t="str">
        <f>IF(IF(B70="", "", VLOOKUP(B70,'API Data Dictionary'!C:E,3,FALSE))=0, "", IF(B70="", "", VLOOKUP(B70,'API Data Dictionary'!C:E,3,FALSE)))</f>
        <v/>
      </c>
      <c r="F70" s="62" t="str">
        <f>IF(IF(B70="", "", VLOOKUP(B70,'API Data Dictionary'!C:F,4,FALSE))=0, "", IF(B70="", "", VLOOKUP(B70,'API Data Dictionary'!C:F,4,FALSE)))</f>
        <v>Valid Values 1-12 (Jan - Dec)</v>
      </c>
      <c r="G70" s="62" t="str">
        <f>IF(IF(B70="", "", VLOOKUP(B70,'API Data Dictionary'!C:G,5,FALSE))=0, "", IF(B70="", "", VLOOKUP(B70,'API Data Dictionary'!C:G,5,FALSE)))</f>
        <v>Month the property was moved into, chosen from enum list</v>
      </c>
    </row>
    <row r="71" spans="1:7" x14ac:dyDescent="0.35">
      <c r="A71" s="64" t="s">
        <v>1176</v>
      </c>
      <c r="B71" s="62" t="str">
        <f t="shared" si="1"/>
        <v>yearMovedIn</v>
      </c>
      <c r="C71" s="62" t="s">
        <v>68</v>
      </c>
      <c r="D71" s="62" t="str">
        <f>IF(B71="", "", VLOOKUP(B71,'API Data Dictionary'!C:D,2,FALSE))</f>
        <v>integer</v>
      </c>
      <c r="E71" s="62">
        <f>IF(IF(B71="", "", VLOOKUP(B71,'API Data Dictionary'!C:E,3,FALSE))=0, "", IF(B71="", "", VLOOKUP(B71,'API Data Dictionary'!C:E,3,FALSE)))</f>
        <v>4</v>
      </c>
      <c r="F71" s="62" t="str">
        <f>IF(IF(B71="", "", VLOOKUP(B71,'API Data Dictionary'!C:F,4,FALSE))=0, "", IF(B71="", "", VLOOKUP(B71,'API Data Dictionary'!C:F,4,FALSE)))</f>
        <v>Valid Values 1900 - Current Year</v>
      </c>
      <c r="G71" s="62" t="str">
        <f>IF(IF(B71="", "", VLOOKUP(B71,'API Data Dictionary'!C:G,5,FALSE))=0, "", IF(B71="", "", VLOOKUP(B71,'API Data Dictionary'!C:G,5,FALSE)))</f>
        <v>Year the property was moved into, formatted YYYY</v>
      </c>
    </row>
    <row r="72" spans="1:7" x14ac:dyDescent="0.35">
      <c r="A72" s="64" t="s">
        <v>1115</v>
      </c>
      <c r="B72" s="62" t="str">
        <f t="shared" si="1"/>
        <v/>
      </c>
      <c r="C72" s="62" t="str">
        <f>IF(B72="", "", VLOOKUP(B72,'API Data Dictionary'!C:L,10,FALSE))</f>
        <v/>
      </c>
      <c r="D72" s="62" t="str">
        <f>IF(B72="", "", VLOOKUP(B72,'API Data Dictionary'!C:D,2,FALSE))</f>
        <v/>
      </c>
      <c r="E72" s="62" t="str">
        <f>IF(IF(B72="", "", VLOOKUP(B72,'API Data Dictionary'!C:E,3,FALSE))=0, "", IF(B72="", "", VLOOKUP(B72,'API Data Dictionary'!C:E,3,FALSE)))</f>
        <v/>
      </c>
      <c r="F72" s="62" t="str">
        <f>IF(IF(B72="", "", VLOOKUP(B72,'API Data Dictionary'!C:F,4,FALSE))=0, "", IF(B72="", "", VLOOKUP(B72,'API Data Dictionary'!C:F,4,FALSE)))</f>
        <v/>
      </c>
      <c r="G72" s="62" t="str">
        <f>IF(IF(B72="", "", VLOOKUP(B72,'API Data Dictionary'!C:G,5,FALSE))=0, "", IF(B72="", "", VLOOKUP(B72,'API Data Dictionary'!C:G,5,FALSE)))</f>
        <v/>
      </c>
    </row>
    <row r="73" spans="1:7" x14ac:dyDescent="0.35">
      <c r="A73" s="64" t="s">
        <v>1116</v>
      </c>
      <c r="B73" s="62" t="str">
        <f t="shared" si="1"/>
        <v/>
      </c>
      <c r="C73" s="62" t="str">
        <f>IF(B73="", "", VLOOKUP(B73,'API Data Dictionary'!C:L,10,FALSE))</f>
        <v/>
      </c>
      <c r="D73" s="62" t="str">
        <f>IF(B73="", "", VLOOKUP(B73,'API Data Dictionary'!C:D,2,FALSE))</f>
        <v/>
      </c>
      <c r="E73" s="62" t="str">
        <f>IF(IF(B73="", "", VLOOKUP(B73,'API Data Dictionary'!C:E,3,FALSE))=0, "", IF(B73="", "", VLOOKUP(B73,'API Data Dictionary'!C:E,3,FALSE)))</f>
        <v/>
      </c>
      <c r="F73" s="62" t="str">
        <f>IF(IF(B73="", "", VLOOKUP(B73,'API Data Dictionary'!C:F,4,FALSE))=0, "", IF(B73="", "", VLOOKUP(B73,'API Data Dictionary'!C:F,4,FALSE)))</f>
        <v/>
      </c>
      <c r="G73" s="62" t="str">
        <f>IF(IF(B73="", "", VLOOKUP(B73,'API Data Dictionary'!C:G,5,FALSE))=0, "", IF(B73="", "", VLOOKUP(B73,'API Data Dictionary'!C:G,5,FALSE)))</f>
        <v/>
      </c>
    </row>
    <row r="74" spans="1:7" x14ac:dyDescent="0.35">
      <c r="A74" s="64" t="s">
        <v>1177</v>
      </c>
      <c r="B74" s="62" t="str">
        <f t="shared" si="1"/>
        <v/>
      </c>
      <c r="C74" s="62" t="str">
        <f>IF(B74="", "", VLOOKUP(B74,'API Data Dictionary'!C:L,10,FALSE))</f>
        <v/>
      </c>
      <c r="D74" s="62" t="str">
        <f>IF(B74="", "", VLOOKUP(B74,'API Data Dictionary'!C:D,2,FALSE))</f>
        <v/>
      </c>
      <c r="E74" s="62" t="str">
        <f>IF(IF(B74="", "", VLOOKUP(B74,'API Data Dictionary'!C:E,3,FALSE))=0, "", IF(B74="", "", VLOOKUP(B74,'API Data Dictionary'!C:E,3,FALSE)))</f>
        <v/>
      </c>
      <c r="F74" s="62" t="str">
        <f>IF(IF(B74="", "", VLOOKUP(B74,'API Data Dictionary'!C:F,4,FALSE))=0, "", IF(B74="", "", VLOOKUP(B74,'API Data Dictionary'!C:F,4,FALSE)))</f>
        <v/>
      </c>
      <c r="G74" s="62" t="str">
        <f>IF(IF(B74="", "", VLOOKUP(B74,'API Data Dictionary'!C:G,5,FALSE))=0, "", IF(B74="", "", VLOOKUP(B74,'API Data Dictionary'!C:G,5,FALSE)))</f>
        <v/>
      </c>
    </row>
    <row r="75" spans="1:7" x14ac:dyDescent="0.35">
      <c r="A75" s="64" t="s">
        <v>1178</v>
      </c>
      <c r="B75" s="62" t="str">
        <f t="shared" si="1"/>
        <v>currentResidentialStatus</v>
      </c>
      <c r="C75" s="62" t="s">
        <v>68</v>
      </c>
      <c r="D75" s="62" t="str">
        <f>IF(B75="", "", VLOOKUP(B75,'API Data Dictionary'!C:D,2,FALSE))</f>
        <v>enum - residentStatus</v>
      </c>
      <c r="E75" s="62" t="str">
        <f>IF(IF(B75="", "", VLOOKUP(B75,'API Data Dictionary'!C:E,3,FALSE))=0, "", IF(B75="", "", VLOOKUP(B75,'API Data Dictionary'!C:E,3,FALSE)))</f>
        <v/>
      </c>
      <c r="F75" s="62" t="str">
        <f>IF(IF(B75="", "", VLOOKUP(B75,'API Data Dictionary'!C:F,4,FALSE))=0, "", IF(B75="", "", VLOOKUP(B75,'API Data Dictionary'!C:F,4,FALSE)))</f>
        <v>Valid Values 1-3 (See enum definition)</v>
      </c>
      <c r="G75" s="62" t="str">
        <f>IF(IF(B75="", "", VLOOKUP(B75,'API Data Dictionary'!C:G,5,FALSE))=0, "", IF(B75="", "", VLOOKUP(B75,'API Data Dictionary'!C:G,5,FALSE)))</f>
        <v>The current residential status, e.g. UK Resident</v>
      </c>
    </row>
    <row r="76" spans="1:7" x14ac:dyDescent="0.35">
      <c r="A76" s="64" t="s">
        <v>1179</v>
      </c>
      <c r="B76" s="62" t="str">
        <f t="shared" si="1"/>
        <v>currentRentAmount</v>
      </c>
      <c r="C76" s="62" t="s">
        <v>68</v>
      </c>
      <c r="D76" s="62" t="str">
        <f>IF(B76="", "", VLOOKUP(B76,'API Data Dictionary'!C:D,2,FALSE))</f>
        <v>number (double)</v>
      </c>
      <c r="E76" s="62" t="str">
        <f>IF(IF(B76="", "", VLOOKUP(B76,'API Data Dictionary'!C:E,3,FALSE))=0, "", IF(B76="", "", VLOOKUP(B76,'API Data Dictionary'!C:E,3,FALSE)))</f>
        <v/>
      </c>
      <c r="F76" s="62" t="str">
        <f>IF(IF(B76="", "", VLOOKUP(B76,'API Data Dictionary'!C:F,4,FALSE))=0, "", IF(B76="", "", VLOOKUP(B76,'API Data Dictionary'!C:F,4,FALSE)))</f>
        <v>pattern: ^\d*.\d{0,2}$</v>
      </c>
      <c r="G76" s="62" t="str">
        <f>IF(IF(B76="", "", VLOOKUP(B76,'API Data Dictionary'!C:G,5,FALSE))=0, "", IF(B76="", "", VLOOKUP(B76,'API Data Dictionary'!C:G,5,FALSE)))</f>
        <v>The current rent amount in GBP</v>
      </c>
    </row>
    <row r="77" spans="1:7" x14ac:dyDescent="0.35">
      <c r="A77" s="64" t="s">
        <v>1180</v>
      </c>
      <c r="B77" s="62" t="str">
        <f t="shared" si="1"/>
        <v>landlordName</v>
      </c>
      <c r="C77" s="62" t="s">
        <v>68</v>
      </c>
      <c r="D77" s="62" t="str">
        <f>IF(B77="", "", VLOOKUP(B77,'API Data Dictionary'!C:D,2,FALSE))</f>
        <v>string</v>
      </c>
      <c r="E77" s="62">
        <f>IF(IF(B77="", "", VLOOKUP(B77,'API Data Dictionary'!C:E,3,FALSE))=0, "", IF(B77="", "", VLOOKUP(B77,'API Data Dictionary'!C:E,3,FALSE)))</f>
        <v>500</v>
      </c>
      <c r="F77" s="62" t="str">
        <f>IF(IF(B77="", "", VLOOKUP(B77,'API Data Dictionary'!C:F,4,FALSE))=0, "", IF(B77="", "", VLOOKUP(B77,'API Data Dictionary'!C:F,4,FALSE)))</f>
        <v/>
      </c>
      <c r="G77" s="62" t="str">
        <f>IF(IF(B77="", "", VLOOKUP(B77,'API Data Dictionary'!C:G,5,FALSE))=0, "", IF(B77="", "", VLOOKUP(B77,'API Data Dictionary'!C:G,5,FALSE)))</f>
        <v>Full name of the Landlord</v>
      </c>
    </row>
    <row r="78" spans="1:7" x14ac:dyDescent="0.35">
      <c r="A78" s="64" t="s">
        <v>1181</v>
      </c>
      <c r="B78" s="62" t="str">
        <f t="shared" si="1"/>
        <v>landlordContactCountryId</v>
      </c>
      <c r="C78" s="62" t="s">
        <v>68</v>
      </c>
      <c r="D78" s="62" t="str">
        <f>IF(B78="", "", VLOOKUP(B78,'API Data Dictionary'!C:D,2,FALSE))</f>
        <v>enum -Country/Location Code</v>
      </c>
      <c r="E78" s="62" t="str">
        <f>IF(IF(B78="", "", VLOOKUP(B78,'API Data Dictionary'!C:E,3,FALSE))=0, "", IF(B78="", "", VLOOKUP(B78,'API Data Dictionary'!C:E,3,FALSE)))</f>
        <v/>
      </c>
      <c r="F78" s="62" t="str">
        <f>IF(IF(B78="", "", VLOOKUP(B78,'API Data Dictionary'!C:F,4,FALSE))=0, "", IF(B78="", "", VLOOKUP(B78,'API Data Dictionary'!C:F,4,FALSE)))</f>
        <v>Valid Values 1-239 (See enum definition)</v>
      </c>
      <c r="G78" s="62" t="str">
        <f>IF(IF(B78="", "", VLOOKUP(B78,'API Data Dictionary'!C:G,5,FALSE))=0, "", IF(B78="", "", VLOOKUP(B78,'API Data Dictionary'!C:G,5,FALSE)))</f>
        <v>The country/location code of the landlord contact phone number</v>
      </c>
    </row>
    <row r="79" spans="1:7" x14ac:dyDescent="0.35">
      <c r="A79" s="64" t="s">
        <v>1182</v>
      </c>
      <c r="B79" s="62" t="str">
        <f t="shared" si="1"/>
        <v>landlordContactNumber</v>
      </c>
      <c r="C79" s="62" t="s">
        <v>68</v>
      </c>
      <c r="D79" s="62" t="str">
        <f>IF(B79="", "", VLOOKUP(B79,'API Data Dictionary'!C:D,2,FALSE))</f>
        <v>string</v>
      </c>
      <c r="E79" s="62">
        <f>IF(IF(B79="", "", VLOOKUP(B79,'API Data Dictionary'!C:E,3,FALSE))=0, "", IF(B79="", "", VLOOKUP(B79,'API Data Dictionary'!C:E,3,FALSE)))</f>
        <v>15</v>
      </c>
      <c r="F79" s="62" t="str">
        <f>IF(IF(B79="", "", VLOOKUP(B79,'API Data Dictionary'!C:F,4,FALSE))=0, "", IF(B79="", "", VLOOKUP(B79,'API Data Dictionary'!C:F,4,FALSE)))</f>
        <v>pattern: ^(\d{11})$</v>
      </c>
      <c r="G79" s="62" t="str">
        <f>IF(IF(B79="", "", VLOOKUP(B79,'API Data Dictionary'!C:G,5,FALSE))=0, "", IF(B79="", "", VLOOKUP(B79,'API Data Dictionary'!C:G,5,FALSE)))</f>
        <v>The Landlords contact Telephone number</v>
      </c>
    </row>
    <row r="80" spans="1:7" x14ac:dyDescent="0.35">
      <c r="A80" s="64" t="s">
        <v>1183</v>
      </c>
      <c r="B80" s="62" t="str">
        <f t="shared" si="1"/>
        <v>landlordMobileCountryId</v>
      </c>
      <c r="C80" s="62" t="s">
        <v>68</v>
      </c>
      <c r="D80" s="62" t="str">
        <f>IF(B80="", "", VLOOKUP(B80,'API Data Dictionary'!C:D,2,FALSE))</f>
        <v>enum -Country/Location Code</v>
      </c>
      <c r="E80" s="62" t="str">
        <f>IF(IF(B80="", "", VLOOKUP(B80,'API Data Dictionary'!C:E,3,FALSE))=0, "", IF(B80="", "", VLOOKUP(B80,'API Data Dictionary'!C:E,3,FALSE)))</f>
        <v/>
      </c>
      <c r="F80" s="62" t="str">
        <f>IF(IF(B80="", "", VLOOKUP(B80,'API Data Dictionary'!C:F,4,FALSE))=0, "", IF(B80="", "", VLOOKUP(B80,'API Data Dictionary'!C:F,4,FALSE)))</f>
        <v>Valid Values 1-239 (See enum definition)</v>
      </c>
      <c r="G80" s="62" t="str">
        <f>IF(IF(B80="", "", VLOOKUP(B80,'API Data Dictionary'!C:G,5,FALSE))=0, "", IF(B80="", "", VLOOKUP(B80,'API Data Dictionary'!C:G,5,FALSE)))</f>
        <v>The country/location code of the landlord mobile phone number</v>
      </c>
    </row>
    <row r="81" spans="1:7" x14ac:dyDescent="0.35">
      <c r="A81" s="64" t="s">
        <v>1184</v>
      </c>
      <c r="B81" s="62" t="str">
        <f t="shared" si="1"/>
        <v>landlordMobileNumber</v>
      </c>
      <c r="C81" s="62" t="s">
        <v>68</v>
      </c>
      <c r="D81" s="62" t="str">
        <f>IF(B81="", "", VLOOKUP(B81,'API Data Dictionary'!C:D,2,FALSE))</f>
        <v>string</v>
      </c>
      <c r="E81" s="62">
        <f>IF(IF(B81="", "", VLOOKUP(B81,'API Data Dictionary'!C:E,3,FALSE))=0, "", IF(B81="", "", VLOOKUP(B81,'API Data Dictionary'!C:E,3,FALSE)))</f>
        <v>15</v>
      </c>
      <c r="F81" s="62" t="str">
        <f>IF(IF(B81="", "", VLOOKUP(B81,'API Data Dictionary'!C:F,4,FALSE))=0, "", IF(B81="", "", VLOOKUP(B81,'API Data Dictionary'!C:F,4,FALSE)))</f>
        <v>pattern: ^(\d{11})$</v>
      </c>
      <c r="G81" s="62" t="str">
        <f>IF(IF(B81="", "", VLOOKUP(B81,'API Data Dictionary'!C:G,5,FALSE))=0, "", IF(B81="", "", VLOOKUP(B81,'API Data Dictionary'!C:G,5,FALSE)))</f>
        <v>the landlords mobile Telephone number</v>
      </c>
    </row>
    <row r="82" spans="1:7" x14ac:dyDescent="0.35">
      <c r="A82" s="64" t="s">
        <v>1185</v>
      </c>
      <c r="B82" s="62" t="str">
        <f t="shared" si="1"/>
        <v>landlordEmail</v>
      </c>
      <c r="C82" s="62" t="s">
        <v>68</v>
      </c>
      <c r="D82" s="62" t="str">
        <f>IF(B82="", "", VLOOKUP(B82,'API Data Dictionary'!C:D,2,FALSE))</f>
        <v>string ($email)</v>
      </c>
      <c r="E82" s="62">
        <f>IF(IF(B82="", "", VLOOKUP(B82,'API Data Dictionary'!C:E,3,FALSE))=0, "", IF(B82="", "", VLOOKUP(B82,'API Data Dictionary'!C:E,3,FALSE)))</f>
        <v>200</v>
      </c>
      <c r="F82" s="62" t="str">
        <f>IF(IF(B82="", "", VLOOKUP(B82,'API Data Dictionary'!C:F,4,FALSE))=0, "", IF(B82="", "", VLOOKUP(B82,'API Data Dictionary'!C:F,4,FALSE)))</f>
        <v>pattern: ^(?!.*\.\.)(?!.*\\_\\_)(?!.*\-\-)[a-zA-Z0-9][-a-zA-Z0-9._]+[a-zA-Z0-9]@([-a-zA-Z0-9]+.)+[a-zA-Z]{2,5}$</v>
      </c>
      <c r="G82" s="62" t="str">
        <f>IF(IF(B82="", "", VLOOKUP(B82,'API Data Dictionary'!C:G,5,FALSE))=0, "", IF(B82="", "", VLOOKUP(B82,'API Data Dictionary'!C:G,5,FALSE)))</f>
        <v>The landlords email address</v>
      </c>
    </row>
    <row r="83" spans="1:7" x14ac:dyDescent="0.35">
      <c r="A83" s="64" t="s">
        <v>1186</v>
      </c>
      <c r="B83" s="62" t="str">
        <f t="shared" si="1"/>
        <v/>
      </c>
      <c r="C83" s="62" t="str">
        <f>IF(B83="", "", VLOOKUP(B83,'API Data Dictionary'!C:L,10,FALSE))</f>
        <v/>
      </c>
      <c r="D83" s="62" t="str">
        <f>IF(B83="", "", VLOOKUP(B83,'API Data Dictionary'!C:D,2,FALSE))</f>
        <v/>
      </c>
      <c r="E83" s="62" t="str">
        <f>IF(IF(B83="", "", VLOOKUP(B83,'API Data Dictionary'!C:E,3,FALSE))=0, "", IF(B83="", "", VLOOKUP(B83,'API Data Dictionary'!C:E,3,FALSE)))</f>
        <v/>
      </c>
      <c r="F83" s="62" t="str">
        <f>IF(IF(B83="", "", VLOOKUP(B83,'API Data Dictionary'!C:F,4,FALSE))=0, "", IF(B83="", "", VLOOKUP(B83,'API Data Dictionary'!C:F,4,FALSE)))</f>
        <v/>
      </c>
      <c r="G83" s="62" t="str">
        <f>IF(IF(B83="", "", VLOOKUP(B83,'API Data Dictionary'!C:G,5,FALSE))=0, "", IF(B83="", "", VLOOKUP(B83,'API Data Dictionary'!C:G,5,FALSE)))</f>
        <v/>
      </c>
    </row>
    <row r="84" spans="1:7" x14ac:dyDescent="0.35">
      <c r="A84" s="64" t="s">
        <v>1166</v>
      </c>
      <c r="B84" s="62" t="str">
        <f t="shared" si="1"/>
        <v>houseNumber</v>
      </c>
      <c r="C84" s="62" t="str">
        <f>IF(B84="", "", VLOOKUP(B84,'API Data Dictionary'!C:L,10,FALSE))</f>
        <v>X</v>
      </c>
      <c r="D84" s="62" t="str">
        <f>IF(B84="", "", VLOOKUP(B84,'API Data Dictionary'!C:D,2,FALSE))</f>
        <v>string</v>
      </c>
      <c r="E84" s="62">
        <f>IF(IF(B84="", "", VLOOKUP(B84,'API Data Dictionary'!C:E,3,FALSE))=0, "", IF(B84="", "", VLOOKUP(B84,'API Data Dictionary'!C:E,3,FALSE)))</f>
        <v>100</v>
      </c>
      <c r="F84" s="62" t="str">
        <f>IF(IF(B84="", "", VLOOKUP(B84,'API Data Dictionary'!C:F,4,FALSE))=0, "", IF(B84="", "", VLOOKUP(B84,'API Data Dictionary'!C:F,4,FALSE)))</f>
        <v/>
      </c>
      <c r="G84" s="62" t="str">
        <f>IF(IF(B84="", "", VLOOKUP(B84,'API Data Dictionary'!C:G,5,FALSE))=0, "", IF(B84="", "", VLOOKUP(B84,'API Data Dictionary'!C:G,5,FALSE)))</f>
        <v xml:space="preserve">The number of the property, mandatory OR pair with House name field </v>
      </c>
    </row>
    <row r="85" spans="1:7" x14ac:dyDescent="0.35">
      <c r="A85" s="64" t="s">
        <v>1167</v>
      </c>
      <c r="B85" s="62" t="str">
        <f t="shared" si="1"/>
        <v>houseName</v>
      </c>
      <c r="C85" s="62" t="str">
        <f>IF(B85="", "", VLOOKUP(B85,'API Data Dictionary'!C:L,10,FALSE))</f>
        <v>X</v>
      </c>
      <c r="D85" s="62" t="str">
        <f>IF(B85="", "", VLOOKUP(B85,'API Data Dictionary'!C:D,2,FALSE))</f>
        <v>string</v>
      </c>
      <c r="E85" s="62">
        <f>IF(IF(B85="", "", VLOOKUP(B85,'API Data Dictionary'!C:E,3,FALSE))=0, "", IF(B85="", "", VLOOKUP(B85,'API Data Dictionary'!C:E,3,FALSE)))</f>
        <v>100</v>
      </c>
      <c r="F85" s="62" t="str">
        <f>IF(IF(B85="", "", VLOOKUP(B85,'API Data Dictionary'!C:F,4,FALSE))=0, "", IF(B85="", "", VLOOKUP(B85,'API Data Dictionary'!C:F,4,FALSE)))</f>
        <v/>
      </c>
      <c r="G85" s="62" t="str">
        <f>IF(IF(B85="", "", VLOOKUP(B85,'API Data Dictionary'!C:G,5,FALSE))=0, "", IF(B85="", "", VLOOKUP(B85,'API Data Dictionary'!C:G,5,FALSE)))</f>
        <v xml:space="preserve">The name of the property, mandatory OR pair with House number field </v>
      </c>
    </row>
    <row r="86" spans="1:7" x14ac:dyDescent="0.35">
      <c r="A86" s="64" t="s">
        <v>1168</v>
      </c>
      <c r="B86" s="62" t="str">
        <f t="shared" si="1"/>
        <v>addressLine1</v>
      </c>
      <c r="C86" s="62" t="str">
        <f>IF(B86="", "", VLOOKUP(B86,'API Data Dictionary'!C:L,10,FALSE))</f>
        <v>M</v>
      </c>
      <c r="D86" s="62" t="str">
        <f>IF(B86="", "", VLOOKUP(B86,'API Data Dictionary'!C:D,2,FALSE))</f>
        <v>string</v>
      </c>
      <c r="E86" s="62">
        <f>IF(IF(B86="", "", VLOOKUP(B86,'API Data Dictionary'!C:E,3,FALSE))=0, "", IF(B86="", "", VLOOKUP(B86,'API Data Dictionary'!C:E,3,FALSE)))</f>
        <v>100</v>
      </c>
      <c r="F86" s="62" t="str">
        <f>IF(IF(B86="", "", VLOOKUP(B86,'API Data Dictionary'!C:F,4,FALSE))=0, "", IF(B86="", "", VLOOKUP(B86,'API Data Dictionary'!C:F,4,FALSE)))</f>
        <v/>
      </c>
      <c r="G86" s="62" t="str">
        <f>IF(IF(B86="", "", VLOOKUP(B86,'API Data Dictionary'!C:G,5,FALSE))=0, "", IF(B86="", "", VLOOKUP(B86,'API Data Dictionary'!C:G,5,FALSE)))</f>
        <v>The first line of the property address</v>
      </c>
    </row>
    <row r="87" spans="1:7" x14ac:dyDescent="0.35">
      <c r="A87" s="64" t="s">
        <v>1169</v>
      </c>
      <c r="B87" s="62" t="str">
        <f t="shared" si="1"/>
        <v>addressLine2</v>
      </c>
      <c r="C87" s="62" t="s">
        <v>66</v>
      </c>
      <c r="D87" s="62" t="str">
        <f>IF(B87="", "", VLOOKUP(B87,'API Data Dictionary'!C:D,2,FALSE))</f>
        <v>string</v>
      </c>
      <c r="E87" s="62">
        <f>IF(IF(B87="", "", VLOOKUP(B87,'API Data Dictionary'!C:E,3,FALSE))=0, "", IF(B87="", "", VLOOKUP(B87,'API Data Dictionary'!C:E,3,FALSE)))</f>
        <v>100</v>
      </c>
      <c r="F87" s="62" t="str">
        <f>IF(IF(B87="", "", VLOOKUP(B87,'API Data Dictionary'!C:F,4,FALSE))=0, "", IF(B87="", "", VLOOKUP(B87,'API Data Dictionary'!C:F,4,FALSE)))</f>
        <v/>
      </c>
      <c r="G87" s="62" t="str">
        <f>IF(IF(B87="", "", VLOOKUP(B87,'API Data Dictionary'!C:G,5,FALSE))=0, "", IF(B87="", "", VLOOKUP(B87,'API Data Dictionary'!C:G,5,FALSE)))</f>
        <v>The second line of the property address</v>
      </c>
    </row>
    <row r="88" spans="1:7" x14ac:dyDescent="0.35">
      <c r="A88" s="64" t="s">
        <v>1170</v>
      </c>
      <c r="B88" s="62" t="str">
        <f t="shared" si="1"/>
        <v>town</v>
      </c>
      <c r="C88" s="62" t="str">
        <f>IF(B88="", "", VLOOKUP(B88,'API Data Dictionary'!C:L,10,FALSE))</f>
        <v>M</v>
      </c>
      <c r="D88" s="62" t="str">
        <f>IF(B88="", "", VLOOKUP(B88,'API Data Dictionary'!C:D,2,FALSE))</f>
        <v>string</v>
      </c>
      <c r="E88" s="62">
        <f>IF(IF(B88="", "", VLOOKUP(B88,'API Data Dictionary'!C:E,3,FALSE))=0, "", IF(B88="", "", VLOOKUP(B88,'API Data Dictionary'!C:E,3,FALSE)))</f>
        <v>50</v>
      </c>
      <c r="F88" s="62" t="str">
        <f>IF(IF(B88="", "", VLOOKUP(B88,'API Data Dictionary'!C:F,4,FALSE))=0, "", IF(B88="", "", VLOOKUP(B88,'API Data Dictionary'!C:F,4,FALSE)))</f>
        <v/>
      </c>
      <c r="G88" s="62" t="str">
        <f>IF(IF(B88="", "", VLOOKUP(B88,'API Data Dictionary'!C:G,5,FALSE))=0, "", IF(B88="", "", VLOOKUP(B88,'API Data Dictionary'!C:G,5,FALSE)))</f>
        <v>The town in which the property exists</v>
      </c>
    </row>
    <row r="89" spans="1:7" x14ac:dyDescent="0.35">
      <c r="A89" s="64" t="s">
        <v>1172</v>
      </c>
      <c r="B89" s="62" t="str">
        <f t="shared" si="1"/>
        <v>country</v>
      </c>
      <c r="C89" s="62" t="s">
        <v>66</v>
      </c>
      <c r="D89" s="62" t="str">
        <f>IF(B89="", "", VLOOKUP(B89,'API Data Dictionary'!C:D,2,FALSE))</f>
        <v>enum -Country/Location Code</v>
      </c>
      <c r="E89" s="62" t="str">
        <f>IF(IF(B89="", "", VLOOKUP(B89,'API Data Dictionary'!C:E,3,FALSE))=0, "", IF(B89="", "", VLOOKUP(B89,'API Data Dictionary'!C:E,3,FALSE)))</f>
        <v/>
      </c>
      <c r="F89" s="62" t="str">
        <f>IF(IF(B89="", "", VLOOKUP(B89,'API Data Dictionary'!C:F,4,FALSE))=0, "", IF(B89="", "", VLOOKUP(B89,'API Data Dictionary'!C:F,4,FALSE)))</f>
        <v>Valid Values 1-239 (See enum definition)</v>
      </c>
      <c r="G89" s="62" t="str">
        <f>IF(IF(B89="", "", VLOOKUP(B89,'API Data Dictionary'!C:G,5,FALSE))=0, "", IF(B89="", "", VLOOKUP(B89,'API Data Dictionary'!C:G,5,FALSE)))</f>
        <v>The Country code from the enum list, e.g. France</v>
      </c>
    </row>
    <row r="90" spans="1:7" x14ac:dyDescent="0.35">
      <c r="A90" s="64" t="s">
        <v>1187</v>
      </c>
      <c r="B90" s="62" t="str">
        <f t="shared" si="1"/>
        <v>postcode</v>
      </c>
      <c r="C90" s="62" t="str">
        <f>IF(B90="", "", VLOOKUP(B90,'API Data Dictionary'!C:L,10,FALSE))</f>
        <v>M</v>
      </c>
      <c r="D90" s="62" t="str">
        <f>IF(B90="", "", VLOOKUP(B90,'API Data Dictionary'!C:D,2,FALSE))</f>
        <v>string</v>
      </c>
      <c r="E90" s="62">
        <f>IF(IF(B90="", "", VLOOKUP(B90,'API Data Dictionary'!C:E,3,FALSE))=0, "", IF(B90="", "", VLOOKUP(B90,'API Data Dictionary'!C:E,3,FALSE)))</f>
        <v>50</v>
      </c>
      <c r="F90" s="62" t="str">
        <f>IF(IF(B90="", "", VLOOKUP(B90,'API Data Dictionary'!C:F,4,FALSE))=0, "", IF(B90="", "", VLOOKUP(B90,'API Data Dictionary'!C:F,4,FALSE)))</f>
        <v/>
      </c>
      <c r="G90" s="62" t="str">
        <f>IF(IF(B90="", "", VLOOKUP(B90,'API Data Dictionary'!C:G,5,FALSE))=0, "", IF(B90="", "", VLOOKUP(B90,'API Data Dictionary'!C:G,5,FALSE)))</f>
        <v>the postcode of the property</v>
      </c>
    </row>
    <row r="91" spans="1:7" x14ac:dyDescent="0.35">
      <c r="A91" s="64" t="s">
        <v>1115</v>
      </c>
      <c r="B91" s="62" t="str">
        <f t="shared" si="1"/>
        <v/>
      </c>
      <c r="C91" s="62" t="str">
        <f>IF(B91="", "", VLOOKUP(B91,'API Data Dictionary'!C:L,10,FALSE))</f>
        <v/>
      </c>
      <c r="D91" s="62" t="str">
        <f>IF(B91="", "", VLOOKUP(B91,'API Data Dictionary'!C:D,2,FALSE))</f>
        <v/>
      </c>
      <c r="E91" s="62" t="str">
        <f>IF(IF(B91="", "", VLOOKUP(B91,'API Data Dictionary'!C:E,3,FALSE))=0, "", IF(B91="", "", VLOOKUP(B91,'API Data Dictionary'!C:E,3,FALSE)))</f>
        <v/>
      </c>
      <c r="F91" s="62" t="str">
        <f>IF(IF(B91="", "", VLOOKUP(B91,'API Data Dictionary'!C:F,4,FALSE))=0, "", IF(B91="", "", VLOOKUP(B91,'API Data Dictionary'!C:F,4,FALSE)))</f>
        <v/>
      </c>
      <c r="G91" s="62" t="str">
        <f>IF(IF(B91="", "", VLOOKUP(B91,'API Data Dictionary'!C:G,5,FALSE))=0, "", IF(B91="", "", VLOOKUP(B91,'API Data Dictionary'!C:G,5,FALSE)))</f>
        <v/>
      </c>
    </row>
    <row r="92" spans="1:7" x14ac:dyDescent="0.35">
      <c r="A92" s="64" t="s">
        <v>1188</v>
      </c>
      <c r="B92" s="62" t="str">
        <f t="shared" si="1"/>
        <v/>
      </c>
      <c r="C92" s="62" t="str">
        <f>IF(B92="", "", VLOOKUP(B92,'API Data Dictionary'!C:L,10,FALSE))</f>
        <v/>
      </c>
      <c r="D92" s="62" t="str">
        <f>IF(B92="", "", VLOOKUP(B92,'API Data Dictionary'!C:D,2,FALSE))</f>
        <v/>
      </c>
      <c r="E92" s="62" t="str">
        <f>IF(IF(B92="", "", VLOOKUP(B92,'API Data Dictionary'!C:E,3,FALSE))=0, "", IF(B92="", "", VLOOKUP(B92,'API Data Dictionary'!C:E,3,FALSE)))</f>
        <v/>
      </c>
      <c r="F92" s="62" t="str">
        <f>IF(IF(B92="", "", VLOOKUP(B92,'API Data Dictionary'!C:F,4,FALSE))=0, "", IF(B92="", "", VLOOKUP(B92,'API Data Dictionary'!C:F,4,FALSE)))</f>
        <v/>
      </c>
      <c r="G92" s="62" t="str">
        <f>IF(IF(B92="", "", VLOOKUP(B92,'API Data Dictionary'!C:G,5,FALSE))=0, "", IF(B92="", "", VLOOKUP(B92,'API Data Dictionary'!C:G,5,FALSE)))</f>
        <v/>
      </c>
    </row>
    <row r="93" spans="1:7" x14ac:dyDescent="0.35">
      <c r="A93" s="64" t="s">
        <v>1189</v>
      </c>
      <c r="B93" s="62" t="str">
        <f t="shared" si="1"/>
        <v/>
      </c>
      <c r="C93" s="62" t="str">
        <f>IF(B93="", "", VLOOKUP(B93,'API Data Dictionary'!C:L,10,FALSE))</f>
        <v/>
      </c>
      <c r="D93" s="62" t="str">
        <f>IF(B93="", "", VLOOKUP(B93,'API Data Dictionary'!C:D,2,FALSE))</f>
        <v/>
      </c>
      <c r="E93" s="62" t="str">
        <f>IF(IF(B93="", "", VLOOKUP(B93,'API Data Dictionary'!C:E,3,FALSE))=0, "", IF(B93="", "", VLOOKUP(B93,'API Data Dictionary'!C:E,3,FALSE)))</f>
        <v/>
      </c>
      <c r="F93" s="62" t="str">
        <f>IF(IF(B93="", "", VLOOKUP(B93,'API Data Dictionary'!C:F,4,FALSE))=0, "", IF(B93="", "", VLOOKUP(B93,'API Data Dictionary'!C:F,4,FALSE)))</f>
        <v/>
      </c>
      <c r="G93" s="62" t="str">
        <f>IF(IF(B93="", "", VLOOKUP(B93,'API Data Dictionary'!C:G,5,FALSE))=0, "", IF(B93="", "", VLOOKUP(B93,'API Data Dictionary'!C:G,5,FALSE)))</f>
        <v/>
      </c>
    </row>
    <row r="94" spans="1:7" x14ac:dyDescent="0.35">
      <c r="A94" s="64" t="s">
        <v>1190</v>
      </c>
      <c r="B94" s="62" t="str">
        <f t="shared" si="1"/>
        <v>submittedisAdverseCredit</v>
      </c>
      <c r="C94" s="62" t="s">
        <v>68</v>
      </c>
      <c r="D94" s="62" t="str">
        <f>IF(B94="", "", VLOOKUP(B94,'API Data Dictionary'!C:D,2,FALSE))</f>
        <v>boolean</v>
      </c>
      <c r="E94" s="62" t="str">
        <f>IF(IF(B94="", "", VLOOKUP(B94,'API Data Dictionary'!C:E,3,FALSE))=0, "", IF(B94="", "", VLOOKUP(B94,'API Data Dictionary'!C:E,3,FALSE)))</f>
        <v/>
      </c>
      <c r="F94" s="62" t="str">
        <f>IF(IF(B94="", "", VLOOKUP(B94,'API Data Dictionary'!C:F,4,FALSE))=0, "", IF(B94="", "", VLOOKUP(B94,'API Data Dictionary'!C:F,4,FALSE)))</f>
        <v/>
      </c>
      <c r="G94" s="62" t="str">
        <f>IF(IF(B94="", "", VLOOKUP(B94,'API Data Dictionary'!C:G,5,FALSE))=0, "", IF(B94="", "", VLOOKUP(B94,'API Data Dictionary'!C:G,5,FALSE)))</f>
        <v>Boolean for is adverse credit</v>
      </c>
    </row>
    <row r="95" spans="1:7" x14ac:dyDescent="0.35">
      <c r="A95" s="64" t="s">
        <v>1191</v>
      </c>
      <c r="B95" s="62" t="str">
        <f t="shared" si="1"/>
        <v>submittedisCCJ</v>
      </c>
      <c r="C95" s="62" t="s">
        <v>68</v>
      </c>
      <c r="D95" s="62" t="str">
        <f>IF(B95="", "", VLOOKUP(B95,'API Data Dictionary'!C:D,2,FALSE))</f>
        <v>boolean</v>
      </c>
      <c r="E95" s="62" t="str">
        <f>IF(IF(B95="", "", VLOOKUP(B95,'API Data Dictionary'!C:E,3,FALSE))=0, "", IF(B95="", "", VLOOKUP(B95,'API Data Dictionary'!C:E,3,FALSE)))</f>
        <v/>
      </c>
      <c r="F95" s="62" t="str">
        <f>IF(IF(B95="", "", VLOOKUP(B95,'API Data Dictionary'!C:F,4,FALSE))=0, "", IF(B95="", "", VLOOKUP(B95,'API Data Dictionary'!C:F,4,FALSE)))</f>
        <v/>
      </c>
      <c r="G95" s="62" t="str">
        <f>IF(IF(B95="", "", VLOOKUP(B95,'API Data Dictionary'!C:G,5,FALSE))=0, "", IF(B95="", "", VLOOKUP(B95,'API Data Dictionary'!C:G,5,FALSE)))</f>
        <v>Boolean for is County court judgment</v>
      </c>
    </row>
    <row r="96" spans="1:7" x14ac:dyDescent="0.35">
      <c r="A96" s="64" t="s">
        <v>1192</v>
      </c>
      <c r="B96" s="62" t="str">
        <f t="shared" si="1"/>
        <v>submittedisBankruptcy</v>
      </c>
      <c r="C96" s="62" t="s">
        <v>68</v>
      </c>
      <c r="D96" s="62" t="str">
        <f>IF(B96="", "", VLOOKUP(B96,'API Data Dictionary'!C:D,2,FALSE))</f>
        <v>boolean</v>
      </c>
      <c r="E96" s="62" t="str">
        <f>IF(IF(B96="", "", VLOOKUP(B96,'API Data Dictionary'!C:E,3,FALSE))=0, "", IF(B96="", "", VLOOKUP(B96,'API Data Dictionary'!C:E,3,FALSE)))</f>
        <v/>
      </c>
      <c r="F96" s="62" t="str">
        <f>IF(IF(B96="", "", VLOOKUP(B96,'API Data Dictionary'!C:F,4,FALSE))=0, "", IF(B96="", "", VLOOKUP(B96,'API Data Dictionary'!C:F,4,FALSE)))</f>
        <v/>
      </c>
      <c r="G96" s="62" t="str">
        <f>IF(IF(B96="", "", VLOOKUP(B96,'API Data Dictionary'!C:G,5,FALSE))=0, "", IF(B96="", "", VLOOKUP(B96,'API Data Dictionary'!C:G,5,FALSE)))</f>
        <v>Boolean for is bankruptcy</v>
      </c>
    </row>
    <row r="97" spans="1:7" x14ac:dyDescent="0.35">
      <c r="A97" s="64" t="s">
        <v>1193</v>
      </c>
      <c r="B97" s="62" t="str">
        <f t="shared" si="1"/>
        <v>submittedisInsolvency</v>
      </c>
      <c r="C97" s="62" t="s">
        <v>68</v>
      </c>
      <c r="D97" s="62" t="str">
        <f>IF(B97="", "", VLOOKUP(B97,'API Data Dictionary'!C:D,2,FALSE))</f>
        <v>boolean</v>
      </c>
      <c r="E97" s="62" t="str">
        <f>IF(IF(B97="", "", VLOOKUP(B97,'API Data Dictionary'!C:E,3,FALSE))=0, "", IF(B97="", "", VLOOKUP(B97,'API Data Dictionary'!C:E,3,FALSE)))</f>
        <v/>
      </c>
      <c r="F97" s="62" t="str">
        <f>IF(IF(B97="", "", VLOOKUP(B97,'API Data Dictionary'!C:F,4,FALSE))=0, "", IF(B97="", "", VLOOKUP(B97,'API Data Dictionary'!C:F,4,FALSE)))</f>
        <v/>
      </c>
      <c r="G97" s="62" t="str">
        <f>IF(IF(B97="", "", VLOOKUP(B97,'API Data Dictionary'!C:G,5,FALSE))=0, "", IF(B97="", "", VLOOKUP(B97,'API Data Dictionary'!C:G,5,FALSE)))</f>
        <v>Boolean for is Insolvency</v>
      </c>
    </row>
    <row r="98" spans="1:7" x14ac:dyDescent="0.35">
      <c r="A98" s="64" t="s">
        <v>1194</v>
      </c>
      <c r="B98" s="62" t="str">
        <f t="shared" si="1"/>
        <v>submittedisOtherAdverseCredit</v>
      </c>
      <c r="C98" s="62" t="s">
        <v>68</v>
      </c>
      <c r="D98" s="62" t="str">
        <f>IF(B98="", "", VLOOKUP(B98,'API Data Dictionary'!C:D,2,FALSE))</f>
        <v>boolean</v>
      </c>
      <c r="E98" s="62" t="str">
        <f>IF(IF(B98="", "", VLOOKUP(B98,'API Data Dictionary'!C:E,3,FALSE))=0, "", IF(B98="", "", VLOOKUP(B98,'API Data Dictionary'!C:E,3,FALSE)))</f>
        <v/>
      </c>
      <c r="F98" s="62" t="str">
        <f>IF(IF(B98="", "", VLOOKUP(B98,'API Data Dictionary'!C:F,4,FALSE))=0, "", IF(B98="", "", VLOOKUP(B98,'API Data Dictionary'!C:F,4,FALSE)))</f>
        <v/>
      </c>
      <c r="G98" s="62" t="str">
        <f>IF(IF(B98="", "", VLOOKUP(B98,'API Data Dictionary'!C:G,5,FALSE))=0, "", IF(B98="", "", VLOOKUP(B98,'API Data Dictionary'!C:G,5,FALSE)))</f>
        <v>Boolean for is other Adverse credit</v>
      </c>
    </row>
    <row r="99" spans="1:7" x14ac:dyDescent="0.35">
      <c r="A99" s="64" t="s">
        <v>1195</v>
      </c>
      <c r="B99" s="62" t="str">
        <f t="shared" si="1"/>
        <v>submittedOtherAdverseCreditDesc</v>
      </c>
      <c r="C99" s="62" t="s">
        <v>68</v>
      </c>
      <c r="D99" s="62" t="str">
        <f>IF(B99="", "", VLOOKUP(B99,'API Data Dictionary'!C:D,2,FALSE))</f>
        <v>string</v>
      </c>
      <c r="E99" s="62">
        <f>IF(IF(B99="", "", VLOOKUP(B99,'API Data Dictionary'!C:E,3,FALSE))=0, "", IF(B99="", "", VLOOKUP(B99,'API Data Dictionary'!C:E,3,FALSE)))</f>
        <v>1000</v>
      </c>
      <c r="F99" s="62" t="str">
        <f>IF(IF(B99="", "", VLOOKUP(B99,'API Data Dictionary'!C:F,4,FALSE))=0, "", IF(B99="", "", VLOOKUP(B99,'API Data Dictionary'!C:F,4,FALSE)))</f>
        <v/>
      </c>
      <c r="G99" s="62" t="str">
        <f>IF(IF(B99="", "", VLOOKUP(B99,'API Data Dictionary'!C:G,5,FALSE))=0, "", IF(B99="", "", VLOOKUP(B99,'API Data Dictionary'!C:G,5,FALSE)))</f>
        <v>If submittedisOtherAdverseCredit is True, the free text field for adverse credit</v>
      </c>
    </row>
    <row r="100" spans="1:7" x14ac:dyDescent="0.35">
      <c r="A100" s="64" t="s">
        <v>1117</v>
      </c>
      <c r="B100" s="62" t="str">
        <f t="shared" si="1"/>
        <v/>
      </c>
      <c r="C100" s="62"/>
      <c r="D100" s="62" t="str">
        <f>IF(B100="", "", VLOOKUP(B100,'API Data Dictionary'!C:D,2,FALSE))</f>
        <v/>
      </c>
      <c r="E100" s="62" t="str">
        <f>IF(IF(B100="", "", VLOOKUP(B100,'API Data Dictionary'!C:E,3,FALSE))=0, "", IF(B100="", "", VLOOKUP(B100,'API Data Dictionary'!C:E,3,FALSE)))</f>
        <v/>
      </c>
      <c r="F100" s="62" t="str">
        <f>IF(IF(B100="", "", VLOOKUP(B100,'API Data Dictionary'!C:F,4,FALSE))=0, "", IF(B100="", "", VLOOKUP(B100,'API Data Dictionary'!C:F,4,FALSE)))</f>
        <v/>
      </c>
      <c r="G100" s="62" t="str">
        <f>IF(IF(B100="", "", VLOOKUP(B100,'API Data Dictionary'!C:G,5,FALSE))=0, "", IF(B100="", "", VLOOKUP(B100,'API Data Dictionary'!C:G,5,FALSE)))</f>
        <v/>
      </c>
    </row>
    <row r="101" spans="1:7" x14ac:dyDescent="0.35">
      <c r="A101" s="64" t="s">
        <v>1118</v>
      </c>
      <c r="B101" s="62" t="str">
        <f t="shared" si="1"/>
        <v/>
      </c>
      <c r="C101" s="62" t="str">
        <f>IF(B101="", "", VLOOKUP(B101,'API Data Dictionary'!C:L,10,FALSE))</f>
        <v/>
      </c>
      <c r="D101" s="62" t="str">
        <f>IF(B101="", "", VLOOKUP(B101,'API Data Dictionary'!C:D,2,FALSE))</f>
        <v/>
      </c>
      <c r="E101" s="62" t="str">
        <f>IF(IF(B101="", "", VLOOKUP(B101,'API Data Dictionary'!C:E,3,FALSE))=0, "", IF(B101="", "", VLOOKUP(B101,'API Data Dictionary'!C:E,3,FALSE)))</f>
        <v/>
      </c>
      <c r="F101" s="62" t="str">
        <f>IF(IF(B101="", "", VLOOKUP(B101,'API Data Dictionary'!C:F,4,FALSE))=0, "", IF(B101="", "", VLOOKUP(B101,'API Data Dictionary'!C:F,4,FALSE)))</f>
        <v/>
      </c>
      <c r="G101" s="62" t="str">
        <f>IF(IF(B101="", "", VLOOKUP(B101,'API Data Dictionary'!C:G,5,FALSE))=0, "", IF(B101="", "", VLOOKUP(B101,'API Data Dictionary'!C:G,5,FALSE)))</f>
        <v/>
      </c>
    </row>
    <row r="102" spans="1:7" x14ac:dyDescent="0.35">
      <c r="A102" s="64" t="s">
        <v>1139</v>
      </c>
      <c r="B102" s="62" t="str">
        <f t="shared" si="1"/>
        <v/>
      </c>
      <c r="C102" s="62" t="str">
        <f>IF(B102="", "", VLOOKUP(B102,'API Data Dictionary'!C:L,10,FALSE))</f>
        <v/>
      </c>
      <c r="D102" s="62" t="str">
        <f>IF(B102="", "", VLOOKUP(B102,'API Data Dictionary'!C:D,2,FALSE))</f>
        <v/>
      </c>
      <c r="E102" s="62" t="str">
        <f>IF(IF(B102="", "", VLOOKUP(B102,'API Data Dictionary'!C:E,3,FALSE))=0, "", IF(B102="", "", VLOOKUP(B102,'API Data Dictionary'!C:E,3,FALSE)))</f>
        <v/>
      </c>
      <c r="F102" s="62" t="str">
        <f>IF(IF(B102="", "", VLOOKUP(B102,'API Data Dictionary'!C:F,4,FALSE))=0, "", IF(B102="", "", VLOOKUP(B102,'API Data Dictionary'!C:F,4,FALSE)))</f>
        <v/>
      </c>
      <c r="G102" s="62" t="str">
        <f>IF(IF(B102="", "", VLOOKUP(B102,'API Data Dictionary'!C:G,5,FALSE))=0, "", IF(B102="", "", VLOOKUP(B102,'API Data Dictionary'!C:G,5,FALSE)))</f>
        <v/>
      </c>
    </row>
    <row r="103" spans="1:7" x14ac:dyDescent="0.35">
      <c r="A103" s="64" t="s">
        <v>1196</v>
      </c>
      <c r="B103" s="62" t="str">
        <f t="shared" si="1"/>
        <v/>
      </c>
      <c r="C103" s="62" t="str">
        <f>IF(B103="", "", VLOOKUP(B103,'API Data Dictionary'!C:L,10,FALSE))</f>
        <v/>
      </c>
      <c r="D103" s="62" t="str">
        <f>IF(B103="", "", VLOOKUP(B103,'API Data Dictionary'!C:D,2,FALSE))</f>
        <v/>
      </c>
      <c r="E103" s="62" t="str">
        <f>IF(IF(B103="", "", VLOOKUP(B103,'API Data Dictionary'!C:E,3,FALSE))=0, "", IF(B103="", "", VLOOKUP(B103,'API Data Dictionary'!C:E,3,FALSE)))</f>
        <v/>
      </c>
      <c r="F103" s="62" t="str">
        <f>IF(IF(B103="", "", VLOOKUP(B103,'API Data Dictionary'!C:F,4,FALSE))=0, "", IF(B103="", "", VLOOKUP(B103,'API Data Dictionary'!C:F,4,FALSE)))</f>
        <v/>
      </c>
      <c r="G103" s="62" t="str">
        <f>IF(IF(B103="", "", VLOOKUP(B103,'API Data Dictionary'!C:G,5,FALSE))=0, "", IF(B103="", "", VLOOKUP(B103,'API Data Dictionary'!C:G,5,FALSE)))</f>
        <v/>
      </c>
    </row>
    <row r="104" spans="1:7" x14ac:dyDescent="0.35">
      <c r="A104" s="64" t="s">
        <v>1107</v>
      </c>
      <c r="B104" s="62" t="str">
        <f t="shared" si="1"/>
        <v/>
      </c>
      <c r="C104" s="62" t="str">
        <f>IF(B104="", "", VLOOKUP(B104,'API Data Dictionary'!C:L,10,FALSE))</f>
        <v/>
      </c>
      <c r="D104" s="62" t="str">
        <f>IF(B104="", "", VLOOKUP(B104,'API Data Dictionary'!C:D,2,FALSE))</f>
        <v/>
      </c>
      <c r="E104" s="62" t="str">
        <f>IF(IF(B104="", "", VLOOKUP(B104,'API Data Dictionary'!C:E,3,FALSE))=0, "", IF(B104="", "", VLOOKUP(B104,'API Data Dictionary'!C:E,3,FALSE)))</f>
        <v/>
      </c>
      <c r="F104" s="62" t="str">
        <f>IF(IF(B104="", "", VLOOKUP(B104,'API Data Dictionary'!C:F,4,FALSE))=0, "", IF(B104="", "", VLOOKUP(B104,'API Data Dictionary'!C:F,4,FALSE)))</f>
        <v/>
      </c>
      <c r="G104" s="62" t="str">
        <f>IF(IF(B104="", "", VLOOKUP(B104,'API Data Dictionary'!C:G,5,FALSE))=0, "", IF(B104="", "", VLOOKUP(B104,'API Data Dictionary'!C:G,5,FALSE)))</f>
        <v/>
      </c>
    </row>
    <row r="105" spans="1:7" x14ac:dyDescent="0.35">
      <c r="A105" s="64" t="s">
        <v>1197</v>
      </c>
      <c r="B105" s="62" t="str">
        <f t="shared" si="1"/>
        <v>incomeTypeID</v>
      </c>
      <c r="C105" s="62" t="s">
        <v>68</v>
      </c>
      <c r="D105" s="62" t="str">
        <f>IF(B105="", "", VLOOKUP(B105,'API Data Dictionary'!C:D,2,FALSE))</f>
        <v>enum - Income Type</v>
      </c>
      <c r="E105" s="62" t="str">
        <f>IF(IF(B105="", "", VLOOKUP(B105,'API Data Dictionary'!C:E,3,FALSE))=0, "", IF(B105="", "", VLOOKUP(B105,'API Data Dictionary'!C:E,3,FALSE)))</f>
        <v/>
      </c>
      <c r="F105" s="62" t="str">
        <f>IF(IF(B105="", "", VLOOKUP(B105,'API Data Dictionary'!C:F,4,FALSE))=0, "", IF(B105="", "", VLOOKUP(B105,'API Data Dictionary'!C:F,4,FALSE)))</f>
        <v>Valid Values 1,2,3,5,6,7,8 (See enum definition)</v>
      </c>
      <c r="G105" s="62" t="str">
        <f>IF(IF(B105="", "", VLOOKUP(B105,'API Data Dictionary'!C:G,5,FALSE))=0, "", IF(B105="", "", VLOOKUP(B105,'API Data Dictionary'!C:G,5,FALSE)))</f>
        <v>The Income Type, e.g savings or employed</v>
      </c>
    </row>
    <row r="106" spans="1:7" x14ac:dyDescent="0.35">
      <c r="A106" s="64" t="s">
        <v>1198</v>
      </c>
      <c r="B106" s="62" t="str">
        <f t="shared" si="1"/>
        <v>incomeTermID</v>
      </c>
      <c r="C106" s="62" t="s">
        <v>68</v>
      </c>
      <c r="D106" s="62" t="str">
        <f>IF(B106="", "", VLOOKUP(B106,'API Data Dictionary'!C:D,2,FALSE))</f>
        <v>enum - Income Term</v>
      </c>
      <c r="E106" s="62" t="str">
        <f>IF(IF(B106="", "", VLOOKUP(B106,'API Data Dictionary'!C:E,3,FALSE))=0, "", IF(B106="", "", VLOOKUP(B106,'API Data Dictionary'!C:E,3,FALSE)))</f>
        <v/>
      </c>
      <c r="F106" s="62" t="str">
        <f>IF(IF(B106="", "", VLOOKUP(B106,'API Data Dictionary'!C:F,4,FALSE))=0, "", IF(B106="", "", VLOOKUP(B106,'API Data Dictionary'!C:F,4,FALSE)))</f>
        <v>Valid Values 1-4 (See enum definition)</v>
      </c>
      <c r="G106" s="62" t="str">
        <f>IF(IF(B106="", "", VLOOKUP(B106,'API Data Dictionary'!C:G,5,FALSE))=0, "", IF(B106="", "", VLOOKUP(B106,'API Data Dictionary'!C:G,5,FALSE)))</f>
        <v>Income term, e.g monthly or weekly</v>
      </c>
    </row>
    <row r="107" spans="1:7" x14ac:dyDescent="0.35">
      <c r="A107" s="64" t="s">
        <v>1199</v>
      </c>
      <c r="B107" s="62" t="str">
        <f t="shared" si="1"/>
        <v/>
      </c>
      <c r="C107" s="62" t="str">
        <f>IF(B107="", "", VLOOKUP(B107,'API Data Dictionary'!C:L,10,FALSE))</f>
        <v/>
      </c>
      <c r="D107" s="62" t="str">
        <f>IF(B107="", "", VLOOKUP(B107,'API Data Dictionary'!C:D,2,FALSE))</f>
        <v/>
      </c>
      <c r="E107" s="62" t="str">
        <f>IF(IF(B107="", "", VLOOKUP(B107,'API Data Dictionary'!C:E,3,FALSE))=0, "", IF(B107="", "", VLOOKUP(B107,'API Data Dictionary'!C:E,3,FALSE)))</f>
        <v/>
      </c>
      <c r="F107" s="62" t="str">
        <f>IF(IF(B107="", "", VLOOKUP(B107,'API Data Dictionary'!C:F,4,FALSE))=0, "", IF(B107="", "", VLOOKUP(B107,'API Data Dictionary'!C:F,4,FALSE)))</f>
        <v/>
      </c>
      <c r="G107" s="62" t="str">
        <f>IF(IF(B107="", "", VLOOKUP(B107,'API Data Dictionary'!C:G,5,FALSE))=0, "", IF(B107="", "", VLOOKUP(B107,'API Data Dictionary'!C:G,5,FALSE)))</f>
        <v/>
      </c>
    </row>
    <row r="108" spans="1:7" x14ac:dyDescent="0.35">
      <c r="A108" s="64" t="s">
        <v>1200</v>
      </c>
      <c r="B108" s="62" t="str">
        <f t="shared" si="1"/>
        <v>countryOfEmployment</v>
      </c>
      <c r="C108" s="62" t="s">
        <v>68</v>
      </c>
      <c r="D108" s="62" t="str">
        <f>IF(B108="", "", VLOOKUP(B108,'API Data Dictionary'!C:D,2,FALSE))</f>
        <v>enum -Country/Location Code</v>
      </c>
      <c r="E108" s="62" t="str">
        <f>IF(IF(B108="", "", VLOOKUP(B108,'API Data Dictionary'!C:E,3,FALSE))=0, "", IF(B108="", "", VLOOKUP(B108,'API Data Dictionary'!C:E,3,FALSE)))</f>
        <v/>
      </c>
      <c r="F108" s="62" t="str">
        <f>IF(IF(B108="", "", VLOOKUP(B108,'API Data Dictionary'!C:F,4,FALSE))=0, "", IF(B108="", "", VLOOKUP(B108,'API Data Dictionary'!C:F,4,FALSE)))</f>
        <v>Valid Values 1-239 (See enum definition)</v>
      </c>
      <c r="G108" s="62" t="str">
        <f>IF(IF(B108="", "", VLOOKUP(B108,'API Data Dictionary'!C:G,5,FALSE))=0, "", IF(B108="", "", VLOOKUP(B108,'API Data Dictionary'!C:G,5,FALSE)))</f>
        <v>The Country of employment, from the enum list, e.g. France</v>
      </c>
    </row>
    <row r="109" spans="1:7" x14ac:dyDescent="0.35">
      <c r="A109" s="64" t="s">
        <v>1201</v>
      </c>
      <c r="B109" s="62" t="str">
        <f t="shared" si="1"/>
        <v>employersName</v>
      </c>
      <c r="C109" s="62" t="s">
        <v>68</v>
      </c>
      <c r="D109" s="62" t="str">
        <f>IF(B109="", "", VLOOKUP(B109,'API Data Dictionary'!C:D,2,FALSE))</f>
        <v>string</v>
      </c>
      <c r="E109" s="62">
        <f>IF(IF(B109="", "", VLOOKUP(B109,'API Data Dictionary'!C:E,3,FALSE))=0, "", IF(B109="", "", VLOOKUP(B109,'API Data Dictionary'!C:E,3,FALSE)))</f>
        <v>100</v>
      </c>
      <c r="F109" s="62" t="str">
        <f>IF(IF(B109="", "", VLOOKUP(B109,'API Data Dictionary'!C:F,4,FALSE))=0, "", IF(B109="", "", VLOOKUP(B109,'API Data Dictionary'!C:F,4,FALSE)))</f>
        <v>pattern: ^[a-zA-Z0-9\-' ]*$</v>
      </c>
      <c r="G109" s="62" t="str">
        <f>IF(IF(B109="", "", VLOOKUP(B109,'API Data Dictionary'!C:G,5,FALSE))=0, "", IF(B109="", "", VLOOKUP(B109,'API Data Dictionary'!C:G,5,FALSE)))</f>
        <v>Name of the company the person is employed by</v>
      </c>
    </row>
    <row r="110" spans="1:7" x14ac:dyDescent="0.35">
      <c r="A110" s="64" t="s">
        <v>1202</v>
      </c>
      <c r="B110" s="62" t="str">
        <f t="shared" si="1"/>
        <v>jobTitle</v>
      </c>
      <c r="C110" s="62" t="s">
        <v>68</v>
      </c>
      <c r="D110" s="62" t="str">
        <f>IF(B110="", "", VLOOKUP(B110,'API Data Dictionary'!C:D,2,FALSE))</f>
        <v>string</v>
      </c>
      <c r="E110" s="62">
        <f>IF(IF(B110="", "", VLOOKUP(B110,'API Data Dictionary'!C:E,3,FALSE))=0, "", IF(B110="", "", VLOOKUP(B110,'API Data Dictionary'!C:E,3,FALSE)))</f>
        <v>100</v>
      </c>
      <c r="F110" s="62" t="str">
        <f>IF(IF(B110="", "", VLOOKUP(B110,'API Data Dictionary'!C:F,4,FALSE))=0, "", IF(B110="", "", VLOOKUP(B110,'API Data Dictionary'!C:F,4,FALSE)))</f>
        <v>pattern: ^[A-Za-z ']+$</v>
      </c>
      <c r="G110" s="62" t="str">
        <f>IF(IF(B110="", "", VLOOKUP(B110,'API Data Dictionary'!C:G,5,FALSE))=0, "", IF(B110="", "", VLOOKUP(B110,'API Data Dictionary'!C:G,5,FALSE)))</f>
        <v>Job title at the company the person is employed by</v>
      </c>
    </row>
    <row r="111" spans="1:7" x14ac:dyDescent="0.35">
      <c r="A111" s="64" t="s">
        <v>1203</v>
      </c>
      <c r="B111" s="62" t="str">
        <f t="shared" si="1"/>
        <v>startDateofEmployment</v>
      </c>
      <c r="C111" s="62" t="s">
        <v>68</v>
      </c>
      <c r="D111" s="62" t="str">
        <f>IF(B111="", "", VLOOKUP(B111,'API Data Dictionary'!C:D,2,FALSE))</f>
        <v>string ($date-time)</v>
      </c>
      <c r="E111" s="62" t="str">
        <f>IF(IF(B111="", "", VLOOKUP(B111,'API Data Dictionary'!C:E,3,FALSE))=0, "", IF(B111="", "", VLOOKUP(B111,'API Data Dictionary'!C:E,3,FALSE)))</f>
        <v/>
      </c>
      <c r="F111" s="62" t="str">
        <f>IF(IF(B111="", "", VLOOKUP(B111,'API Data Dictionary'!C:F,4,FALSE))=0, "", IF(B111="", "", VLOOKUP(B111,'API Data Dictionary'!C:F,4,FALSE)))</f>
        <v xml:space="preserve"> DD/MM/YYYY</v>
      </c>
      <c r="G111" s="62" t="str">
        <f>IF(IF(B111="", "", VLOOKUP(B111,'API Data Dictionary'!C:G,5,FALSE))=0, "", IF(B111="", "", VLOOKUP(B111,'API Data Dictionary'!C:G,5,FALSE)))</f>
        <v>Start date of employment, formatted DD/MM/YYYY</v>
      </c>
    </row>
    <row r="112" spans="1:7" x14ac:dyDescent="0.35">
      <c r="A112" s="64" t="s">
        <v>1204</v>
      </c>
      <c r="B112" s="62" t="str">
        <f t="shared" si="1"/>
        <v>employmentGrossAnnualIncome</v>
      </c>
      <c r="C112" s="62" t="s">
        <v>68</v>
      </c>
      <c r="D112" s="62" t="str">
        <f>IF(B112="", "", VLOOKUP(B112,'API Data Dictionary'!C:D,2,FALSE))</f>
        <v>number (double)</v>
      </c>
      <c r="E112" s="62" t="str">
        <f>IF(IF(B112="", "", VLOOKUP(B112,'API Data Dictionary'!C:E,3,FALSE))=0, "", IF(B112="", "", VLOOKUP(B112,'API Data Dictionary'!C:E,3,FALSE)))</f>
        <v/>
      </c>
      <c r="F112" s="62" t="str">
        <f>IF(IF(B112="", "", VLOOKUP(B112,'API Data Dictionary'!C:F,4,FALSE))=0, "", IF(B112="", "", VLOOKUP(B112,'API Data Dictionary'!C:F,4,FALSE)))</f>
        <v>pattern: ^\d*.\d{0,2}$</v>
      </c>
      <c r="G112" s="62" t="str">
        <f>IF(IF(B112="", "", VLOOKUP(B112,'API Data Dictionary'!C:G,5,FALSE))=0, "", IF(B112="", "", VLOOKUP(B112,'API Data Dictionary'!C:G,5,FALSE)))</f>
        <v>Gross annual income in GBP</v>
      </c>
    </row>
    <row r="113" spans="1:7" x14ac:dyDescent="0.35">
      <c r="A113" s="64" t="s">
        <v>1205</v>
      </c>
      <c r="B113" s="62" t="str">
        <f t="shared" si="1"/>
        <v>employmentBonuses</v>
      </c>
      <c r="C113" s="62" t="s">
        <v>68</v>
      </c>
      <c r="D113" s="62" t="str">
        <f>IF(B113="", "", VLOOKUP(B113,'API Data Dictionary'!C:D,2,FALSE))</f>
        <v>boolean</v>
      </c>
      <c r="E113" s="62" t="str">
        <f>IF(IF(B113="", "", VLOOKUP(B113,'API Data Dictionary'!C:E,3,FALSE))=0, "", IF(B113="", "", VLOOKUP(B113,'API Data Dictionary'!C:E,3,FALSE)))</f>
        <v/>
      </c>
      <c r="F113" s="62" t="str">
        <f>IF(IF(B113="", "", VLOOKUP(B113,'API Data Dictionary'!C:F,4,FALSE))=0, "", IF(B113="", "", VLOOKUP(B113,'API Data Dictionary'!C:F,4,FALSE)))</f>
        <v/>
      </c>
      <c r="G113" s="62" t="str">
        <f>IF(IF(B113="", "", VLOOKUP(B113,'API Data Dictionary'!C:G,5,FALSE))=0, "", IF(B113="", "", VLOOKUP(B113,'API Data Dictionary'!C:G,5,FALSE)))</f>
        <v>Denotes if bonuses are recieved from the company the person is employed by</v>
      </c>
    </row>
    <row r="114" spans="1:7" x14ac:dyDescent="0.35">
      <c r="A114" s="64" t="s">
        <v>1206</v>
      </c>
      <c r="B114" s="62" t="str">
        <f t="shared" si="1"/>
        <v>employmentOvertimeReceived</v>
      </c>
      <c r="C114" s="62" t="s">
        <v>68</v>
      </c>
      <c r="D114" s="62" t="str">
        <f>IF(B114="", "", VLOOKUP(B114,'API Data Dictionary'!C:D,2,FALSE))</f>
        <v>boolean</v>
      </c>
      <c r="E114" s="62" t="str">
        <f>IF(IF(B114="", "", VLOOKUP(B114,'API Data Dictionary'!C:E,3,FALSE))=0, "", IF(B114="", "", VLOOKUP(B114,'API Data Dictionary'!C:E,3,FALSE)))</f>
        <v/>
      </c>
      <c r="F114" s="62" t="str">
        <f>IF(IF(B114="", "", VLOOKUP(B114,'API Data Dictionary'!C:F,4,FALSE))=0, "", IF(B114="", "", VLOOKUP(B114,'API Data Dictionary'!C:F,4,FALSE)))</f>
        <v/>
      </c>
      <c r="G114" s="62" t="str">
        <f>IF(IF(B114="", "", VLOOKUP(B114,'API Data Dictionary'!C:G,5,FALSE))=0, "", IF(B114="", "", VLOOKUP(B114,'API Data Dictionary'!C:G,5,FALSE)))</f>
        <v>Denotes if overtime is recieved from the company the person is employed by</v>
      </c>
    </row>
    <row r="115" spans="1:7" x14ac:dyDescent="0.35">
      <c r="A115" s="64" t="s">
        <v>1207</v>
      </c>
      <c r="B115" s="62" t="str">
        <f t="shared" si="1"/>
        <v>employmentBonusTerm</v>
      </c>
      <c r="C115" s="62" t="s">
        <v>68</v>
      </c>
      <c r="D115" s="62" t="str">
        <f>IF(B115="", "", VLOOKUP(B115,'API Data Dictionary'!C:D,2,FALSE))</f>
        <v>enum - Income Term</v>
      </c>
      <c r="E115" s="62" t="str">
        <f>IF(IF(B115="", "", VLOOKUP(B115,'API Data Dictionary'!C:E,3,FALSE))=0, "", IF(B115="", "", VLOOKUP(B115,'API Data Dictionary'!C:E,3,FALSE)))</f>
        <v/>
      </c>
      <c r="F115" s="62" t="str">
        <f>IF(IF(B115="", "", VLOOKUP(B115,'API Data Dictionary'!C:F,4,FALSE))=0, "", IF(B115="", "", VLOOKUP(B115,'API Data Dictionary'!C:F,4,FALSE)))</f>
        <v>Valid Values 1-4 (See enum definition)</v>
      </c>
      <c r="G115" s="62" t="str">
        <f>IF(IF(B115="", "", VLOOKUP(B115,'API Data Dictionary'!C:G,5,FALSE))=0, "", IF(B115="", "", VLOOKUP(B115,'API Data Dictionary'!C:G,5,FALSE)))</f>
        <v>Income term, e.g monthly or weekly</v>
      </c>
    </row>
    <row r="116" spans="1:7" x14ac:dyDescent="0.35">
      <c r="A116" s="64" t="s">
        <v>1208</v>
      </c>
      <c r="B116" s="62" t="str">
        <f t="shared" si="1"/>
        <v>employmentAvgBonusIncome</v>
      </c>
      <c r="C116" s="62" t="s">
        <v>68</v>
      </c>
      <c r="D116" s="62" t="str">
        <f>IF(B116="", "", VLOOKUP(B116,'API Data Dictionary'!C:D,2,FALSE))</f>
        <v>number (double)</v>
      </c>
      <c r="E116" s="62" t="str">
        <f>IF(IF(B116="", "", VLOOKUP(B116,'API Data Dictionary'!C:E,3,FALSE))=0, "", IF(B116="", "", VLOOKUP(B116,'API Data Dictionary'!C:E,3,FALSE)))</f>
        <v/>
      </c>
      <c r="F116" s="62" t="str">
        <f>IF(IF(B116="", "", VLOOKUP(B116,'API Data Dictionary'!C:F,4,FALSE))=0, "", IF(B116="", "", VLOOKUP(B116,'API Data Dictionary'!C:F,4,FALSE)))</f>
        <v>pattern: ^\d*.\d{0,2}$</v>
      </c>
      <c r="G116" s="62" t="str">
        <f>IF(IF(B116="", "", VLOOKUP(B116,'API Data Dictionary'!C:G,5,FALSE))=0, "", IF(B116="", "", VLOOKUP(B116,'API Data Dictionary'!C:G,5,FALSE)))</f>
        <v>Average bonus income in GBP</v>
      </c>
    </row>
    <row r="117" spans="1:7" x14ac:dyDescent="0.35">
      <c r="A117" s="64" t="s">
        <v>1209</v>
      </c>
      <c r="B117" s="62" t="str">
        <f t="shared" si="1"/>
        <v>employmentOvertimeTerm</v>
      </c>
      <c r="C117" s="62" t="s">
        <v>68</v>
      </c>
      <c r="D117" s="62" t="str">
        <f>IF(B117="", "", VLOOKUP(B117,'API Data Dictionary'!C:D,2,FALSE))</f>
        <v>enum - Income Term</v>
      </c>
      <c r="E117" s="62" t="str">
        <f>IF(IF(B117="", "", VLOOKUP(B117,'API Data Dictionary'!C:E,3,FALSE))=0, "", IF(B117="", "", VLOOKUP(B117,'API Data Dictionary'!C:E,3,FALSE)))</f>
        <v/>
      </c>
      <c r="F117" s="62" t="str">
        <f>IF(IF(B117="", "", VLOOKUP(B117,'API Data Dictionary'!C:F,4,FALSE))=0, "", IF(B117="", "", VLOOKUP(B117,'API Data Dictionary'!C:F,4,FALSE)))</f>
        <v>Valid Values 1-4 (See enum definition)</v>
      </c>
      <c r="G117" s="62" t="str">
        <f>IF(IF(B117="", "", VLOOKUP(B117,'API Data Dictionary'!C:G,5,FALSE))=0, "", IF(B117="", "", VLOOKUP(B117,'API Data Dictionary'!C:G,5,FALSE)))</f>
        <v>Income term, e.g monthly or weekly</v>
      </c>
    </row>
    <row r="118" spans="1:7" x14ac:dyDescent="0.35">
      <c r="A118" s="64" t="s">
        <v>1210</v>
      </c>
      <c r="B118" s="62" t="str">
        <f t="shared" si="1"/>
        <v>employmentOvertimeAvgIncome</v>
      </c>
      <c r="C118" s="62" t="s">
        <v>68</v>
      </c>
      <c r="D118" s="62" t="str">
        <f>IF(B118="", "", VLOOKUP(B118,'API Data Dictionary'!C:D,2,FALSE))</f>
        <v>number (double)</v>
      </c>
      <c r="E118" s="62" t="str">
        <f>IF(IF(B118="", "", VLOOKUP(B118,'API Data Dictionary'!C:E,3,FALSE))=0, "", IF(B118="", "", VLOOKUP(B118,'API Data Dictionary'!C:E,3,FALSE)))</f>
        <v/>
      </c>
      <c r="F118" s="62" t="str">
        <f>IF(IF(B118="", "", VLOOKUP(B118,'API Data Dictionary'!C:F,4,FALSE))=0, "", IF(B118="", "", VLOOKUP(B118,'API Data Dictionary'!C:F,4,FALSE)))</f>
        <v>pattern: ^\d*.\d{0,2}$</v>
      </c>
      <c r="G118" s="62" t="str">
        <f>IF(IF(B118="", "", VLOOKUP(B118,'API Data Dictionary'!C:G,5,FALSE))=0, "", IF(B118="", "", VLOOKUP(B118,'API Data Dictionary'!C:G,5,FALSE)))</f>
        <v>Average overtime income in GBP</v>
      </c>
    </row>
    <row r="119" spans="1:7" x14ac:dyDescent="0.35">
      <c r="A119" s="64" t="s">
        <v>1211</v>
      </c>
      <c r="B119" s="62" t="str">
        <f t="shared" si="1"/>
        <v>employmentEmployeeNumber</v>
      </c>
      <c r="C119" s="62" t="s">
        <v>68</v>
      </c>
      <c r="D119" s="62" t="str">
        <f>IF(B119="", "", VLOOKUP(B119,'API Data Dictionary'!C:D,2,FALSE))</f>
        <v>string</v>
      </c>
      <c r="E119" s="62">
        <f>IF(IF(B119="", "", VLOOKUP(B119,'API Data Dictionary'!C:E,3,FALSE))=0, "", IF(B119="", "", VLOOKUP(B119,'API Data Dictionary'!C:E,3,FALSE)))</f>
        <v>100</v>
      </c>
      <c r="F119" s="62" t="str">
        <f>IF(IF(B119="", "", VLOOKUP(B119,'API Data Dictionary'!C:F,4,FALSE))=0, "", IF(B119="", "", VLOOKUP(B119,'API Data Dictionary'!C:F,4,FALSE)))</f>
        <v/>
      </c>
      <c r="G119" s="62" t="str">
        <f>IF(IF(B119="", "", VLOOKUP(B119,'API Data Dictionary'!C:G,5,FALSE))=0, "", IF(B119="", "", VLOOKUP(B119,'API Data Dictionary'!C:G,5,FALSE)))</f>
        <v>Employee number from the company the person is employed by</v>
      </c>
    </row>
    <row r="120" spans="1:7" x14ac:dyDescent="0.35">
      <c r="A120" s="64" t="s">
        <v>1212</v>
      </c>
      <c r="B120" s="62" t="str">
        <f t="shared" ref="B120:B170" si="2">IF(OR(ISNUMBER(SEARCH("{", A120)),ISNUMBER(SEARCH("[", A120))), "", IFERROR(MID(A120, SEARCH("""", A120) +1, SEARCH("""", A120, SEARCH("""",A120) +1) - SEARCH("""", A120) -1), ""))</f>
        <v>paymentScheduleId</v>
      </c>
      <c r="C120" s="62" t="s">
        <v>68</v>
      </c>
      <c r="D120" s="62" t="str">
        <f>IF(B120="", "", VLOOKUP(B120,'API Data Dictionary'!C:D,2,FALSE))</f>
        <v>enum - Income Term</v>
      </c>
      <c r="E120" s="62" t="str">
        <f>IF(IF(B120="", "", VLOOKUP(B120,'API Data Dictionary'!C:E,3,FALSE))=0, "", IF(B120="", "", VLOOKUP(B120,'API Data Dictionary'!C:E,3,FALSE)))</f>
        <v/>
      </c>
      <c r="F120" s="62" t="str">
        <f>IF(IF(B120="", "", VLOOKUP(B120,'API Data Dictionary'!C:F,4,FALSE))=0, "", IF(B120="", "", VLOOKUP(B120,'API Data Dictionary'!C:F,4,FALSE)))</f>
        <v>Valid Values 1-4 (See enum definition)</v>
      </c>
      <c r="G120" s="62" t="str">
        <f>IF(IF(B120="", "", VLOOKUP(B120,'API Data Dictionary'!C:G,5,FALSE))=0, "", IF(B120="", "", VLOOKUP(B120,'API Data Dictionary'!C:G,5,FALSE)))</f>
        <v xml:space="preserve">The schedule of the payments </v>
      </c>
    </row>
    <row r="121" spans="1:7" x14ac:dyDescent="0.35">
      <c r="A121" s="64" t="s">
        <v>1213</v>
      </c>
      <c r="B121" s="62" t="str">
        <f t="shared" si="2"/>
        <v>employmentRefereeName</v>
      </c>
      <c r="C121" s="62" t="s">
        <v>68</v>
      </c>
      <c r="D121" s="62" t="str">
        <f>IF(B121="", "", VLOOKUP(B121,'API Data Dictionary'!C:D,2,FALSE))</f>
        <v>string</v>
      </c>
      <c r="E121" s="62">
        <f>IF(IF(B121="", "", VLOOKUP(B121,'API Data Dictionary'!C:E,3,FALSE))=0, "", IF(B121="", "", VLOOKUP(B121,'API Data Dictionary'!C:E,3,FALSE)))</f>
        <v>100</v>
      </c>
      <c r="F121" s="62" t="str">
        <f>IF(IF(B121="", "", VLOOKUP(B121,'API Data Dictionary'!C:F,4,FALSE))=0, "", IF(B121="", "", VLOOKUP(B121,'API Data Dictionary'!C:F,4,FALSE)))</f>
        <v/>
      </c>
      <c r="G121" s="62" t="str">
        <f>IF(IF(B121="", "", VLOOKUP(B121,'API Data Dictionary'!C:G,5,FALSE))=0, "", IF(B121="", "", VLOOKUP(B121,'API Data Dictionary'!C:G,5,FALSE)))</f>
        <v>The fulll name of the employment referee</v>
      </c>
    </row>
    <row r="122" spans="1:7" x14ac:dyDescent="0.35">
      <c r="A122" s="64" t="s">
        <v>1214</v>
      </c>
      <c r="B122" s="62" t="str">
        <f t="shared" si="2"/>
        <v>employmentRefereeContactCountryID</v>
      </c>
      <c r="C122" s="62" t="s">
        <v>68</v>
      </c>
      <c r="D122" s="62" t="str">
        <f>IF(B122="", "", VLOOKUP(B122,'API Data Dictionary'!C:D,2,FALSE))</f>
        <v>enum -Country/Location Code</v>
      </c>
      <c r="E122" s="62" t="str">
        <f>IF(IF(B122="", "", VLOOKUP(B122,'API Data Dictionary'!C:E,3,FALSE))=0, "", IF(B122="", "", VLOOKUP(B122,'API Data Dictionary'!C:E,3,FALSE)))</f>
        <v/>
      </c>
      <c r="F122" s="62" t="str">
        <f>IF(IF(B122="", "", VLOOKUP(B122,'API Data Dictionary'!C:F,4,FALSE))=0, "", IF(B122="", "", VLOOKUP(B122,'API Data Dictionary'!C:F,4,FALSE)))</f>
        <v>Valid Values 1-239 (See enum definition)</v>
      </c>
      <c r="G122" s="62" t="str">
        <f>IF(IF(B122="", "", VLOOKUP(B122,'API Data Dictionary'!C:G,5,FALSE))=0, "", IF(B122="", "", VLOOKUP(B122,'API Data Dictionary'!C:G,5,FALSE)))</f>
        <v>The country/location code of the employment referee contact phone number</v>
      </c>
    </row>
    <row r="123" spans="1:7" x14ac:dyDescent="0.35">
      <c r="A123" s="64" t="s">
        <v>1215</v>
      </c>
      <c r="B123" s="62" t="str">
        <f t="shared" si="2"/>
        <v>employmentRefereeContactNumber</v>
      </c>
      <c r="C123" s="62" t="s">
        <v>68</v>
      </c>
      <c r="D123" s="62" t="str">
        <f>IF(B123="", "", VLOOKUP(B123,'API Data Dictionary'!C:D,2,FALSE))</f>
        <v>string</v>
      </c>
      <c r="E123" s="62">
        <f>IF(IF(B123="", "", VLOOKUP(B123,'API Data Dictionary'!C:E,3,FALSE))=0, "", IF(B123="", "", VLOOKUP(B123,'API Data Dictionary'!C:E,3,FALSE)))</f>
        <v>15</v>
      </c>
      <c r="F123" s="62" t="str">
        <f>IF(IF(B123="", "", VLOOKUP(B123,'API Data Dictionary'!C:F,4,FALSE))=0, "", IF(B123="", "", VLOOKUP(B123,'API Data Dictionary'!C:F,4,FALSE)))</f>
        <v>pattern: ^(\d{11})$</v>
      </c>
      <c r="G123" s="62" t="str">
        <f>IF(IF(B123="", "", VLOOKUP(B123,'API Data Dictionary'!C:G,5,FALSE))=0, "", IF(B123="", "", VLOOKUP(B123,'API Data Dictionary'!C:G,5,FALSE)))</f>
        <v>The emplyment referee contact phone number</v>
      </c>
    </row>
    <row r="124" spans="1:7" x14ac:dyDescent="0.35">
      <c r="A124" s="64" t="s">
        <v>1216</v>
      </c>
      <c r="B124" s="62" t="str">
        <f t="shared" si="2"/>
        <v>employmentRefereeMobileCountryID</v>
      </c>
      <c r="C124" s="62" t="s">
        <v>68</v>
      </c>
      <c r="D124" s="62" t="str">
        <f>IF(B124="", "", VLOOKUP(B124,'API Data Dictionary'!C:D,2,FALSE))</f>
        <v>enum -Country/Location Code</v>
      </c>
      <c r="E124" s="62" t="str">
        <f>IF(IF(B124="", "", VLOOKUP(B124,'API Data Dictionary'!C:E,3,FALSE))=0, "", IF(B124="", "", VLOOKUP(B124,'API Data Dictionary'!C:E,3,FALSE)))</f>
        <v/>
      </c>
      <c r="F124" s="62" t="str">
        <f>IF(IF(B124="", "", VLOOKUP(B124,'API Data Dictionary'!C:F,4,FALSE))=0, "", IF(B124="", "", VLOOKUP(B124,'API Data Dictionary'!C:F,4,FALSE)))</f>
        <v>Valid Values 1-239 (See enum definition)</v>
      </c>
      <c r="G124" s="62" t="str">
        <f>IF(IF(B124="", "", VLOOKUP(B124,'API Data Dictionary'!C:G,5,FALSE))=0, "", IF(B124="", "", VLOOKUP(B124,'API Data Dictionary'!C:G,5,FALSE)))</f>
        <v>The country/location code of the employment referee mobile phone number</v>
      </c>
    </row>
    <row r="125" spans="1:7" x14ac:dyDescent="0.35">
      <c r="A125" s="64" t="s">
        <v>1217</v>
      </c>
      <c r="B125" s="62" t="str">
        <f t="shared" si="2"/>
        <v>employmentRefereeMobileNumber</v>
      </c>
      <c r="C125" s="62" t="s">
        <v>68</v>
      </c>
      <c r="D125" s="62" t="str">
        <f>IF(B125="", "", VLOOKUP(B125,'API Data Dictionary'!C:D,2,FALSE))</f>
        <v>string</v>
      </c>
      <c r="E125" s="62">
        <f>IF(IF(B125="", "", VLOOKUP(B125,'API Data Dictionary'!C:E,3,FALSE))=0, "", IF(B125="", "", VLOOKUP(B125,'API Data Dictionary'!C:E,3,FALSE)))</f>
        <v>15</v>
      </c>
      <c r="F125" s="62" t="str">
        <f>IF(IF(B125="", "", VLOOKUP(B125,'API Data Dictionary'!C:F,4,FALSE))=0, "", IF(B125="", "", VLOOKUP(B125,'API Data Dictionary'!C:F,4,FALSE)))</f>
        <v>pattern: ^(\d{11})$</v>
      </c>
      <c r="G125" s="62" t="str">
        <f>IF(IF(B125="", "", VLOOKUP(B125,'API Data Dictionary'!C:G,5,FALSE))=0, "", IF(B125="", "", VLOOKUP(B125,'API Data Dictionary'!C:G,5,FALSE)))</f>
        <v>The employment referee mobile phone number</v>
      </c>
    </row>
    <row r="126" spans="1:7" x14ac:dyDescent="0.35">
      <c r="A126" s="64" t="s">
        <v>1218</v>
      </c>
      <c r="B126" s="62" t="str">
        <f t="shared" si="2"/>
        <v>employmentRefereeEmail</v>
      </c>
      <c r="C126" s="62" t="s">
        <v>68</v>
      </c>
      <c r="D126" s="62" t="str">
        <f>IF(B126="", "", VLOOKUP(B126,'API Data Dictionary'!C:D,2,FALSE))</f>
        <v>string ($email)</v>
      </c>
      <c r="E126" s="62">
        <f>IF(IF(B126="", "", VLOOKUP(B126,'API Data Dictionary'!C:E,3,FALSE))=0, "", IF(B126="", "", VLOOKUP(B126,'API Data Dictionary'!C:E,3,FALSE)))</f>
        <v>200</v>
      </c>
      <c r="F126" s="62" t="str">
        <f>IF(IF(B126="", "", VLOOKUP(B126,'API Data Dictionary'!C:F,4,FALSE))=0, "", IF(B126="", "", VLOOKUP(B126,'API Data Dictionary'!C:F,4,FALSE)))</f>
        <v>pattern: ^(?!.*\.\.)(?!.*\\_\\_)(?!.*\-\-)[a-zA-Z0-9][-a-zA-Z0-9._]+[a-zA-Z0-9]@([-a-zA-Z0-9]+.)+[a-zA-Z]{2,5}$</v>
      </c>
      <c r="G126" s="62" t="str">
        <f>IF(IF(B126="", "", VLOOKUP(B126,'API Data Dictionary'!C:G,5,FALSE))=0, "", IF(B126="", "", VLOOKUP(B126,'API Data Dictionary'!C:G,5,FALSE)))</f>
        <v>The email address of the referee</v>
      </c>
    </row>
    <row r="127" spans="1:7" x14ac:dyDescent="0.35">
      <c r="A127" s="64" t="s">
        <v>1219</v>
      </c>
      <c r="B127" s="62" t="str">
        <f t="shared" si="2"/>
        <v>employmentRefereePosition</v>
      </c>
      <c r="C127" s="62" t="s">
        <v>68</v>
      </c>
      <c r="D127" s="62" t="str">
        <f>IF(B127="", "", VLOOKUP(B127,'API Data Dictionary'!C:D,2,FALSE))</f>
        <v>string</v>
      </c>
      <c r="E127" s="62">
        <f>IF(IF(B127="", "", VLOOKUP(B127,'API Data Dictionary'!C:E,3,FALSE))=0, "", IF(B127="", "", VLOOKUP(B127,'API Data Dictionary'!C:E,3,FALSE)))</f>
        <v>100</v>
      </c>
      <c r="F127" s="62" t="str">
        <f>IF(IF(B127="", "", VLOOKUP(B127,'API Data Dictionary'!C:F,4,FALSE))=0, "", IF(B127="", "", VLOOKUP(B127,'API Data Dictionary'!C:F,4,FALSE)))</f>
        <v/>
      </c>
      <c r="G127" s="62" t="str">
        <f>IF(IF(B127="", "", VLOOKUP(B127,'API Data Dictionary'!C:G,5,FALSE))=0, "", IF(B127="", "", VLOOKUP(B127,'API Data Dictionary'!C:G,5,FALSE)))</f>
        <v>The position of the employment referee in the company</v>
      </c>
    </row>
    <row r="128" spans="1:7" x14ac:dyDescent="0.35">
      <c r="A128" s="64" t="s">
        <v>1220</v>
      </c>
      <c r="B128" s="62" t="str">
        <f t="shared" si="2"/>
        <v>addressLine1</v>
      </c>
      <c r="C128" s="62" t="s">
        <v>68</v>
      </c>
      <c r="D128" s="62" t="str">
        <f>IF(B128="", "", VLOOKUP(B128,'API Data Dictionary'!C:D,2,FALSE))</f>
        <v>string</v>
      </c>
      <c r="E128" s="62">
        <f>IF(IF(B128="", "", VLOOKUP(B128,'API Data Dictionary'!C:E,3,FALSE))=0, "", IF(B128="", "", VLOOKUP(B128,'API Data Dictionary'!C:E,3,FALSE)))</f>
        <v>100</v>
      </c>
      <c r="F128" s="62" t="str">
        <f>IF(IF(B128="", "", VLOOKUP(B128,'API Data Dictionary'!C:F,4,FALSE))=0, "", IF(B128="", "", VLOOKUP(B128,'API Data Dictionary'!C:F,4,FALSE)))</f>
        <v/>
      </c>
      <c r="G128" s="62" t="str">
        <f>IF(IF(B128="", "", VLOOKUP(B128,'API Data Dictionary'!C:G,5,FALSE))=0, "", IF(B128="", "", VLOOKUP(B128,'API Data Dictionary'!C:G,5,FALSE)))</f>
        <v>The first line of the property address</v>
      </c>
    </row>
    <row r="129" spans="1:7" x14ac:dyDescent="0.35">
      <c r="A129" s="64" t="s">
        <v>1221</v>
      </c>
      <c r="B129" s="62" t="str">
        <f t="shared" si="2"/>
        <v>addressLine2</v>
      </c>
      <c r="C129" s="62" t="str">
        <f>IF(B129="", "", VLOOKUP(B129,'API Data Dictionary'!C:L,10,FALSE))</f>
        <v>X</v>
      </c>
      <c r="D129" s="62" t="str">
        <f>IF(B129="", "", VLOOKUP(B129,'API Data Dictionary'!C:D,2,FALSE))</f>
        <v>string</v>
      </c>
      <c r="E129" s="62">
        <f>IF(IF(B129="", "", VLOOKUP(B129,'API Data Dictionary'!C:E,3,FALSE))=0, "", IF(B129="", "", VLOOKUP(B129,'API Data Dictionary'!C:E,3,FALSE)))</f>
        <v>100</v>
      </c>
      <c r="F129" s="62" t="str">
        <f>IF(IF(B129="", "", VLOOKUP(B129,'API Data Dictionary'!C:F,4,FALSE))=0, "", IF(B129="", "", VLOOKUP(B129,'API Data Dictionary'!C:F,4,FALSE)))</f>
        <v/>
      </c>
      <c r="G129" s="62" t="str">
        <f>IF(IF(B129="", "", VLOOKUP(B129,'API Data Dictionary'!C:G,5,FALSE))=0, "", IF(B129="", "", VLOOKUP(B129,'API Data Dictionary'!C:G,5,FALSE)))</f>
        <v>The second line of the property address</v>
      </c>
    </row>
    <row r="130" spans="1:7" x14ac:dyDescent="0.35">
      <c r="A130" s="64" t="s">
        <v>1222</v>
      </c>
      <c r="B130" s="62" t="str">
        <f t="shared" si="2"/>
        <v>city</v>
      </c>
      <c r="C130" s="62" t="s">
        <v>68</v>
      </c>
      <c r="D130" s="62" t="str">
        <f>IF(B130="", "", VLOOKUP(B130,'API Data Dictionary'!C:D,2,FALSE))</f>
        <v>string</v>
      </c>
      <c r="E130" s="62">
        <f>IF(IF(B130="", "", VLOOKUP(B130,'API Data Dictionary'!C:E,3,FALSE))=0, "", IF(B130="", "", VLOOKUP(B130,'API Data Dictionary'!C:E,3,FALSE)))</f>
        <v>100</v>
      </c>
      <c r="F130" s="62" t="str">
        <f>IF(IF(B130="", "", VLOOKUP(B130,'API Data Dictionary'!C:F,4,FALSE))=0, "", IF(B130="", "", VLOOKUP(B130,'API Data Dictionary'!C:F,4,FALSE)))</f>
        <v/>
      </c>
      <c r="G130" s="62" t="str">
        <f>IF(IF(B130="", "", VLOOKUP(B130,'API Data Dictionary'!C:G,5,FALSE))=0, "", IF(B130="", "", VLOOKUP(B130,'API Data Dictionary'!C:G,5,FALSE)))</f>
        <v>The town in which the property exists</v>
      </c>
    </row>
    <row r="131" spans="1:7" x14ac:dyDescent="0.35">
      <c r="A131" s="64" t="s">
        <v>1223</v>
      </c>
      <c r="B131" s="62" t="str">
        <f t="shared" si="2"/>
        <v>postCode</v>
      </c>
      <c r="C131" s="62" t="str">
        <f>IF(B131="", "", VLOOKUP(B131,'API Data Dictionary'!C:L,10,FALSE))</f>
        <v>M</v>
      </c>
      <c r="D131" s="62" t="str">
        <f>IF(B131="", "", VLOOKUP(B131,'API Data Dictionary'!C:D,2,FALSE))</f>
        <v>string</v>
      </c>
      <c r="E131" s="62">
        <f>IF(IF(B131="", "", VLOOKUP(B131,'API Data Dictionary'!C:E,3,FALSE))=0, "", IF(B131="", "", VLOOKUP(B131,'API Data Dictionary'!C:E,3,FALSE)))</f>
        <v>50</v>
      </c>
      <c r="F131" s="62" t="str">
        <f>IF(IF(B131="", "", VLOOKUP(B131,'API Data Dictionary'!C:F,4,FALSE))=0, "", IF(B131="", "", VLOOKUP(B131,'API Data Dictionary'!C:F,4,FALSE)))</f>
        <v/>
      </c>
      <c r="G131" s="62" t="str">
        <f>IF(IF(B131="", "", VLOOKUP(B131,'API Data Dictionary'!C:G,5,FALSE))=0, "", IF(B131="", "", VLOOKUP(B131,'API Data Dictionary'!C:G,5,FALSE)))</f>
        <v>the postcode of the property</v>
      </c>
    </row>
    <row r="132" spans="1:7" x14ac:dyDescent="0.35">
      <c r="A132" s="64" t="s">
        <v>1224</v>
      </c>
      <c r="B132" s="62" t="str">
        <f t="shared" si="2"/>
        <v>employmentTypeId</v>
      </c>
      <c r="C132" s="62" t="s">
        <v>68</v>
      </c>
      <c r="D132" s="62" t="str">
        <f>IF(B132="", "", VLOOKUP(B132,'API Data Dictionary'!C:D,2,FALSE))</f>
        <v xml:space="preserve">enum - employmentTypeId	</v>
      </c>
      <c r="E132" s="62" t="str">
        <f>IF(IF(B132="", "", VLOOKUP(B132,'API Data Dictionary'!C:E,3,FALSE))=0, "", IF(B132="", "", VLOOKUP(B132,'API Data Dictionary'!C:E,3,FALSE)))</f>
        <v/>
      </c>
      <c r="F132" s="62" t="str">
        <f>IF(IF(B132="", "", VLOOKUP(B132,'API Data Dictionary'!C:F,4,FALSE))=0, "", IF(B132="", "", VLOOKUP(B132,'API Data Dictionary'!C:F,4,FALSE)))</f>
        <v>Valid Values 1-4 (See enum definition)</v>
      </c>
      <c r="G132" s="62" t="str">
        <f>IF(IF(B132="", "", VLOOKUP(B132,'API Data Dictionary'!C:G,5,FALSE))=0, "", IF(B132="", "", VLOOKUP(B132,'API Data Dictionary'!C:G,5,FALSE)))</f>
        <v>Employment Type from the enum lists, e.g. permenant full time</v>
      </c>
    </row>
    <row r="133" spans="1:7" x14ac:dyDescent="0.35">
      <c r="A133" s="64" t="s">
        <v>1225</v>
      </c>
      <c r="B133" s="62" t="str">
        <f t="shared" si="2"/>
        <v>employmentZeroHourContract</v>
      </c>
      <c r="C133" s="62" t="s">
        <v>68</v>
      </c>
      <c r="D133" s="62" t="str">
        <f>IF(B133="", "", VLOOKUP(B133,'API Data Dictionary'!C:D,2,FALSE))</f>
        <v>boolean</v>
      </c>
      <c r="E133" s="62" t="str">
        <f>IF(IF(B133="", "", VLOOKUP(B133,'API Data Dictionary'!C:E,3,FALSE))=0, "", IF(B133="", "", VLOOKUP(B133,'API Data Dictionary'!C:E,3,FALSE)))</f>
        <v/>
      </c>
      <c r="F133" s="62" t="str">
        <f>IF(IF(B133="", "", VLOOKUP(B133,'API Data Dictionary'!C:F,4,FALSE))=0, "", IF(B133="", "", VLOOKUP(B133,'API Data Dictionary'!C:F,4,FALSE)))</f>
        <v/>
      </c>
      <c r="G133" s="62" t="str">
        <f>IF(IF(B133="", "", VLOOKUP(B133,'API Data Dictionary'!C:G,5,FALSE))=0, "", IF(B133="", "", VLOOKUP(B133,'API Data Dictionary'!C:G,5,FALSE)))</f>
        <v>Denotes if emplyed on a zero hour contract</v>
      </c>
    </row>
    <row r="134" spans="1:7" x14ac:dyDescent="0.35">
      <c r="A134" s="64" t="s">
        <v>1188</v>
      </c>
      <c r="B134" s="62" t="str">
        <f t="shared" si="2"/>
        <v/>
      </c>
      <c r="C134" s="62" t="str">
        <f>IF(B134="", "", VLOOKUP(B134,'API Data Dictionary'!C:L,10,FALSE))</f>
        <v/>
      </c>
      <c r="D134" s="62" t="str">
        <f>IF(B134="", "", VLOOKUP(B134,'API Data Dictionary'!C:D,2,FALSE))</f>
        <v/>
      </c>
      <c r="E134" s="62" t="str">
        <f>IF(IF(B134="", "", VLOOKUP(B134,'API Data Dictionary'!C:E,3,FALSE))=0, "", IF(B134="", "", VLOOKUP(B134,'API Data Dictionary'!C:E,3,FALSE)))</f>
        <v/>
      </c>
      <c r="F134" s="62" t="str">
        <f>IF(IF(B134="", "", VLOOKUP(B134,'API Data Dictionary'!C:F,4,FALSE))=0, "", IF(B134="", "", VLOOKUP(B134,'API Data Dictionary'!C:F,4,FALSE)))</f>
        <v/>
      </c>
      <c r="G134" s="62" t="str">
        <f>IF(IF(B134="", "", VLOOKUP(B134,'API Data Dictionary'!C:G,5,FALSE))=0, "", IF(B134="", "", VLOOKUP(B134,'API Data Dictionary'!C:G,5,FALSE)))</f>
        <v/>
      </c>
    </row>
    <row r="135" spans="1:7" x14ac:dyDescent="0.35">
      <c r="A135" s="64" t="s">
        <v>1226</v>
      </c>
      <c r="B135" s="62" t="str">
        <f t="shared" si="2"/>
        <v/>
      </c>
      <c r="C135" s="62" t="str">
        <f>IF(B135="", "", VLOOKUP(B135,'API Data Dictionary'!C:L,10,FALSE))</f>
        <v/>
      </c>
      <c r="D135" s="62" t="str">
        <f>IF(B135="", "", VLOOKUP(B135,'API Data Dictionary'!C:D,2,FALSE))</f>
        <v/>
      </c>
      <c r="E135" s="62" t="str">
        <f>IF(IF(B135="", "", VLOOKUP(B135,'API Data Dictionary'!C:E,3,FALSE))=0, "", IF(B135="", "", VLOOKUP(B135,'API Data Dictionary'!C:E,3,FALSE)))</f>
        <v/>
      </c>
      <c r="F135" s="62" t="str">
        <f>IF(IF(B135="", "", VLOOKUP(B135,'API Data Dictionary'!C:F,4,FALSE))=0, "", IF(B135="", "", VLOOKUP(B135,'API Data Dictionary'!C:F,4,FALSE)))</f>
        <v/>
      </c>
      <c r="G135" s="62" t="str">
        <f>IF(IF(B135="", "", VLOOKUP(B135,'API Data Dictionary'!C:G,5,FALSE))=0, "", IF(B135="", "", VLOOKUP(B135,'API Data Dictionary'!C:G,5,FALSE)))</f>
        <v/>
      </c>
    </row>
    <row r="136" spans="1:7" x14ac:dyDescent="0.35">
      <c r="A136" s="64" t="s">
        <v>1227</v>
      </c>
      <c r="B136" s="62" t="str">
        <f t="shared" si="2"/>
        <v>tradingTypeId</v>
      </c>
      <c r="C136" s="62" t="s">
        <v>68</v>
      </c>
      <c r="D136" s="62" t="str">
        <f>IF(B136="", "", VLOOKUP(B136,'API Data Dictionary'!C:D,2,FALSE))</f>
        <v>enum - tradingTypeId</v>
      </c>
      <c r="E136" s="62" t="str">
        <f>IF(IF(B136="", "", VLOOKUP(B136,'API Data Dictionary'!C:E,3,FALSE))=0, "", IF(B136="", "", VLOOKUP(B136,'API Data Dictionary'!C:E,3,FALSE)))</f>
        <v/>
      </c>
      <c r="F136" s="62" t="str">
        <f>IF(IF(B136="", "", VLOOKUP(B136,'API Data Dictionary'!C:F,4,FALSE))=0, "", IF(B136="", "", VLOOKUP(B136,'API Data Dictionary'!C:F,4,FALSE)))</f>
        <v>Valid Values  (See enum definition)</v>
      </c>
      <c r="G136" s="62" t="str">
        <f>IF(IF(B136="", "", VLOOKUP(B136,'API Data Dictionary'!C:G,5,FALSE))=0, "", IF(B136="", "", VLOOKUP(B136,'API Data Dictionary'!C:G,5,FALSE)))</f>
        <v>The trading type of the self employed person</v>
      </c>
    </row>
    <row r="137" spans="1:7" x14ac:dyDescent="0.35">
      <c r="A137" s="64" t="s">
        <v>1228</v>
      </c>
      <c r="B137" s="62" t="str">
        <f t="shared" si="2"/>
        <v>startDateOfSelfEmployment</v>
      </c>
      <c r="C137" s="62" t="s">
        <v>68</v>
      </c>
      <c r="D137" s="62" t="str">
        <f>IF(B137="", "", VLOOKUP(B137,'API Data Dictionary'!C:D,2,FALSE))</f>
        <v>string ($date-time)</v>
      </c>
      <c r="E137" s="62" t="str">
        <f>IF(IF(B137="", "", VLOOKUP(B137,'API Data Dictionary'!C:E,3,FALSE))=0, "", IF(B137="", "", VLOOKUP(B137,'API Data Dictionary'!C:E,3,FALSE)))</f>
        <v/>
      </c>
      <c r="F137" s="62" t="str">
        <f>IF(IF(B137="", "", VLOOKUP(B137,'API Data Dictionary'!C:F,4,FALSE))=0, "", IF(B137="", "", VLOOKUP(B137,'API Data Dictionary'!C:F,4,FALSE)))</f>
        <v xml:space="preserve"> DD/MM/YYYY</v>
      </c>
      <c r="G137" s="62" t="str">
        <f>IF(IF(B137="", "", VLOOKUP(B137,'API Data Dictionary'!C:G,5,FALSE))=0, "", IF(B137="", "", VLOOKUP(B137,'API Data Dictionary'!C:G,5,FALSE)))</f>
        <v>Start date of self employment, formatted DD/MM/YYYY</v>
      </c>
    </row>
    <row r="138" spans="1:7" x14ac:dyDescent="0.35">
      <c r="A138" s="64" t="s">
        <v>1229</v>
      </c>
      <c r="B138" s="62" t="str">
        <f t="shared" si="2"/>
        <v>selfEmployedAnnualIncome</v>
      </c>
      <c r="C138" s="62" t="s">
        <v>68</v>
      </c>
      <c r="D138" s="62" t="str">
        <f>IF(B138="", "", VLOOKUP(B138,'API Data Dictionary'!C:D,2,FALSE))</f>
        <v>number (double)</v>
      </c>
      <c r="E138" s="62" t="str">
        <f>IF(IF(B138="", "", VLOOKUP(B138,'API Data Dictionary'!C:E,3,FALSE))=0, "", IF(B138="", "", VLOOKUP(B138,'API Data Dictionary'!C:E,3,FALSE)))</f>
        <v/>
      </c>
      <c r="F138" s="62" t="str">
        <f>IF(IF(B138="", "", VLOOKUP(B138,'API Data Dictionary'!C:F,4,FALSE))=0, "", IF(B138="", "", VLOOKUP(B138,'API Data Dictionary'!C:F,4,FALSE)))</f>
        <v>pattern: ^\d*.\d{0,2}$</v>
      </c>
      <c r="G138" s="62" t="str">
        <f>IF(IF(B138="", "", VLOOKUP(B138,'API Data Dictionary'!C:G,5,FALSE))=0, "", IF(B138="", "", VLOOKUP(B138,'API Data Dictionary'!C:G,5,FALSE)))</f>
        <v>The self employed annual income in GBP</v>
      </c>
    </row>
    <row r="139" spans="1:7" x14ac:dyDescent="0.35">
      <c r="A139" s="64" t="s">
        <v>1230</v>
      </c>
      <c r="B139" s="62" t="str">
        <f t="shared" si="2"/>
        <v>taxReturnSubmitted</v>
      </c>
      <c r="C139" s="62" t="s">
        <v>68</v>
      </c>
      <c r="D139" s="62" t="str">
        <f>IF(B139="", "", VLOOKUP(B139,'API Data Dictionary'!C:D,2,FALSE))</f>
        <v>boolean</v>
      </c>
      <c r="E139" s="62" t="str">
        <f>IF(IF(B139="", "", VLOOKUP(B139,'API Data Dictionary'!C:E,3,FALSE))=0, "", IF(B139="", "", VLOOKUP(B139,'API Data Dictionary'!C:E,3,FALSE)))</f>
        <v/>
      </c>
      <c r="F139" s="62" t="str">
        <f>IF(IF(B139="", "", VLOOKUP(B139,'API Data Dictionary'!C:F,4,FALSE))=0, "", IF(B139="", "", VLOOKUP(B139,'API Data Dictionary'!C:F,4,FALSE)))</f>
        <v/>
      </c>
      <c r="G139" s="62" t="str">
        <f>IF(IF(B139="", "", VLOOKUP(B139,'API Data Dictionary'!C:G,5,FALSE))=0, "", IF(B139="", "", VLOOKUP(B139,'API Data Dictionary'!C:G,5,FALSE)))</f>
        <v>Denotes whether a tax return is submitted</v>
      </c>
    </row>
    <row r="140" spans="1:7" x14ac:dyDescent="0.35">
      <c r="A140" s="64" t="s">
        <v>1231</v>
      </c>
      <c r="B140" s="62" t="str">
        <f t="shared" si="2"/>
        <v>doesApplicantUseAccountant</v>
      </c>
      <c r="C140" s="62" t="s">
        <v>68</v>
      </c>
      <c r="D140" s="62" t="str">
        <f>IF(B140="", "", VLOOKUP(B140,'API Data Dictionary'!C:D,2,FALSE))</f>
        <v>boolean</v>
      </c>
      <c r="E140" s="62" t="str">
        <f>IF(IF(B140="", "", VLOOKUP(B140,'API Data Dictionary'!C:E,3,FALSE))=0, "", IF(B140="", "", VLOOKUP(B140,'API Data Dictionary'!C:E,3,FALSE)))</f>
        <v/>
      </c>
      <c r="F140" s="62" t="str">
        <f>IF(IF(B140="", "", VLOOKUP(B140,'API Data Dictionary'!C:F,4,FALSE))=0, "", IF(B140="", "", VLOOKUP(B140,'API Data Dictionary'!C:F,4,FALSE)))</f>
        <v/>
      </c>
      <c r="G140" s="62" t="str">
        <f>IF(IF(B140="", "", VLOOKUP(B140,'API Data Dictionary'!C:G,5,FALSE))=0, "", IF(B140="", "", VLOOKUP(B140,'API Data Dictionary'!C:G,5,FALSE)))</f>
        <v>Denotes whether an accountacy firm is used</v>
      </c>
    </row>
    <row r="141" spans="1:7" x14ac:dyDescent="0.35">
      <c r="A141" s="64" t="s">
        <v>1232</v>
      </c>
      <c r="B141" s="62" t="str">
        <f t="shared" si="2"/>
        <v>accountantCompanyName</v>
      </c>
      <c r="C141" s="62" t="s">
        <v>68</v>
      </c>
      <c r="D141" s="62" t="str">
        <f>IF(B141="", "", VLOOKUP(B141,'API Data Dictionary'!C:D,2,FALSE))</f>
        <v>string</v>
      </c>
      <c r="E141" s="62">
        <f>IF(IF(B141="", "", VLOOKUP(B141,'API Data Dictionary'!C:E,3,FALSE))=0, "", IF(B141="", "", VLOOKUP(B141,'API Data Dictionary'!C:E,3,FALSE)))</f>
        <v>500</v>
      </c>
      <c r="F141" s="62" t="str">
        <f>IF(IF(B141="", "", VLOOKUP(B141,'API Data Dictionary'!C:F,4,FALSE))=0, "", IF(B141="", "", VLOOKUP(B141,'API Data Dictionary'!C:F,4,FALSE)))</f>
        <v/>
      </c>
      <c r="G141" s="62" t="str">
        <f>IF(IF(B141="", "", VLOOKUP(B141,'API Data Dictionary'!C:G,5,FALSE))=0, "", IF(B141="", "", VLOOKUP(B141,'API Data Dictionary'!C:G,5,FALSE)))</f>
        <v>The name of the accountancy company</v>
      </c>
    </row>
    <row r="142" spans="1:7" x14ac:dyDescent="0.35">
      <c r="A142" s="64" t="s">
        <v>1233</v>
      </c>
      <c r="B142" s="62" t="str">
        <f t="shared" si="2"/>
        <v>accountantContactName</v>
      </c>
      <c r="C142" s="62" t="s">
        <v>68</v>
      </c>
      <c r="D142" s="62" t="str">
        <f>IF(B142="", "", VLOOKUP(B142,'API Data Dictionary'!C:D,2,FALSE))</f>
        <v>string</v>
      </c>
      <c r="E142" s="62">
        <f>IF(IF(B142="", "", VLOOKUP(B142,'API Data Dictionary'!C:E,3,FALSE))=0, "", IF(B142="", "", VLOOKUP(B142,'API Data Dictionary'!C:E,3,FALSE)))</f>
        <v>100</v>
      </c>
      <c r="F142" s="62" t="str">
        <f>IF(IF(B142="", "", VLOOKUP(B142,'API Data Dictionary'!C:F,4,FALSE))=0, "", IF(B142="", "", VLOOKUP(B142,'API Data Dictionary'!C:F,4,FALSE)))</f>
        <v>pattern: ^[a-zA-Z0-9\-' ]*$</v>
      </c>
      <c r="G142" s="62" t="str">
        <f>IF(IF(B142="", "", VLOOKUP(B142,'API Data Dictionary'!C:G,5,FALSE))=0, "", IF(B142="", "", VLOOKUP(B142,'API Data Dictionary'!C:G,5,FALSE)))</f>
        <v>The Fulll name of the accountant company's contact</v>
      </c>
    </row>
    <row r="143" spans="1:7" x14ac:dyDescent="0.35">
      <c r="A143" s="64" t="s">
        <v>1234</v>
      </c>
      <c r="B143" s="62" t="str">
        <f t="shared" si="2"/>
        <v>accountantContactNoCountryId</v>
      </c>
      <c r="C143" s="62" t="s">
        <v>68</v>
      </c>
      <c r="D143" s="62" t="str">
        <f>IF(B143="", "", VLOOKUP(B143,'API Data Dictionary'!C:D,2,FALSE))</f>
        <v>enum -Country/Location Code</v>
      </c>
      <c r="E143" s="62" t="str">
        <f>IF(IF(B143="", "", VLOOKUP(B143,'API Data Dictionary'!C:E,3,FALSE))=0, "", IF(B143="", "", VLOOKUP(B143,'API Data Dictionary'!C:E,3,FALSE)))</f>
        <v/>
      </c>
      <c r="F143" s="62" t="str">
        <f>IF(IF(B143="", "", VLOOKUP(B143,'API Data Dictionary'!C:F,4,FALSE))=0, "", IF(B143="", "", VLOOKUP(B143,'API Data Dictionary'!C:F,4,FALSE)))</f>
        <v>Valid Values 1-239 (See enum definition)</v>
      </c>
      <c r="G143" s="62" t="str">
        <f>IF(IF(B143="", "", VLOOKUP(B143,'API Data Dictionary'!C:G,5,FALSE))=0, "", IF(B143="", "", VLOOKUP(B143,'API Data Dictionary'!C:G,5,FALSE)))</f>
        <v>The country/location code of the Accountant contact phone number</v>
      </c>
    </row>
    <row r="144" spans="1:7" x14ac:dyDescent="0.35">
      <c r="A144" s="64" t="s">
        <v>1235</v>
      </c>
      <c r="B144" s="62" t="str">
        <f t="shared" si="2"/>
        <v>accountantContactNumber</v>
      </c>
      <c r="C144" s="62" t="s">
        <v>68</v>
      </c>
      <c r="D144" s="62" t="str">
        <f>IF(B144="", "", VLOOKUP(B144,'API Data Dictionary'!C:D,2,FALSE))</f>
        <v>string</v>
      </c>
      <c r="E144" s="62">
        <f>IF(IF(B144="", "", VLOOKUP(B144,'API Data Dictionary'!C:E,3,FALSE))=0, "", IF(B144="", "", VLOOKUP(B144,'API Data Dictionary'!C:E,3,FALSE)))</f>
        <v>15</v>
      </c>
      <c r="F144" s="62" t="str">
        <f>IF(IF(B144="", "", VLOOKUP(B144,'API Data Dictionary'!C:F,4,FALSE))=0, "", IF(B144="", "", VLOOKUP(B144,'API Data Dictionary'!C:F,4,FALSE)))</f>
        <v>pattern: ^(\d{11})$</v>
      </c>
      <c r="G144" s="62" t="str">
        <f>IF(IF(B144="", "", VLOOKUP(B144,'API Data Dictionary'!C:G,5,FALSE))=0, "", IF(B144="", "", VLOOKUP(B144,'API Data Dictionary'!C:G,5,FALSE)))</f>
        <v>The Accountant contact phone number</v>
      </c>
    </row>
    <row r="145" spans="1:7" x14ac:dyDescent="0.35">
      <c r="A145" s="64" t="s">
        <v>1236</v>
      </c>
      <c r="B145" s="62" t="str">
        <f t="shared" si="2"/>
        <v>accountantMobileNoCountryId</v>
      </c>
      <c r="C145" s="62" t="s">
        <v>68</v>
      </c>
      <c r="D145" s="62" t="str">
        <f>IF(B145="", "", VLOOKUP(B145,'API Data Dictionary'!C:D,2,FALSE))</f>
        <v>enum -Country/Location Code</v>
      </c>
      <c r="E145" s="62" t="str">
        <f>IF(IF(B145="", "", VLOOKUP(B145,'API Data Dictionary'!C:E,3,FALSE))=0, "", IF(B145="", "", VLOOKUP(B145,'API Data Dictionary'!C:E,3,FALSE)))</f>
        <v/>
      </c>
      <c r="F145" s="62" t="str">
        <f>IF(IF(B145="", "", VLOOKUP(B145,'API Data Dictionary'!C:F,4,FALSE))=0, "", IF(B145="", "", VLOOKUP(B145,'API Data Dictionary'!C:F,4,FALSE)))</f>
        <v>Valid Values 1-239 (See enum definition)</v>
      </c>
      <c r="G145" s="62" t="str">
        <f>IF(IF(B145="", "", VLOOKUP(B145,'API Data Dictionary'!C:G,5,FALSE))=0, "", IF(B145="", "", VLOOKUP(B145,'API Data Dictionary'!C:G,5,FALSE)))</f>
        <v>The country/location code of the Accountant mobile phone number</v>
      </c>
    </row>
    <row r="146" spans="1:7" x14ac:dyDescent="0.35">
      <c r="A146" s="64" t="s">
        <v>1237</v>
      </c>
      <c r="B146" s="62" t="str">
        <f t="shared" si="2"/>
        <v>accountantMobileNumber</v>
      </c>
      <c r="C146" s="62" t="s">
        <v>68</v>
      </c>
      <c r="D146" s="62" t="str">
        <f>IF(B146="", "", VLOOKUP(B146,'API Data Dictionary'!C:D,2,FALSE))</f>
        <v>string</v>
      </c>
      <c r="E146" s="62">
        <f>IF(IF(B146="", "", VLOOKUP(B146,'API Data Dictionary'!C:E,3,FALSE))=0, "", IF(B146="", "", VLOOKUP(B146,'API Data Dictionary'!C:E,3,FALSE)))</f>
        <v>15</v>
      </c>
      <c r="F146" s="62" t="str">
        <f>IF(IF(B146="", "", VLOOKUP(B146,'API Data Dictionary'!C:F,4,FALSE))=0, "", IF(B146="", "", VLOOKUP(B146,'API Data Dictionary'!C:F,4,FALSE)))</f>
        <v>pattern: ^(\d{11})$</v>
      </c>
      <c r="G146" s="62" t="str">
        <f>IF(IF(B146="", "", VLOOKUP(B146,'API Data Dictionary'!C:G,5,FALSE))=0, "", IF(B146="", "", VLOOKUP(B146,'API Data Dictionary'!C:G,5,FALSE)))</f>
        <v>The Accountant mobile phone number</v>
      </c>
    </row>
    <row r="147" spans="1:7" x14ac:dyDescent="0.35">
      <c r="A147" s="64" t="s">
        <v>1238</v>
      </c>
      <c r="B147" s="62" t="str">
        <f t="shared" si="2"/>
        <v>accountantEmailAddress</v>
      </c>
      <c r="C147" s="62" t="s">
        <v>68</v>
      </c>
      <c r="D147" s="62" t="str">
        <f>IF(B147="", "", VLOOKUP(B147,'API Data Dictionary'!C:D,2,FALSE))</f>
        <v>string ($email)</v>
      </c>
      <c r="E147" s="62">
        <f>IF(IF(B147="", "", VLOOKUP(B147,'API Data Dictionary'!C:E,3,FALSE))=0, "", IF(B147="", "", VLOOKUP(B147,'API Data Dictionary'!C:E,3,FALSE)))</f>
        <v>200</v>
      </c>
      <c r="F147" s="62" t="str">
        <f>IF(IF(B147="", "", VLOOKUP(B147,'API Data Dictionary'!C:F,4,FALSE))=0, "", IF(B147="", "", VLOOKUP(B147,'API Data Dictionary'!C:F,4,FALSE)))</f>
        <v>pattern: ^(?!.*\.\.)(?!.*\\_\\_)(?!.*\-\-)[a-zA-Z0-9][-a-zA-Z0-9._]+[a-zA-Z0-9]@([-a-zA-Z0-9]+.)+[a-zA-Z]{2,5}$</v>
      </c>
      <c r="G147" s="62" t="str">
        <f>IF(IF(B147="", "", VLOOKUP(B147,'API Data Dictionary'!C:G,5,FALSE))=0, "", IF(B147="", "", VLOOKUP(B147,'API Data Dictionary'!C:G,5,FALSE)))</f>
        <v>The Accountant email address</v>
      </c>
    </row>
    <row r="148" spans="1:7" x14ac:dyDescent="0.35">
      <c r="A148" s="64" t="s">
        <v>1239</v>
      </c>
      <c r="B148" s="62" t="str">
        <f t="shared" si="2"/>
        <v>accountantContactPosition</v>
      </c>
      <c r="C148" s="62" t="s">
        <v>68</v>
      </c>
      <c r="D148" s="62" t="str">
        <f>IF(B148="", "", VLOOKUP(B148,'API Data Dictionary'!C:D,2,FALSE))</f>
        <v>string</v>
      </c>
      <c r="E148" s="62">
        <f>IF(IF(B148="", "", VLOOKUP(B148,'API Data Dictionary'!C:E,3,FALSE))=0, "", IF(B148="", "", VLOOKUP(B148,'API Data Dictionary'!C:E,3,FALSE)))</f>
        <v>100</v>
      </c>
      <c r="F148" s="62" t="str">
        <f>IF(IF(B148="", "", VLOOKUP(B148,'API Data Dictionary'!C:F,4,FALSE))=0, "", IF(B148="", "", VLOOKUP(B148,'API Data Dictionary'!C:F,4,FALSE)))</f>
        <v/>
      </c>
      <c r="G148" s="62" t="str">
        <f>IF(IF(B148="", "", VLOOKUP(B148,'API Data Dictionary'!C:G,5,FALSE))=0, "", IF(B148="", "", VLOOKUP(B148,'API Data Dictionary'!C:G,5,FALSE)))</f>
        <v>The account contact's position in the company</v>
      </c>
    </row>
    <row r="149" spans="1:7" x14ac:dyDescent="0.35">
      <c r="A149" s="64" t="s">
        <v>1188</v>
      </c>
      <c r="B149" s="62" t="str">
        <f t="shared" si="2"/>
        <v/>
      </c>
      <c r="C149" s="62"/>
      <c r="D149" s="62" t="str">
        <f>IF(B149="", "", VLOOKUP(B149,'API Data Dictionary'!C:D,2,FALSE))</f>
        <v/>
      </c>
      <c r="E149" s="62" t="str">
        <f>IF(IF(B149="", "", VLOOKUP(B149,'API Data Dictionary'!C:E,3,FALSE))=0, "", IF(B149="", "", VLOOKUP(B149,'API Data Dictionary'!C:E,3,FALSE)))</f>
        <v/>
      </c>
      <c r="F149" s="62" t="str">
        <f>IF(IF(B149="", "", VLOOKUP(B149,'API Data Dictionary'!C:F,4,FALSE))=0, "", IF(B149="", "", VLOOKUP(B149,'API Data Dictionary'!C:F,4,FALSE)))</f>
        <v/>
      </c>
      <c r="G149" s="62" t="str">
        <f>IF(IF(B149="", "", VLOOKUP(B149,'API Data Dictionary'!C:G,5,FALSE))=0, "", IF(B149="", "", VLOOKUP(B149,'API Data Dictionary'!C:G,5,FALSE)))</f>
        <v/>
      </c>
    </row>
    <row r="150" spans="1:7" x14ac:dyDescent="0.35">
      <c r="A150" s="64" t="s">
        <v>1240</v>
      </c>
      <c r="B150" s="62" t="str">
        <f t="shared" si="2"/>
        <v/>
      </c>
      <c r="C150" s="62" t="str">
        <f>IF(B150="", "", VLOOKUP(B150,'API Data Dictionary'!C:L,10,FALSE))</f>
        <v/>
      </c>
      <c r="D150" s="62" t="str">
        <f>IF(B150="", "", VLOOKUP(B150,'API Data Dictionary'!C:D,2,FALSE))</f>
        <v/>
      </c>
      <c r="E150" s="62" t="str">
        <f>IF(IF(B150="", "", VLOOKUP(B150,'API Data Dictionary'!C:E,3,FALSE))=0, "", IF(B150="", "", VLOOKUP(B150,'API Data Dictionary'!C:E,3,FALSE)))</f>
        <v/>
      </c>
      <c r="F150" s="62" t="str">
        <f>IF(IF(B150="", "", VLOOKUP(B150,'API Data Dictionary'!C:F,4,FALSE))=0, "", IF(B150="", "", VLOOKUP(B150,'API Data Dictionary'!C:F,4,FALSE)))</f>
        <v/>
      </c>
      <c r="G150" s="62" t="str">
        <f>IF(IF(B150="", "", VLOOKUP(B150,'API Data Dictionary'!C:G,5,FALSE))=0, "", IF(B150="", "", VLOOKUP(B150,'API Data Dictionary'!C:G,5,FALSE)))</f>
        <v/>
      </c>
    </row>
    <row r="151" spans="1:7" x14ac:dyDescent="0.35">
      <c r="A151" s="64" t="s">
        <v>1241</v>
      </c>
      <c r="B151" s="62" t="str">
        <f t="shared" si="2"/>
        <v>pensionProvider</v>
      </c>
      <c r="C151" s="62" t="s">
        <v>68</v>
      </c>
      <c r="D151" s="62" t="str">
        <f>IF(B151="", "", VLOOKUP(B151,'API Data Dictionary'!C:D,2,FALSE))</f>
        <v>string</v>
      </c>
      <c r="E151" s="62">
        <f>IF(IF(B151="", "", VLOOKUP(B151,'API Data Dictionary'!C:E,3,FALSE))=0, "", IF(B151="", "", VLOOKUP(B151,'API Data Dictionary'!C:E,3,FALSE)))</f>
        <v>500</v>
      </c>
      <c r="F151" s="62" t="str">
        <f>IF(IF(B151="", "", VLOOKUP(B151,'API Data Dictionary'!C:F,4,FALSE))=0, "", IF(B151="", "", VLOOKUP(B151,'API Data Dictionary'!C:F,4,FALSE)))</f>
        <v/>
      </c>
      <c r="G151" s="62" t="str">
        <f>IF(IF(B151="", "", VLOOKUP(B151,'API Data Dictionary'!C:G,5,FALSE))=0, "", IF(B151="", "", VLOOKUP(B151,'API Data Dictionary'!C:G,5,FALSE)))</f>
        <v>Name of Pension Provider</v>
      </c>
    </row>
    <row r="152" spans="1:7" x14ac:dyDescent="0.35">
      <c r="A152" s="64" t="s">
        <v>1242</v>
      </c>
      <c r="B152" s="62" t="str">
        <f t="shared" si="2"/>
        <v>netMonthlyIncome</v>
      </c>
      <c r="C152" s="62" t="s">
        <v>68</v>
      </c>
      <c r="D152" s="62" t="str">
        <f>IF(B152="", "", VLOOKUP(B152,'API Data Dictionary'!C:D,2,FALSE))</f>
        <v>number ($double)</v>
      </c>
      <c r="E152" s="62" t="str">
        <f>IF(IF(B152="", "", VLOOKUP(B152,'API Data Dictionary'!C:E,3,FALSE))=0, "", IF(B152="", "", VLOOKUP(B152,'API Data Dictionary'!C:E,3,FALSE)))</f>
        <v/>
      </c>
      <c r="F152" s="62" t="str">
        <f>IF(IF(B152="", "", VLOOKUP(B152,'API Data Dictionary'!C:F,4,FALSE))=0, "", IF(B152="", "", VLOOKUP(B152,'API Data Dictionary'!C:F,4,FALSE)))</f>
        <v>pattern: ^\d*.\d{0,2}$</v>
      </c>
      <c r="G152" s="62" t="str">
        <f>IF(IF(B152="", "", VLOOKUP(B152,'API Data Dictionary'!C:G,5,FALSE))=0, "", IF(B152="", "", VLOOKUP(B152,'API Data Dictionary'!C:G,5,FALSE)))</f>
        <v>Amount of Net monthly income in GBP</v>
      </c>
    </row>
    <row r="153" spans="1:7" x14ac:dyDescent="0.35">
      <c r="A153" s="64" t="s">
        <v>1243</v>
      </c>
      <c r="B153" s="62" t="str">
        <f t="shared" si="2"/>
        <v>startDateOfPension</v>
      </c>
      <c r="C153" s="62" t="s">
        <v>68</v>
      </c>
      <c r="D153" s="62" t="str">
        <f>IF(B153="", "", VLOOKUP(B153,'API Data Dictionary'!C:D,2,FALSE))</f>
        <v>string ($date-time)</v>
      </c>
      <c r="E153" s="62" t="str">
        <f>IF(IF(B153="", "", VLOOKUP(B153,'API Data Dictionary'!C:E,3,FALSE))=0, "", IF(B153="", "", VLOOKUP(B153,'API Data Dictionary'!C:E,3,FALSE)))</f>
        <v/>
      </c>
      <c r="F153" s="62" t="str">
        <f>IF(IF(B153="", "", VLOOKUP(B153,'API Data Dictionary'!C:F,4,FALSE))=0, "", IF(B153="", "", VLOOKUP(B153,'API Data Dictionary'!C:F,4,FALSE)))</f>
        <v>DD/MM/YYYY</v>
      </c>
      <c r="G153" s="62" t="str">
        <f>IF(IF(B153="", "", VLOOKUP(B153,'API Data Dictionary'!C:G,5,FALSE))=0, "", IF(B153="", "", VLOOKUP(B153,'API Data Dictionary'!C:G,5,FALSE)))</f>
        <v>Start date of pension, formated DD/MM/YYYY</v>
      </c>
    </row>
    <row r="154" spans="1:7" x14ac:dyDescent="0.35">
      <c r="A154" s="64" t="s">
        <v>1188</v>
      </c>
      <c r="B154" s="62" t="str">
        <f t="shared" si="2"/>
        <v/>
      </c>
      <c r="C154" s="62" t="str">
        <f>IF(B154="", "", VLOOKUP(B154,'API Data Dictionary'!C:L,10,FALSE))</f>
        <v/>
      </c>
      <c r="D154" s="62" t="str">
        <f>IF(B154="", "", VLOOKUP(B154,'API Data Dictionary'!C:D,2,FALSE))</f>
        <v/>
      </c>
      <c r="E154" s="62" t="str">
        <f>IF(IF(B154="", "", VLOOKUP(B154,'API Data Dictionary'!C:E,3,FALSE))=0, "", IF(B154="", "", VLOOKUP(B154,'API Data Dictionary'!C:E,3,FALSE)))</f>
        <v/>
      </c>
      <c r="F154" s="62" t="str">
        <f>IF(IF(B154="", "", VLOOKUP(B154,'API Data Dictionary'!C:F,4,FALSE))=0, "", IF(B154="", "", VLOOKUP(B154,'API Data Dictionary'!C:F,4,FALSE)))</f>
        <v/>
      </c>
      <c r="G154" s="62" t="str">
        <f>IF(IF(B154="", "", VLOOKUP(B154,'API Data Dictionary'!C:G,5,FALSE))=0, "", IF(B154="", "", VLOOKUP(B154,'API Data Dictionary'!C:G,5,FALSE)))</f>
        <v/>
      </c>
    </row>
    <row r="155" spans="1:7" x14ac:dyDescent="0.35">
      <c r="A155" s="64" t="s">
        <v>1244</v>
      </c>
      <c r="B155" s="62" t="str">
        <f t="shared" si="2"/>
        <v/>
      </c>
      <c r="C155" s="62" t="str">
        <f>IF(B155="", "", VLOOKUP(B155,'API Data Dictionary'!C:L,10,FALSE))</f>
        <v/>
      </c>
      <c r="D155" s="62" t="str">
        <f>IF(B155="", "", VLOOKUP(B155,'API Data Dictionary'!C:D,2,FALSE))</f>
        <v/>
      </c>
      <c r="E155" s="62" t="str">
        <f>IF(IF(B155="", "", VLOOKUP(B155,'API Data Dictionary'!C:E,3,FALSE))=0, "", IF(B155="", "", VLOOKUP(B155,'API Data Dictionary'!C:E,3,FALSE)))</f>
        <v/>
      </c>
      <c r="F155" s="62" t="str">
        <f>IF(IF(B155="", "", VLOOKUP(B155,'API Data Dictionary'!C:F,4,FALSE))=0, "", IF(B155="", "", VLOOKUP(B155,'API Data Dictionary'!C:F,4,FALSE)))</f>
        <v/>
      </c>
      <c r="G155" s="62" t="str">
        <f>IF(IF(B155="", "", VLOOKUP(B155,'API Data Dictionary'!C:G,5,FALSE))=0, "", IF(B155="", "", VLOOKUP(B155,'API Data Dictionary'!C:G,5,FALSE)))</f>
        <v/>
      </c>
    </row>
    <row r="156" spans="1:7" x14ac:dyDescent="0.35">
      <c r="A156" s="64" t="s">
        <v>1245</v>
      </c>
      <c r="B156" s="62" t="str">
        <f t="shared" si="2"/>
        <v>investmentSchemeOrCompany</v>
      </c>
      <c r="C156" s="62" t="s">
        <v>68</v>
      </c>
      <c r="D156" s="62" t="str">
        <f>IF(B156="", "", VLOOKUP(B156,'API Data Dictionary'!C:D,2,FALSE))</f>
        <v>string</v>
      </c>
      <c r="E156" s="62">
        <f>IF(IF(B156="", "", VLOOKUP(B156,'API Data Dictionary'!C:E,3,FALSE))=0, "", IF(B156="", "", VLOOKUP(B156,'API Data Dictionary'!C:E,3,FALSE)))</f>
        <v>100</v>
      </c>
      <c r="F156" s="62" t="str">
        <f>IF(IF(B156="", "", VLOOKUP(B156,'API Data Dictionary'!C:F,4,FALSE))=0, "", IF(B156="", "", VLOOKUP(B156,'API Data Dictionary'!C:F,4,FALSE)))</f>
        <v/>
      </c>
      <c r="G156" s="62" t="str">
        <f>IF(IF(B156="", "", VLOOKUP(B156,'API Data Dictionary'!C:G,5,FALSE))=0, "", IF(B156="", "", VLOOKUP(B156,'API Data Dictionary'!C:G,5,FALSE)))</f>
        <v>Name of the investment scheme or company</v>
      </c>
    </row>
    <row r="157" spans="1:7" x14ac:dyDescent="0.35">
      <c r="A157" s="64" t="s">
        <v>1246</v>
      </c>
      <c r="B157" s="62" t="str">
        <f t="shared" si="2"/>
        <v>investmentAmount</v>
      </c>
      <c r="C157" s="62" t="s">
        <v>68</v>
      </c>
      <c r="D157" s="62" t="str">
        <f>IF(B157="", "", VLOOKUP(B157,'API Data Dictionary'!C:D,2,FALSE))</f>
        <v>number ($double)</v>
      </c>
      <c r="E157" s="62" t="str">
        <f>IF(IF(B157="", "", VLOOKUP(B157,'API Data Dictionary'!C:E,3,FALSE))=0, "", IF(B157="", "", VLOOKUP(B157,'API Data Dictionary'!C:E,3,FALSE)))</f>
        <v/>
      </c>
      <c r="F157" s="62" t="str">
        <f>IF(IF(B157="", "", VLOOKUP(B157,'API Data Dictionary'!C:F,4,FALSE))=0, "", IF(B157="", "", VLOOKUP(B157,'API Data Dictionary'!C:F,4,FALSE)))</f>
        <v>pattern: ^\d*.\d{0,2}$</v>
      </c>
      <c r="G157" s="62" t="str">
        <f>IF(IF(B157="", "", VLOOKUP(B157,'API Data Dictionary'!C:G,5,FALSE))=0, "", IF(B157="", "", VLOOKUP(B157,'API Data Dictionary'!C:G,5,FALSE)))</f>
        <v>Amount of investment in GBP</v>
      </c>
    </row>
    <row r="158" spans="1:7" x14ac:dyDescent="0.35">
      <c r="A158" s="64" t="s">
        <v>1188</v>
      </c>
      <c r="B158" s="62" t="str">
        <f t="shared" si="2"/>
        <v/>
      </c>
      <c r="C158" s="62"/>
      <c r="D158" s="62" t="str">
        <f>IF(B158="", "", VLOOKUP(B158,'API Data Dictionary'!C:D,2,FALSE))</f>
        <v/>
      </c>
      <c r="E158" s="62" t="str">
        <f>IF(IF(B158="", "", VLOOKUP(B158,'API Data Dictionary'!C:E,3,FALSE))=0, "", IF(B158="", "", VLOOKUP(B158,'API Data Dictionary'!C:E,3,FALSE)))</f>
        <v/>
      </c>
      <c r="F158" s="62" t="str">
        <f>IF(IF(B158="", "", VLOOKUP(B158,'API Data Dictionary'!C:F,4,FALSE))=0, "", IF(B158="", "", VLOOKUP(B158,'API Data Dictionary'!C:F,4,FALSE)))</f>
        <v/>
      </c>
      <c r="G158" s="62" t="str">
        <f>IF(IF(B158="", "", VLOOKUP(B158,'API Data Dictionary'!C:G,5,FALSE))=0, "", IF(B158="", "", VLOOKUP(B158,'API Data Dictionary'!C:G,5,FALSE)))</f>
        <v/>
      </c>
    </row>
    <row r="159" spans="1:7" x14ac:dyDescent="0.35">
      <c r="A159" s="64" t="s">
        <v>1247</v>
      </c>
      <c r="B159" s="62" t="str">
        <f t="shared" si="2"/>
        <v/>
      </c>
      <c r="C159" s="62" t="str">
        <f>IF(B159="", "", VLOOKUP(B159,'API Data Dictionary'!C:L,10,FALSE))</f>
        <v/>
      </c>
      <c r="D159" s="62" t="str">
        <f>IF(B159="", "", VLOOKUP(B159,'API Data Dictionary'!C:D,2,FALSE))</f>
        <v/>
      </c>
      <c r="E159" s="62" t="str">
        <f>IF(IF(B159="", "", VLOOKUP(B159,'API Data Dictionary'!C:E,3,FALSE))=0, "", IF(B159="", "", VLOOKUP(B159,'API Data Dictionary'!C:E,3,FALSE)))</f>
        <v/>
      </c>
      <c r="F159" s="62" t="str">
        <f>IF(IF(B159="", "", VLOOKUP(B159,'API Data Dictionary'!C:F,4,FALSE))=0, "", IF(B159="", "", VLOOKUP(B159,'API Data Dictionary'!C:F,4,FALSE)))</f>
        <v/>
      </c>
      <c r="G159" s="62" t="str">
        <f>IF(IF(B159="", "", VLOOKUP(B159,'API Data Dictionary'!C:G,5,FALSE))=0, "", IF(B159="", "", VLOOKUP(B159,'API Data Dictionary'!C:G,5,FALSE)))</f>
        <v/>
      </c>
    </row>
    <row r="160" spans="1:7" x14ac:dyDescent="0.35">
      <c r="A160" s="64" t="s">
        <v>1248</v>
      </c>
      <c r="B160" s="62" t="str">
        <f t="shared" si="2"/>
        <v>savingsAmount</v>
      </c>
      <c r="C160" s="62" t="s">
        <v>68</v>
      </c>
      <c r="D160" s="62" t="str">
        <f>IF(B160="", "", VLOOKUP(B160,'API Data Dictionary'!C:D,2,FALSE))</f>
        <v>integer</v>
      </c>
      <c r="E160" s="62" t="str">
        <f>IF(IF(B160="", "", VLOOKUP(B160,'API Data Dictionary'!C:E,3,FALSE))=0, "", IF(B160="", "", VLOOKUP(B160,'API Data Dictionary'!C:E,3,FALSE)))</f>
        <v/>
      </c>
      <c r="F160" s="62" t="str">
        <f>IF(IF(B160="", "", VLOOKUP(B160,'API Data Dictionary'!C:F,4,FALSE))=0, "", IF(B160="", "", VLOOKUP(B160,'API Data Dictionary'!C:F,4,FALSE)))</f>
        <v/>
      </c>
      <c r="G160" s="62" t="str">
        <f>IF(IF(B160="", "", VLOOKUP(B160,'API Data Dictionary'!C:G,5,FALSE))=0, "", IF(B160="", "", VLOOKUP(B160,'API Data Dictionary'!C:G,5,FALSE)))</f>
        <v>The amount of savings in GBP, to the nearest whole number</v>
      </c>
    </row>
    <row r="161" spans="1:7" x14ac:dyDescent="0.35">
      <c r="A161" s="64" t="s">
        <v>1188</v>
      </c>
      <c r="B161" s="62" t="str">
        <f t="shared" si="2"/>
        <v/>
      </c>
      <c r="C161" s="62" t="str">
        <f>IF(B161="", "", VLOOKUP(B161,'API Data Dictionary'!C:L,10,FALSE))</f>
        <v/>
      </c>
      <c r="D161" s="62" t="str">
        <f>IF(B161="", "", VLOOKUP(B161,'API Data Dictionary'!C:D,2,FALSE))</f>
        <v/>
      </c>
      <c r="E161" s="62" t="str">
        <f>IF(IF(B161="", "", VLOOKUP(B161,'API Data Dictionary'!C:E,3,FALSE))=0, "", IF(B161="", "", VLOOKUP(B161,'API Data Dictionary'!C:E,3,FALSE)))</f>
        <v/>
      </c>
      <c r="F161" s="62" t="str">
        <f>IF(IF(B161="", "", VLOOKUP(B161,'API Data Dictionary'!C:F,4,FALSE))=0, "", IF(B161="", "", VLOOKUP(B161,'API Data Dictionary'!C:F,4,FALSE)))</f>
        <v/>
      </c>
      <c r="G161" s="62" t="str">
        <f>IF(IF(B161="", "", VLOOKUP(B161,'API Data Dictionary'!C:G,5,FALSE))=0, "", IF(B161="", "", VLOOKUP(B161,'API Data Dictionary'!C:G,5,FALSE)))</f>
        <v/>
      </c>
    </row>
    <row r="162" spans="1:7" x14ac:dyDescent="0.35">
      <c r="A162" s="64" t="s">
        <v>1249</v>
      </c>
      <c r="B162" s="62" t="str">
        <f t="shared" si="2"/>
        <v/>
      </c>
      <c r="C162" s="62" t="str">
        <f>IF(B162="", "", VLOOKUP(B162,'API Data Dictionary'!C:L,10,FALSE))</f>
        <v/>
      </c>
      <c r="D162" s="62" t="str">
        <f>IF(B162="", "", VLOOKUP(B162,'API Data Dictionary'!C:D,2,FALSE))</f>
        <v/>
      </c>
      <c r="E162" s="62" t="str">
        <f>IF(IF(B162="", "", VLOOKUP(B162,'API Data Dictionary'!C:E,3,FALSE))=0, "", IF(B162="", "", VLOOKUP(B162,'API Data Dictionary'!C:E,3,FALSE)))</f>
        <v/>
      </c>
      <c r="F162" s="62" t="str">
        <f>IF(IF(B162="", "", VLOOKUP(B162,'API Data Dictionary'!C:F,4,FALSE))=0, "", IF(B162="", "", VLOOKUP(B162,'API Data Dictionary'!C:F,4,FALSE)))</f>
        <v/>
      </c>
      <c r="G162" s="62" t="str">
        <f>IF(IF(B162="", "", VLOOKUP(B162,'API Data Dictionary'!C:G,5,FALSE))=0, "", IF(B162="", "", VLOOKUP(B162,'API Data Dictionary'!C:G,5,FALSE)))</f>
        <v/>
      </c>
    </row>
    <row r="163" spans="1:7" x14ac:dyDescent="0.35">
      <c r="A163" s="64" t="s">
        <v>1250</v>
      </c>
      <c r="B163" s="62" t="str">
        <f t="shared" si="2"/>
        <v>applicantBenefitsReceived</v>
      </c>
      <c r="C163" s="62" t="s">
        <v>68</v>
      </c>
      <c r="D163" s="62" t="str">
        <f>IF(B163="", "", VLOOKUP(B163,'API Data Dictionary'!C:D,2,FALSE))</f>
        <v>boolean</v>
      </c>
      <c r="E163" s="62" t="str">
        <f>IF(IF(B163="", "", VLOOKUP(B163,'API Data Dictionary'!C:E,3,FALSE))=0, "", IF(B163="", "", VLOOKUP(B163,'API Data Dictionary'!C:E,3,FALSE)))</f>
        <v/>
      </c>
      <c r="F163" s="62" t="str">
        <f>IF(IF(B163="", "", VLOOKUP(B163,'API Data Dictionary'!C:F,4,FALSE))=0, "", IF(B163="", "", VLOOKUP(B163,'API Data Dictionary'!C:F,4,FALSE)))</f>
        <v/>
      </c>
      <c r="G163" s="62" t="str">
        <f>IF(IF(B163="", "", VLOOKUP(B163,'API Data Dictionary'!C:G,5,FALSE))=0, "", IF(B163="", "", VLOOKUP(B163,'API Data Dictionary'!C:G,5,FALSE)))</f>
        <v>Denotes if benefits are recieved</v>
      </c>
    </row>
    <row r="164" spans="1:7" x14ac:dyDescent="0.35">
      <c r="A164" s="64" t="s">
        <v>1251</v>
      </c>
      <c r="B164" s="62" t="str">
        <f t="shared" si="2"/>
        <v>taxCredit</v>
      </c>
      <c r="C164" s="62" t="s">
        <v>68</v>
      </c>
      <c r="D164" s="62" t="str">
        <f>IF(B164="", "", VLOOKUP(B164,'API Data Dictionary'!C:D,2,FALSE))</f>
        <v>boolean</v>
      </c>
      <c r="E164" s="62" t="str">
        <f>IF(IF(B164="", "", VLOOKUP(B164,'API Data Dictionary'!C:E,3,FALSE))=0, "", IF(B164="", "", VLOOKUP(B164,'API Data Dictionary'!C:E,3,FALSE)))</f>
        <v/>
      </c>
      <c r="F164" s="62" t="str">
        <f>IF(IF(B164="", "", VLOOKUP(B164,'API Data Dictionary'!C:F,4,FALSE))=0, "", IF(B164="", "", VLOOKUP(B164,'API Data Dictionary'!C:F,4,FALSE)))</f>
        <v/>
      </c>
      <c r="G164" s="62" t="str">
        <f>IF(IF(B164="", "", VLOOKUP(B164,'API Data Dictionary'!C:G,5,FALSE))=0, "", IF(B164="", "", VLOOKUP(B164,'API Data Dictionary'!C:G,5,FALSE)))</f>
        <v>Denotes if is tax credit</v>
      </c>
    </row>
    <row r="165" spans="1:7" x14ac:dyDescent="0.35">
      <c r="A165" s="64" t="s">
        <v>1252</v>
      </c>
      <c r="B165" s="62" t="str">
        <f t="shared" si="2"/>
        <v>taxCreditTerm</v>
      </c>
      <c r="C165" s="62" t="s">
        <v>68</v>
      </c>
      <c r="D165" s="62" t="str">
        <f>IF(B165="", "", VLOOKUP(B165,'API Data Dictionary'!C:D,2,FALSE))</f>
        <v>enum - Income Term</v>
      </c>
      <c r="E165" s="62" t="str">
        <f>IF(IF(B165="", "", VLOOKUP(B165,'API Data Dictionary'!C:E,3,FALSE))=0, "", IF(B165="", "", VLOOKUP(B165,'API Data Dictionary'!C:E,3,FALSE)))</f>
        <v/>
      </c>
      <c r="F165" s="62" t="str">
        <f>IF(IF(B165="", "", VLOOKUP(B165,'API Data Dictionary'!C:F,4,FALSE))=0, "", IF(B165="", "", VLOOKUP(B165,'API Data Dictionary'!C:F,4,FALSE)))</f>
        <v>Valid Values 1-4 (See enum definition)</v>
      </c>
      <c r="G165" s="62" t="str">
        <f>IF(IF(B165="", "", VLOOKUP(B165,'API Data Dictionary'!C:G,5,FALSE))=0, "", IF(B165="", "", VLOOKUP(B165,'API Data Dictionary'!C:G,5,FALSE)))</f>
        <v>Income term, e.g monthly or weekly</v>
      </c>
    </row>
    <row r="166" spans="1:7" x14ac:dyDescent="0.35">
      <c r="A166" s="64" t="s">
        <v>1253</v>
      </c>
      <c r="B166" s="62" t="str">
        <f t="shared" si="2"/>
        <v>taxCreditAmount</v>
      </c>
      <c r="C166" s="62" t="s">
        <v>68</v>
      </c>
      <c r="D166" s="62" t="str">
        <f>IF(B166="", "", VLOOKUP(B166,'API Data Dictionary'!C:D,2,FALSE))</f>
        <v>number ($double)</v>
      </c>
      <c r="E166" s="62" t="str">
        <f>IF(IF(B166="", "", VLOOKUP(B166,'API Data Dictionary'!C:E,3,FALSE))=0, "", IF(B166="", "", VLOOKUP(B166,'API Data Dictionary'!C:E,3,FALSE)))</f>
        <v/>
      </c>
      <c r="F166" s="62" t="str">
        <f>IF(IF(B166="", "", VLOOKUP(B166,'API Data Dictionary'!C:F,4,FALSE))=0, "", IF(B166="", "", VLOOKUP(B166,'API Data Dictionary'!C:F,4,FALSE)))</f>
        <v>pattern: ^\d*.\d{0,2}$</v>
      </c>
      <c r="G166" s="62" t="str">
        <f>IF(IF(B166="", "", VLOOKUP(B166,'API Data Dictionary'!C:G,5,FALSE))=0, "", IF(B166="", "", VLOOKUP(B166,'API Data Dictionary'!C:G,5,FALSE)))</f>
        <v>Amount of tax credit in GBP</v>
      </c>
    </row>
    <row r="167" spans="1:7" x14ac:dyDescent="0.35">
      <c r="A167" s="64" t="s">
        <v>1254</v>
      </c>
      <c r="B167" s="62" t="str">
        <f t="shared" si="2"/>
        <v>carerAllowance</v>
      </c>
      <c r="C167" s="62" t="s">
        <v>68</v>
      </c>
      <c r="D167" s="62" t="str">
        <f>IF(B167="", "", VLOOKUP(B167,'API Data Dictionary'!C:D,2,FALSE))</f>
        <v>boolean</v>
      </c>
      <c r="E167" s="62" t="str">
        <f>IF(IF(B167="", "", VLOOKUP(B167,'API Data Dictionary'!C:E,3,FALSE))=0, "", IF(B167="", "", VLOOKUP(B167,'API Data Dictionary'!C:E,3,FALSE)))</f>
        <v/>
      </c>
      <c r="F167" s="62" t="str">
        <f>IF(IF(B167="", "", VLOOKUP(B167,'API Data Dictionary'!C:F,4,FALSE))=0, "", IF(B167="", "", VLOOKUP(B167,'API Data Dictionary'!C:F,4,FALSE)))</f>
        <v/>
      </c>
      <c r="G167" s="62" t="str">
        <f>IF(IF(B167="", "", VLOOKUP(B167,'API Data Dictionary'!C:G,5,FALSE))=0, "", IF(B167="", "", VLOOKUP(B167,'API Data Dictionary'!C:G,5,FALSE)))</f>
        <v>Denotes if carer allowance is received</v>
      </c>
    </row>
    <row r="168" spans="1:7" x14ac:dyDescent="0.35">
      <c r="A168" s="64" t="s">
        <v>1255</v>
      </c>
      <c r="B168" s="62" t="str">
        <f t="shared" si="2"/>
        <v>carerAllowanceTerm</v>
      </c>
      <c r="C168" s="62" t="s">
        <v>68</v>
      </c>
      <c r="D168" s="62" t="str">
        <f>IF(B168="", "", VLOOKUP(B168,'API Data Dictionary'!C:D,2,FALSE))</f>
        <v>enum - Income Term</v>
      </c>
      <c r="E168" s="62" t="str">
        <f>IF(IF(B168="", "", VLOOKUP(B168,'API Data Dictionary'!C:E,3,FALSE))=0, "", IF(B168="", "", VLOOKUP(B168,'API Data Dictionary'!C:E,3,FALSE)))</f>
        <v/>
      </c>
      <c r="F168" s="62" t="str">
        <f>IF(IF(B168="", "", VLOOKUP(B168,'API Data Dictionary'!C:F,4,FALSE))=0, "", IF(B168="", "", VLOOKUP(B168,'API Data Dictionary'!C:F,4,FALSE)))</f>
        <v>Valid Values 1-4 (See enum definition)</v>
      </c>
      <c r="G168" s="62" t="str">
        <f>IF(IF(B168="", "", VLOOKUP(B168,'API Data Dictionary'!C:G,5,FALSE))=0, "", IF(B168="", "", VLOOKUP(B168,'API Data Dictionary'!C:G,5,FALSE)))</f>
        <v>Income term, e.g monthly or weekly</v>
      </c>
    </row>
    <row r="169" spans="1:7" x14ac:dyDescent="0.35">
      <c r="A169" s="64" t="s">
        <v>1256</v>
      </c>
      <c r="B169" s="62" t="str">
        <f t="shared" si="2"/>
        <v>carerAllowanceAmount</v>
      </c>
      <c r="C169" s="62" t="s">
        <v>68</v>
      </c>
      <c r="D169" s="62" t="str">
        <f>IF(B169="", "", VLOOKUP(B169,'API Data Dictionary'!C:D,2,FALSE))</f>
        <v>number ($double)</v>
      </c>
      <c r="E169" s="62" t="str">
        <f>IF(IF(B169="", "", VLOOKUP(B169,'API Data Dictionary'!C:E,3,FALSE))=0, "", IF(B169="", "", VLOOKUP(B169,'API Data Dictionary'!C:E,3,FALSE)))</f>
        <v/>
      </c>
      <c r="F169" s="62" t="str">
        <f>IF(IF(B169="", "", VLOOKUP(B169,'API Data Dictionary'!C:F,4,FALSE))=0, "", IF(B169="", "", VLOOKUP(B169,'API Data Dictionary'!C:F,4,FALSE)))</f>
        <v>pattern: ^\d*.\d{0,2}$</v>
      </c>
      <c r="G169" s="62" t="str">
        <f>IF(IF(B169="", "", VLOOKUP(B169,'API Data Dictionary'!C:G,5,FALSE))=0, "", IF(B169="", "", VLOOKUP(B169,'API Data Dictionary'!C:G,5,FALSE)))</f>
        <v>Amount of carer allowance in GBP</v>
      </c>
    </row>
    <row r="170" spans="1:7" x14ac:dyDescent="0.35">
      <c r="A170" s="64" t="s">
        <v>1257</v>
      </c>
      <c r="B170" s="62" t="str">
        <f t="shared" si="2"/>
        <v>childBenefit</v>
      </c>
      <c r="C170" s="62" t="s">
        <v>68</v>
      </c>
      <c r="D170" s="62" t="str">
        <f>IF(B170="", "", VLOOKUP(B170,'API Data Dictionary'!C:D,2,FALSE))</f>
        <v>boolean</v>
      </c>
      <c r="E170" s="62" t="str">
        <f>IF(IF(B170="", "", VLOOKUP(B170,'API Data Dictionary'!C:E,3,FALSE))=0, "", IF(B170="", "", VLOOKUP(B170,'API Data Dictionary'!C:E,3,FALSE)))</f>
        <v/>
      </c>
      <c r="F170" s="62" t="str">
        <f>IF(IF(B170="", "", VLOOKUP(B170,'API Data Dictionary'!C:F,4,FALSE))=0, "", IF(B170="", "", VLOOKUP(B170,'API Data Dictionary'!C:F,4,FALSE)))</f>
        <v/>
      </c>
      <c r="G170" s="62" t="str">
        <f>IF(IF(B170="", "", VLOOKUP(B170,'API Data Dictionary'!C:G,5,FALSE))=0, "", IF(B170="", "", VLOOKUP(B170,'API Data Dictionary'!C:G,5,FALSE)))</f>
        <v>Denotes if child benfit is received</v>
      </c>
    </row>
    <row r="171" spans="1:7" x14ac:dyDescent="0.35">
      <c r="A171" s="64" t="s">
        <v>1258</v>
      </c>
      <c r="B171" s="62" t="str">
        <f t="shared" ref="B171:B201" si="3">IF(OR(ISNUMBER(SEARCH("{", A171)),ISNUMBER(SEARCH("[", A171))), "", IFERROR(MID(A171, SEARCH("""", A171) +1, SEARCH("""", A171, SEARCH("""",A171) +1) - SEARCH("""", A171) -1), ""))</f>
        <v>childBenefitTerm</v>
      </c>
      <c r="C171" s="62" t="s">
        <v>68</v>
      </c>
      <c r="D171" s="62" t="str">
        <f>IF(B171="", "", VLOOKUP(B171,'API Data Dictionary'!C:D,2,FALSE))</f>
        <v>enum - Income Term</v>
      </c>
      <c r="E171" s="62" t="str">
        <f>IF(IF(B171="", "", VLOOKUP(B171,'API Data Dictionary'!C:E,3,FALSE))=0, "", IF(B171="", "", VLOOKUP(B171,'API Data Dictionary'!C:E,3,FALSE)))</f>
        <v/>
      </c>
      <c r="F171" s="62" t="str">
        <f>IF(IF(B171="", "", VLOOKUP(B171,'API Data Dictionary'!C:F,4,FALSE))=0, "", IF(B171="", "", VLOOKUP(B171,'API Data Dictionary'!C:F,4,FALSE)))</f>
        <v>Valid Values 1-4 (See enum definition)</v>
      </c>
      <c r="G171" s="62" t="str">
        <f>IF(IF(B171="", "", VLOOKUP(B171,'API Data Dictionary'!C:G,5,FALSE))=0, "", IF(B171="", "", VLOOKUP(B171,'API Data Dictionary'!C:G,5,FALSE)))</f>
        <v>Income term, e.g monthly or weekly</v>
      </c>
    </row>
    <row r="172" spans="1:7" x14ac:dyDescent="0.35">
      <c r="A172" s="64" t="s">
        <v>1259</v>
      </c>
      <c r="B172" s="62" t="str">
        <f t="shared" si="3"/>
        <v>childBenefitAmount</v>
      </c>
      <c r="C172" s="62" t="s">
        <v>68</v>
      </c>
      <c r="D172" s="62" t="str">
        <f>IF(B172="", "", VLOOKUP(B172,'API Data Dictionary'!C:D,2,FALSE))</f>
        <v>number ($double)</v>
      </c>
      <c r="E172" s="62" t="str">
        <f>IF(IF(B172="", "", VLOOKUP(B172,'API Data Dictionary'!C:E,3,FALSE))=0, "", IF(B172="", "", VLOOKUP(B172,'API Data Dictionary'!C:E,3,FALSE)))</f>
        <v/>
      </c>
      <c r="F172" s="62" t="str">
        <f>IF(IF(B172="", "", VLOOKUP(B172,'API Data Dictionary'!C:F,4,FALSE))=0, "", IF(B172="", "", VLOOKUP(B172,'API Data Dictionary'!C:F,4,FALSE)))</f>
        <v>pattern: ^\d*.\d{0,2}$</v>
      </c>
      <c r="G172" s="62" t="str">
        <f>IF(IF(B172="", "", VLOOKUP(B172,'API Data Dictionary'!C:G,5,FALSE))=0, "", IF(B172="", "", VLOOKUP(B172,'API Data Dictionary'!C:G,5,FALSE)))</f>
        <v>Amount of child benefit in GBP</v>
      </c>
    </row>
    <row r="173" spans="1:7" x14ac:dyDescent="0.35">
      <c r="A173" s="64" t="s">
        <v>1260</v>
      </c>
      <c r="B173" s="62" t="str">
        <f t="shared" si="3"/>
        <v>disabilityBenefit</v>
      </c>
      <c r="C173" s="62" t="s">
        <v>68</v>
      </c>
      <c r="D173" s="62" t="str">
        <f>IF(B173="", "", VLOOKUP(B173,'API Data Dictionary'!C:D,2,FALSE))</f>
        <v>boolean</v>
      </c>
      <c r="E173" s="62" t="str">
        <f>IF(IF(B173="", "", VLOOKUP(B173,'API Data Dictionary'!C:E,3,FALSE))=0, "", IF(B173="", "", VLOOKUP(B173,'API Data Dictionary'!C:E,3,FALSE)))</f>
        <v/>
      </c>
      <c r="F173" s="62" t="str">
        <f>IF(IF(B173="", "", VLOOKUP(B173,'API Data Dictionary'!C:F,4,FALSE))=0, "", IF(B173="", "", VLOOKUP(B173,'API Data Dictionary'!C:F,4,FALSE)))</f>
        <v/>
      </c>
      <c r="G173" s="62" t="str">
        <f>IF(IF(B173="", "", VLOOKUP(B173,'API Data Dictionary'!C:G,5,FALSE))=0, "", IF(B173="", "", VLOOKUP(B173,'API Data Dictionary'!C:G,5,FALSE)))</f>
        <v>Denotes if disablity Benefit is Recieved</v>
      </c>
    </row>
    <row r="174" spans="1:7" x14ac:dyDescent="0.35">
      <c r="A174" s="64" t="s">
        <v>1261</v>
      </c>
      <c r="B174" s="62" t="str">
        <f t="shared" si="3"/>
        <v>disabilityBenefitTerm</v>
      </c>
      <c r="C174" s="62" t="s">
        <v>68</v>
      </c>
      <c r="D174" s="62" t="str">
        <f>IF(B174="", "", VLOOKUP(B174,'API Data Dictionary'!C:D,2,FALSE))</f>
        <v>enum - Income Term</v>
      </c>
      <c r="E174" s="62" t="str">
        <f>IF(IF(B174="", "", VLOOKUP(B174,'API Data Dictionary'!C:E,3,FALSE))=0, "", IF(B174="", "", VLOOKUP(B174,'API Data Dictionary'!C:E,3,FALSE)))</f>
        <v/>
      </c>
      <c r="F174" s="62" t="str">
        <f>IF(IF(B174="", "", VLOOKUP(B174,'API Data Dictionary'!C:F,4,FALSE))=0, "", IF(B174="", "", VLOOKUP(B174,'API Data Dictionary'!C:F,4,FALSE)))</f>
        <v>Valid Values 1-4 (See enum definition)</v>
      </c>
      <c r="G174" s="62" t="str">
        <f>IF(IF(B174="", "", VLOOKUP(B174,'API Data Dictionary'!C:G,5,FALSE))=0, "", IF(B174="", "", VLOOKUP(B174,'API Data Dictionary'!C:G,5,FALSE)))</f>
        <v>Income term, e.g monthly or weekly</v>
      </c>
    </row>
    <row r="175" spans="1:7" x14ac:dyDescent="0.35">
      <c r="A175" s="64" t="s">
        <v>1262</v>
      </c>
      <c r="B175" s="62" t="str">
        <f t="shared" si="3"/>
        <v>disabilityBenefitAmount</v>
      </c>
      <c r="C175" s="62" t="s">
        <v>68</v>
      </c>
      <c r="D175" s="62" t="str">
        <f>IF(B175="", "", VLOOKUP(B175,'API Data Dictionary'!C:D,2,FALSE))</f>
        <v>number ($double)</v>
      </c>
      <c r="E175" s="62" t="str">
        <f>IF(IF(B175="", "", VLOOKUP(B175,'API Data Dictionary'!C:E,3,FALSE))=0, "", IF(B175="", "", VLOOKUP(B175,'API Data Dictionary'!C:E,3,FALSE)))</f>
        <v/>
      </c>
      <c r="F175" s="62" t="str">
        <f>IF(IF(B175="", "", VLOOKUP(B175,'API Data Dictionary'!C:F,4,FALSE))=0, "", IF(B175="", "", VLOOKUP(B175,'API Data Dictionary'!C:F,4,FALSE)))</f>
        <v>pattern: ^\d*.\d{0,2}$</v>
      </c>
      <c r="G175" s="62" t="str">
        <f>IF(IF(B175="", "", VLOOKUP(B175,'API Data Dictionary'!C:G,5,FALSE))=0, "", IF(B175="", "", VLOOKUP(B175,'API Data Dictionary'!C:G,5,FALSE)))</f>
        <v>Amount of disablity benefit in GBP</v>
      </c>
    </row>
    <row r="176" spans="1:7" x14ac:dyDescent="0.35">
      <c r="A176" s="64" t="s">
        <v>1263</v>
      </c>
      <c r="B176" s="62" t="str">
        <f t="shared" si="3"/>
        <v>fosterAllowance</v>
      </c>
      <c r="C176" s="62" t="s">
        <v>68</v>
      </c>
      <c r="D176" s="62" t="str">
        <f>IF(B176="", "", VLOOKUP(B176,'API Data Dictionary'!C:D,2,FALSE))</f>
        <v>boolean</v>
      </c>
      <c r="E176" s="62" t="str">
        <f>IF(IF(B176="", "", VLOOKUP(B176,'API Data Dictionary'!C:E,3,FALSE))=0, "", IF(B176="", "", VLOOKUP(B176,'API Data Dictionary'!C:E,3,FALSE)))</f>
        <v/>
      </c>
      <c r="F176" s="62" t="str">
        <f>IF(IF(B176="", "", VLOOKUP(B176,'API Data Dictionary'!C:F,4,FALSE))=0, "", IF(B176="", "", VLOOKUP(B176,'API Data Dictionary'!C:F,4,FALSE)))</f>
        <v/>
      </c>
      <c r="G176" s="62" t="str">
        <f>IF(IF(B176="", "", VLOOKUP(B176,'API Data Dictionary'!C:G,5,FALSE))=0, "", IF(B176="", "", VLOOKUP(B176,'API Data Dictionary'!C:G,5,FALSE)))</f>
        <v>Denotes if foster allowance is recieved</v>
      </c>
    </row>
    <row r="177" spans="1:7" x14ac:dyDescent="0.35">
      <c r="A177" s="64" t="s">
        <v>1264</v>
      </c>
      <c r="B177" s="62" t="str">
        <f t="shared" si="3"/>
        <v>fosterAllowanceTerm</v>
      </c>
      <c r="C177" s="62" t="s">
        <v>68</v>
      </c>
      <c r="D177" s="62" t="str">
        <f>IF(B177="", "", VLOOKUP(B177,'API Data Dictionary'!C:D,2,FALSE))</f>
        <v>enum - Income Term</v>
      </c>
      <c r="E177" s="62" t="str">
        <f>IF(IF(B177="", "", VLOOKUP(B177,'API Data Dictionary'!C:E,3,FALSE))=0, "", IF(B177="", "", VLOOKUP(B177,'API Data Dictionary'!C:E,3,FALSE)))</f>
        <v/>
      </c>
      <c r="F177" s="62" t="str">
        <f>IF(IF(B177="", "", VLOOKUP(B177,'API Data Dictionary'!C:F,4,FALSE))=0, "", IF(B177="", "", VLOOKUP(B177,'API Data Dictionary'!C:F,4,FALSE)))</f>
        <v>Valid Values 1-4 (See enum definition)</v>
      </c>
      <c r="G177" s="62" t="str">
        <f>IF(IF(B177="", "", VLOOKUP(B177,'API Data Dictionary'!C:G,5,FALSE))=0, "", IF(B177="", "", VLOOKUP(B177,'API Data Dictionary'!C:G,5,FALSE)))</f>
        <v>Income term, e.g monthly or weekly</v>
      </c>
    </row>
    <row r="178" spans="1:7" x14ac:dyDescent="0.35">
      <c r="A178" s="64" t="s">
        <v>1265</v>
      </c>
      <c r="B178" s="62" t="str">
        <f t="shared" si="3"/>
        <v>fosterAllowanceAmount</v>
      </c>
      <c r="C178" s="62" t="s">
        <v>68</v>
      </c>
      <c r="D178" s="62" t="str">
        <f>IF(B178="", "", VLOOKUP(B178,'API Data Dictionary'!C:D,2,FALSE))</f>
        <v>number ($double)</v>
      </c>
      <c r="E178" s="62" t="str">
        <f>IF(IF(B178="", "", VLOOKUP(B178,'API Data Dictionary'!C:E,3,FALSE))=0, "", IF(B178="", "", VLOOKUP(B178,'API Data Dictionary'!C:E,3,FALSE)))</f>
        <v/>
      </c>
      <c r="F178" s="62" t="str">
        <f>IF(IF(B178="", "", VLOOKUP(B178,'API Data Dictionary'!C:F,4,FALSE))=0, "", IF(B178="", "", VLOOKUP(B178,'API Data Dictionary'!C:F,4,FALSE)))</f>
        <v>pattern: ^\d*.\d{0,2}$</v>
      </c>
      <c r="G178" s="62" t="str">
        <f>IF(IF(B178="", "", VLOOKUP(B178,'API Data Dictionary'!C:G,5,FALSE))=0, "", IF(B178="", "", VLOOKUP(B178,'API Data Dictionary'!C:G,5,FALSE)))</f>
        <v>Amount of foster allowance in GBP</v>
      </c>
    </row>
    <row r="179" spans="1:7" x14ac:dyDescent="0.35">
      <c r="A179" s="64" t="s">
        <v>1266</v>
      </c>
      <c r="B179" s="62" t="str">
        <f t="shared" si="3"/>
        <v>guardianAllowance</v>
      </c>
      <c r="C179" s="62" t="s">
        <v>68</v>
      </c>
      <c r="D179" s="62" t="str">
        <f>IF(B179="", "", VLOOKUP(B179,'API Data Dictionary'!C:D,2,FALSE))</f>
        <v>boolean</v>
      </c>
      <c r="E179" s="62" t="str">
        <f>IF(IF(B179="", "", VLOOKUP(B179,'API Data Dictionary'!C:E,3,FALSE))=0, "", IF(B179="", "", VLOOKUP(B179,'API Data Dictionary'!C:E,3,FALSE)))</f>
        <v/>
      </c>
      <c r="F179" s="62" t="str">
        <f>IF(IF(B179="", "", VLOOKUP(B179,'API Data Dictionary'!C:F,4,FALSE))=0, "", IF(B179="", "", VLOOKUP(B179,'API Data Dictionary'!C:F,4,FALSE)))</f>
        <v/>
      </c>
      <c r="G179" s="62" t="str">
        <f>IF(IF(B179="", "", VLOOKUP(B179,'API Data Dictionary'!C:G,5,FALSE))=0, "", IF(B179="", "", VLOOKUP(B179,'API Data Dictionary'!C:G,5,FALSE)))</f>
        <v>Denotes if guardian allowance is recieved</v>
      </c>
    </row>
    <row r="180" spans="1:7" x14ac:dyDescent="0.35">
      <c r="A180" s="64" t="s">
        <v>1267</v>
      </c>
      <c r="B180" s="62" t="str">
        <f t="shared" si="3"/>
        <v>guardianAllowanceTerm</v>
      </c>
      <c r="C180" s="62" t="s">
        <v>68</v>
      </c>
      <c r="D180" s="62" t="str">
        <f>IF(B180="", "", VLOOKUP(B180,'API Data Dictionary'!C:D,2,FALSE))</f>
        <v>enum - Income Term</v>
      </c>
      <c r="E180" s="62" t="str">
        <f>IF(IF(B180="", "", VLOOKUP(B180,'API Data Dictionary'!C:E,3,FALSE))=0, "", IF(B180="", "", VLOOKUP(B180,'API Data Dictionary'!C:E,3,FALSE)))</f>
        <v/>
      </c>
      <c r="F180" s="62" t="str">
        <f>IF(IF(B180="", "", VLOOKUP(B180,'API Data Dictionary'!C:F,4,FALSE))=0, "", IF(B180="", "", VLOOKUP(B180,'API Data Dictionary'!C:F,4,FALSE)))</f>
        <v>Valid Values 1-4 (See enum definition)</v>
      </c>
      <c r="G180" s="62" t="str">
        <f>IF(IF(B180="", "", VLOOKUP(B180,'API Data Dictionary'!C:G,5,FALSE))=0, "", IF(B180="", "", VLOOKUP(B180,'API Data Dictionary'!C:G,5,FALSE)))</f>
        <v>Income term, e.g monthly or weekly</v>
      </c>
    </row>
    <row r="181" spans="1:7" x14ac:dyDescent="0.35">
      <c r="A181" s="64" t="s">
        <v>1268</v>
      </c>
      <c r="B181" s="62" t="str">
        <f t="shared" si="3"/>
        <v>guardianAllowanceAmount</v>
      </c>
      <c r="C181" s="62" t="s">
        <v>68</v>
      </c>
      <c r="D181" s="62" t="str">
        <f>IF(B181="", "", VLOOKUP(B181,'API Data Dictionary'!C:D,2,FALSE))</f>
        <v>number ($double)</v>
      </c>
      <c r="E181" s="62" t="str">
        <f>IF(IF(B181="", "", VLOOKUP(B181,'API Data Dictionary'!C:E,3,FALSE))=0, "", IF(B181="", "", VLOOKUP(B181,'API Data Dictionary'!C:E,3,FALSE)))</f>
        <v/>
      </c>
      <c r="F181" s="62" t="str">
        <f>IF(IF(B181="", "", VLOOKUP(B181,'API Data Dictionary'!C:F,4,FALSE))=0, "", IF(B181="", "", VLOOKUP(B181,'API Data Dictionary'!C:F,4,FALSE)))</f>
        <v>pattern: ^\d*.\d{0,2}$</v>
      </c>
      <c r="G181" s="62" t="str">
        <f>IF(IF(B181="", "", VLOOKUP(B181,'API Data Dictionary'!C:G,5,FALSE))=0, "", IF(B181="", "", VLOOKUP(B181,'API Data Dictionary'!C:G,5,FALSE)))</f>
        <v>Amount of Guardian Allowance in GBP</v>
      </c>
    </row>
    <row r="182" spans="1:7" x14ac:dyDescent="0.35">
      <c r="A182" s="64" t="s">
        <v>1269</v>
      </c>
      <c r="B182" s="62" t="str">
        <f t="shared" si="3"/>
        <v>childMaintenance</v>
      </c>
      <c r="C182" s="62" t="s">
        <v>68</v>
      </c>
      <c r="D182" s="62" t="str">
        <f>IF(B182="", "", VLOOKUP(B182,'API Data Dictionary'!C:D,2,FALSE))</f>
        <v>boolean</v>
      </c>
      <c r="E182" s="62" t="str">
        <f>IF(IF(B182="", "", VLOOKUP(B182,'API Data Dictionary'!C:E,3,FALSE))=0, "", IF(B182="", "", VLOOKUP(B182,'API Data Dictionary'!C:E,3,FALSE)))</f>
        <v/>
      </c>
      <c r="F182" s="62" t="str">
        <f>IF(IF(B182="", "", VLOOKUP(B182,'API Data Dictionary'!C:F,4,FALSE))=0, "", IF(B182="", "", VLOOKUP(B182,'API Data Dictionary'!C:F,4,FALSE)))</f>
        <v/>
      </c>
      <c r="G182" s="62" t="str">
        <f>IF(IF(B182="", "", VLOOKUP(B182,'API Data Dictionary'!C:G,5,FALSE))=0, "", IF(B182="", "", VLOOKUP(B182,'API Data Dictionary'!C:G,5,FALSE)))</f>
        <v>Denotes if Child maintenance is received</v>
      </c>
    </row>
    <row r="183" spans="1:7" x14ac:dyDescent="0.35">
      <c r="A183" s="64" t="s">
        <v>1270</v>
      </c>
      <c r="B183" s="62" t="str">
        <f t="shared" si="3"/>
        <v>childMaintenanceTerm</v>
      </c>
      <c r="C183" s="62" t="s">
        <v>68</v>
      </c>
      <c r="D183" s="62" t="str">
        <f>IF(B183="", "", VLOOKUP(B183,'API Data Dictionary'!C:D,2,FALSE))</f>
        <v>enum - Income Term</v>
      </c>
      <c r="E183" s="62" t="str">
        <f>IF(IF(B183="", "", VLOOKUP(B183,'API Data Dictionary'!C:E,3,FALSE))=0, "", IF(B183="", "", VLOOKUP(B183,'API Data Dictionary'!C:E,3,FALSE)))</f>
        <v/>
      </c>
      <c r="F183" s="62" t="str">
        <f>IF(IF(B183="", "", VLOOKUP(B183,'API Data Dictionary'!C:F,4,FALSE))=0, "", IF(B183="", "", VLOOKUP(B183,'API Data Dictionary'!C:F,4,FALSE)))</f>
        <v>Valid Values 1-4 (See enum definition)</v>
      </c>
      <c r="G183" s="62" t="str">
        <f>IF(IF(B183="", "", VLOOKUP(B183,'API Data Dictionary'!C:G,5,FALSE))=0, "", IF(B183="", "", VLOOKUP(B183,'API Data Dictionary'!C:G,5,FALSE)))</f>
        <v>Income term, e.g monthly or weekly</v>
      </c>
    </row>
    <row r="184" spans="1:7" x14ac:dyDescent="0.35">
      <c r="A184" s="64" t="s">
        <v>1271</v>
      </c>
      <c r="B184" s="62" t="str">
        <f t="shared" si="3"/>
        <v>childMaintenanceAmount</v>
      </c>
      <c r="C184" s="62" t="s">
        <v>68</v>
      </c>
      <c r="D184" s="62" t="str">
        <f>IF(B184="", "", VLOOKUP(B184,'API Data Dictionary'!C:D,2,FALSE))</f>
        <v>number ($double)</v>
      </c>
      <c r="E184" s="62" t="str">
        <f>IF(IF(B184="", "", VLOOKUP(B184,'API Data Dictionary'!C:E,3,FALSE))=0, "", IF(B184="", "", VLOOKUP(B184,'API Data Dictionary'!C:E,3,FALSE)))</f>
        <v/>
      </c>
      <c r="F184" s="62" t="str">
        <f>IF(IF(B184="", "", VLOOKUP(B184,'API Data Dictionary'!C:F,4,FALSE))=0, "", IF(B184="", "", VLOOKUP(B184,'API Data Dictionary'!C:F,4,FALSE)))</f>
        <v>pattern: ^\d*.\d{0,2}$</v>
      </c>
      <c r="G184" s="62" t="str">
        <f>IF(IF(B184="", "", VLOOKUP(B184,'API Data Dictionary'!C:G,5,FALSE))=0, "", IF(B184="", "", VLOOKUP(B184,'API Data Dictionary'!C:G,5,FALSE)))</f>
        <v>Amount of child maintenance in GBP</v>
      </c>
    </row>
    <row r="185" spans="1:7" x14ac:dyDescent="0.35">
      <c r="A185" s="64" t="s">
        <v>1272</v>
      </c>
      <c r="B185" s="62" t="str">
        <f t="shared" si="3"/>
        <v>housingBenefit</v>
      </c>
      <c r="C185" s="62" t="s">
        <v>68</v>
      </c>
      <c r="D185" s="62" t="str">
        <f>IF(B185="", "", VLOOKUP(B185,'API Data Dictionary'!C:D,2,FALSE))</f>
        <v>boolean</v>
      </c>
      <c r="E185" s="62" t="str">
        <f>IF(IF(B185="", "", VLOOKUP(B185,'API Data Dictionary'!C:E,3,FALSE))=0, "", IF(B185="", "", VLOOKUP(B185,'API Data Dictionary'!C:E,3,FALSE)))</f>
        <v/>
      </c>
      <c r="F185" s="62" t="str">
        <f>IF(IF(B185="", "", VLOOKUP(B185,'API Data Dictionary'!C:F,4,FALSE))=0, "", IF(B185="", "", VLOOKUP(B185,'API Data Dictionary'!C:F,4,FALSE)))</f>
        <v/>
      </c>
      <c r="G185" s="62" t="str">
        <f>IF(IF(B185="", "", VLOOKUP(B185,'API Data Dictionary'!C:G,5,FALSE))=0, "", IF(B185="", "", VLOOKUP(B185,'API Data Dictionary'!C:G,5,FALSE)))</f>
        <v>Denotes if shousing benefit is received</v>
      </c>
    </row>
    <row r="186" spans="1:7" x14ac:dyDescent="0.35">
      <c r="A186" s="64" t="s">
        <v>1273</v>
      </c>
      <c r="B186" s="62" t="str">
        <f t="shared" si="3"/>
        <v>housingBenefitTerm</v>
      </c>
      <c r="C186" s="62" t="s">
        <v>68</v>
      </c>
      <c r="D186" s="62" t="str">
        <f>IF(B186="", "", VLOOKUP(B186,'API Data Dictionary'!C:D,2,FALSE))</f>
        <v>enum - Income Term</v>
      </c>
      <c r="E186" s="62" t="str">
        <f>IF(IF(B186="", "", VLOOKUP(B186,'API Data Dictionary'!C:E,3,FALSE))=0, "", IF(B186="", "", VLOOKUP(B186,'API Data Dictionary'!C:E,3,FALSE)))</f>
        <v/>
      </c>
      <c r="F186" s="62" t="str">
        <f>IF(IF(B186="", "", VLOOKUP(B186,'API Data Dictionary'!C:F,4,FALSE))=0, "", IF(B186="", "", VLOOKUP(B186,'API Data Dictionary'!C:F,4,FALSE)))</f>
        <v>Valid Values 1-4 (See enum definition)</v>
      </c>
      <c r="G186" s="62" t="str">
        <f>IF(IF(B186="", "", VLOOKUP(B186,'API Data Dictionary'!C:G,5,FALSE))=0, "", IF(B186="", "", VLOOKUP(B186,'API Data Dictionary'!C:G,5,FALSE)))</f>
        <v>Income term, e.g monthly or weekly</v>
      </c>
    </row>
    <row r="187" spans="1:7" x14ac:dyDescent="0.35">
      <c r="A187" s="64" t="s">
        <v>1274</v>
      </c>
      <c r="B187" s="62" t="str">
        <f t="shared" si="3"/>
        <v>housingBenefitAmount</v>
      </c>
      <c r="C187" s="62" t="s">
        <v>68</v>
      </c>
      <c r="D187" s="62" t="str">
        <f>IF(B187="", "", VLOOKUP(B187,'API Data Dictionary'!C:D,2,FALSE))</f>
        <v>number ($double)</v>
      </c>
      <c r="E187" s="62" t="str">
        <f>IF(IF(B187="", "", VLOOKUP(B187,'API Data Dictionary'!C:E,3,FALSE))=0, "", IF(B187="", "", VLOOKUP(B187,'API Data Dictionary'!C:E,3,FALSE)))</f>
        <v/>
      </c>
      <c r="F187" s="62" t="str">
        <f>IF(IF(B187="", "", VLOOKUP(B187,'API Data Dictionary'!C:F,4,FALSE))=0, "", IF(B187="", "", VLOOKUP(B187,'API Data Dictionary'!C:F,4,FALSE)))</f>
        <v>pattern: ^\d*.\d{0,2}$</v>
      </c>
      <c r="G187" s="62" t="str">
        <f>IF(IF(B187="", "", VLOOKUP(B187,'API Data Dictionary'!C:G,5,FALSE))=0, "", IF(B187="", "", VLOOKUP(B187,'API Data Dictionary'!C:G,5,FALSE)))</f>
        <v>Amount of housing benefit in GBP</v>
      </c>
    </row>
    <row r="188" spans="1:7" x14ac:dyDescent="0.35">
      <c r="A188" s="64" t="s">
        <v>1275</v>
      </c>
      <c r="B188" s="62" t="str">
        <f t="shared" si="3"/>
        <v>employmentSupport</v>
      </c>
      <c r="C188" s="62" t="s">
        <v>68</v>
      </c>
      <c r="D188" s="62" t="str">
        <f>IF(B188="", "", VLOOKUP(B188,'API Data Dictionary'!C:D,2,FALSE))</f>
        <v>boolean</v>
      </c>
      <c r="E188" s="62" t="str">
        <f>IF(IF(B188="", "", VLOOKUP(B188,'API Data Dictionary'!C:E,3,FALSE))=0, "", IF(B188="", "", VLOOKUP(B188,'API Data Dictionary'!C:E,3,FALSE)))</f>
        <v/>
      </c>
      <c r="F188" s="62" t="str">
        <f>IF(IF(B188="", "", VLOOKUP(B188,'API Data Dictionary'!C:F,4,FALSE))=0, "", IF(B188="", "", VLOOKUP(B188,'API Data Dictionary'!C:F,4,FALSE)))</f>
        <v/>
      </c>
      <c r="G188" s="62" t="str">
        <f>IF(IF(B188="", "", VLOOKUP(B188,'API Data Dictionary'!C:G,5,FALSE))=0, "", IF(B188="", "", VLOOKUP(B188,'API Data Dictionary'!C:G,5,FALSE)))</f>
        <v>Denotes if employment support is received</v>
      </c>
    </row>
    <row r="189" spans="1:7" x14ac:dyDescent="0.35">
      <c r="A189" s="64" t="s">
        <v>1276</v>
      </c>
      <c r="B189" s="62" t="str">
        <f t="shared" si="3"/>
        <v>employmentSupportTerm</v>
      </c>
      <c r="C189" s="62" t="s">
        <v>68</v>
      </c>
      <c r="D189" s="62" t="str">
        <f>IF(B189="", "", VLOOKUP(B189,'API Data Dictionary'!C:D,2,FALSE))</f>
        <v>enum - Income Term</v>
      </c>
      <c r="E189" s="62" t="str">
        <f>IF(IF(B189="", "", VLOOKUP(B189,'API Data Dictionary'!C:E,3,FALSE))=0, "", IF(B189="", "", VLOOKUP(B189,'API Data Dictionary'!C:E,3,FALSE)))</f>
        <v/>
      </c>
      <c r="F189" s="62" t="str">
        <f>IF(IF(B189="", "", VLOOKUP(B189,'API Data Dictionary'!C:F,4,FALSE))=0, "", IF(B189="", "", VLOOKUP(B189,'API Data Dictionary'!C:F,4,FALSE)))</f>
        <v>Valid Values 1-4 (See enum definition)</v>
      </c>
      <c r="G189" s="62" t="str">
        <f>IF(IF(B189="", "", VLOOKUP(B189,'API Data Dictionary'!C:G,5,FALSE))=0, "", IF(B189="", "", VLOOKUP(B189,'API Data Dictionary'!C:G,5,FALSE)))</f>
        <v>Income term, e.g monthly or weekly</v>
      </c>
    </row>
    <row r="190" spans="1:7" x14ac:dyDescent="0.35">
      <c r="A190" s="64" t="s">
        <v>1277</v>
      </c>
      <c r="B190" s="62" t="str">
        <f t="shared" si="3"/>
        <v>employmentSupportAmount</v>
      </c>
      <c r="C190" s="62" t="s">
        <v>68</v>
      </c>
      <c r="D190" s="62" t="str">
        <f>IF(B190="", "", VLOOKUP(B190,'API Data Dictionary'!C:D,2,FALSE))</f>
        <v>number ($double)</v>
      </c>
      <c r="E190" s="62" t="str">
        <f>IF(IF(B190="", "", VLOOKUP(B190,'API Data Dictionary'!C:E,3,FALSE))=0, "", IF(B190="", "", VLOOKUP(B190,'API Data Dictionary'!C:E,3,FALSE)))</f>
        <v/>
      </c>
      <c r="F190" s="62" t="str">
        <f>IF(IF(B190="", "", VLOOKUP(B190,'API Data Dictionary'!C:F,4,FALSE))=0, "", IF(B190="", "", VLOOKUP(B190,'API Data Dictionary'!C:F,4,FALSE)))</f>
        <v>pattern: ^\d*.\d{0,2}$</v>
      </c>
      <c r="G190" s="62" t="str">
        <f>IF(IF(B190="", "", VLOOKUP(B190,'API Data Dictionary'!C:G,5,FALSE))=0, "", IF(B190="", "", VLOOKUP(B190,'API Data Dictionary'!C:G,5,FALSE)))</f>
        <v>Amount of employment support amount in GBP</v>
      </c>
    </row>
    <row r="191" spans="1:7" x14ac:dyDescent="0.35">
      <c r="A191" s="64" t="s">
        <v>1278</v>
      </c>
      <c r="B191" s="62" t="str">
        <f t="shared" si="3"/>
        <v>universalCredit</v>
      </c>
      <c r="C191" s="62" t="s">
        <v>68</v>
      </c>
      <c r="D191" s="62" t="str">
        <f>IF(B191="", "", VLOOKUP(B191,'API Data Dictionary'!C:D,2,FALSE))</f>
        <v>boolean</v>
      </c>
      <c r="E191" s="62" t="str">
        <f>IF(IF(B191="", "", VLOOKUP(B191,'API Data Dictionary'!C:E,3,FALSE))=0, "", IF(B191="", "", VLOOKUP(B191,'API Data Dictionary'!C:E,3,FALSE)))</f>
        <v/>
      </c>
      <c r="F191" s="62" t="str">
        <f>IF(IF(B191="", "", VLOOKUP(B191,'API Data Dictionary'!C:F,4,FALSE))=0, "", IF(B191="", "", VLOOKUP(B191,'API Data Dictionary'!C:F,4,FALSE)))</f>
        <v/>
      </c>
      <c r="G191" s="62" t="str">
        <f>IF(IF(B191="", "", VLOOKUP(B191,'API Data Dictionary'!C:G,5,FALSE))=0, "", IF(B191="", "", VLOOKUP(B191,'API Data Dictionary'!C:G,5,FALSE)))</f>
        <v>Denotes if universal is received</v>
      </c>
    </row>
    <row r="192" spans="1:7" x14ac:dyDescent="0.35">
      <c r="A192" s="64" t="s">
        <v>1279</v>
      </c>
      <c r="B192" s="62" t="str">
        <f t="shared" si="3"/>
        <v>universalCreditTerm</v>
      </c>
      <c r="C192" s="62" t="s">
        <v>68</v>
      </c>
      <c r="D192" s="62" t="str">
        <f>IF(B192="", "", VLOOKUP(B192,'API Data Dictionary'!C:D,2,FALSE))</f>
        <v>enum - Income Term</v>
      </c>
      <c r="E192" s="62" t="str">
        <f>IF(IF(B192="", "", VLOOKUP(B192,'API Data Dictionary'!C:E,3,FALSE))=0, "", IF(B192="", "", VLOOKUP(B192,'API Data Dictionary'!C:E,3,FALSE)))</f>
        <v/>
      </c>
      <c r="F192" s="62" t="str">
        <f>IF(IF(B192="", "", VLOOKUP(B192,'API Data Dictionary'!C:F,4,FALSE))=0, "", IF(B192="", "", VLOOKUP(B192,'API Data Dictionary'!C:F,4,FALSE)))</f>
        <v>Valid Values 1-4 (See enum definition)</v>
      </c>
      <c r="G192" s="62" t="str">
        <f>IF(IF(B192="", "", VLOOKUP(B192,'API Data Dictionary'!C:G,5,FALSE))=0, "", IF(B192="", "", VLOOKUP(B192,'API Data Dictionary'!C:G,5,FALSE)))</f>
        <v>Income term, e.g monthly or weekly</v>
      </c>
    </row>
    <row r="193" spans="1:7" x14ac:dyDescent="0.35">
      <c r="A193" s="64" t="s">
        <v>1280</v>
      </c>
      <c r="B193" s="62" t="str">
        <f t="shared" si="3"/>
        <v>universalCreditAmount</v>
      </c>
      <c r="C193" s="62" t="s">
        <v>68</v>
      </c>
      <c r="D193" s="62" t="str">
        <f>IF(B193="", "", VLOOKUP(B193,'API Data Dictionary'!C:D,2,FALSE))</f>
        <v>number ($double)</v>
      </c>
      <c r="E193" s="62" t="str">
        <f>IF(IF(B193="", "", VLOOKUP(B193,'API Data Dictionary'!C:E,3,FALSE))=0, "", IF(B193="", "", VLOOKUP(B193,'API Data Dictionary'!C:E,3,FALSE)))</f>
        <v/>
      </c>
      <c r="F193" s="62" t="str">
        <f>IF(IF(B193="", "", VLOOKUP(B193,'API Data Dictionary'!C:F,4,FALSE))=0, "", IF(B193="", "", VLOOKUP(B193,'API Data Dictionary'!C:F,4,FALSE)))</f>
        <v>pattern: ^\d*.\d{0,2}$</v>
      </c>
      <c r="G193" s="62" t="str">
        <f>IF(IF(B193="", "", VLOOKUP(B193,'API Data Dictionary'!C:G,5,FALSE))=0, "", IF(B193="", "", VLOOKUP(B193,'API Data Dictionary'!C:G,5,FALSE)))</f>
        <v>Amount of universal credit in GBP</v>
      </c>
    </row>
    <row r="194" spans="1:7" x14ac:dyDescent="0.35">
      <c r="A194" s="64" t="s">
        <v>1117</v>
      </c>
      <c r="B194" s="62" t="str">
        <f t="shared" si="3"/>
        <v/>
      </c>
      <c r="C194" s="62"/>
      <c r="D194" s="62" t="str">
        <f>IF(B194="", "", VLOOKUP(B194,'API Data Dictionary'!C:D,2,FALSE))</f>
        <v/>
      </c>
      <c r="E194" s="62" t="str">
        <f>IF(IF(B194="", "", VLOOKUP(B194,'API Data Dictionary'!C:E,3,FALSE))=0, "", IF(B194="", "", VLOOKUP(B194,'API Data Dictionary'!C:E,3,FALSE)))</f>
        <v/>
      </c>
      <c r="F194" s="62" t="str">
        <f>IF(IF(B194="", "", VLOOKUP(B194,'API Data Dictionary'!C:F,4,FALSE))=0, "", IF(B194="", "", VLOOKUP(B194,'API Data Dictionary'!C:F,4,FALSE)))</f>
        <v/>
      </c>
      <c r="G194" s="62" t="str">
        <f>IF(IF(B194="", "", VLOOKUP(B194,'API Data Dictionary'!C:G,5,FALSE))=0, "", IF(B194="", "", VLOOKUP(B194,'API Data Dictionary'!C:G,5,FALSE)))</f>
        <v/>
      </c>
    </row>
    <row r="195" spans="1:7" x14ac:dyDescent="0.35">
      <c r="A195" s="64" t="s">
        <v>1118</v>
      </c>
      <c r="B195" s="62" t="str">
        <f t="shared" si="3"/>
        <v/>
      </c>
      <c r="C195" s="62" t="str">
        <f>IF(B195="", "", VLOOKUP(B195,'API Data Dictionary'!C:L,10,FALSE))</f>
        <v/>
      </c>
      <c r="D195" s="62" t="str">
        <f>IF(B195="", "", VLOOKUP(B195,'API Data Dictionary'!C:D,2,FALSE))</f>
        <v/>
      </c>
      <c r="E195" s="62" t="str">
        <f>IF(IF(B195="", "", VLOOKUP(B195,'API Data Dictionary'!C:E,3,FALSE))=0, "", IF(B195="", "", VLOOKUP(B195,'API Data Dictionary'!C:E,3,FALSE)))</f>
        <v/>
      </c>
      <c r="F195" s="62" t="str">
        <f>IF(IF(B195="", "", VLOOKUP(B195,'API Data Dictionary'!C:F,4,FALSE))=0, "", IF(B195="", "", VLOOKUP(B195,'API Data Dictionary'!C:F,4,FALSE)))</f>
        <v/>
      </c>
      <c r="G195" s="62" t="str">
        <f>IF(IF(B195="", "", VLOOKUP(B195,'API Data Dictionary'!C:G,5,FALSE))=0, "", IF(B195="", "", VLOOKUP(B195,'API Data Dictionary'!C:G,5,FALSE)))</f>
        <v/>
      </c>
    </row>
    <row r="196" spans="1:7" x14ac:dyDescent="0.35">
      <c r="A196" s="64" t="s">
        <v>1139</v>
      </c>
      <c r="B196" s="62" t="str">
        <f t="shared" si="3"/>
        <v/>
      </c>
      <c r="C196" s="62" t="str">
        <f>IF(B196="", "", VLOOKUP(B196,'API Data Dictionary'!C:L,10,FALSE))</f>
        <v/>
      </c>
      <c r="D196" s="62" t="str">
        <f>IF(B196="", "", VLOOKUP(B196,'API Data Dictionary'!C:D,2,FALSE))</f>
        <v/>
      </c>
      <c r="E196" s="62" t="str">
        <f>IF(IF(B196="", "", VLOOKUP(B196,'API Data Dictionary'!C:E,3,FALSE))=0, "", IF(B196="", "", VLOOKUP(B196,'API Data Dictionary'!C:E,3,FALSE)))</f>
        <v/>
      </c>
      <c r="F196" s="62" t="str">
        <f>IF(IF(B196="", "", VLOOKUP(B196,'API Data Dictionary'!C:F,4,FALSE))=0, "", IF(B196="", "", VLOOKUP(B196,'API Data Dictionary'!C:F,4,FALSE)))</f>
        <v/>
      </c>
      <c r="G196" s="62" t="str">
        <f>IF(IF(B196="", "", VLOOKUP(B196,'API Data Dictionary'!C:G,5,FALSE))=0, "", IF(B196="", "", VLOOKUP(B196,'API Data Dictionary'!C:G,5,FALSE)))</f>
        <v/>
      </c>
    </row>
    <row r="197" spans="1:7" x14ac:dyDescent="0.35">
      <c r="A197" s="64" t="s">
        <v>1281</v>
      </c>
      <c r="B197" s="62" t="str">
        <f t="shared" si="3"/>
        <v/>
      </c>
      <c r="C197" s="62" t="str">
        <f>IF(B197="", "", VLOOKUP(B197,'API Data Dictionary'!C:L,10,FALSE))</f>
        <v/>
      </c>
      <c r="D197" s="62" t="str">
        <f>IF(B197="", "", VLOOKUP(B197,'API Data Dictionary'!C:D,2,FALSE))</f>
        <v/>
      </c>
      <c r="E197" s="62" t="str">
        <f>IF(IF(B197="", "", VLOOKUP(B197,'API Data Dictionary'!C:E,3,FALSE))=0, "", IF(B197="", "", VLOOKUP(B197,'API Data Dictionary'!C:E,3,FALSE)))</f>
        <v/>
      </c>
      <c r="F197" s="62" t="str">
        <f>IF(IF(B197="", "", VLOOKUP(B197,'API Data Dictionary'!C:F,4,FALSE))=0, "", IF(B197="", "", VLOOKUP(B197,'API Data Dictionary'!C:F,4,FALSE)))</f>
        <v/>
      </c>
      <c r="G197" s="62" t="str">
        <f>IF(IF(B197="", "", VLOOKUP(B197,'API Data Dictionary'!C:G,5,FALSE))=0, "", IF(B197="", "", VLOOKUP(B197,'API Data Dictionary'!C:G,5,FALSE)))</f>
        <v/>
      </c>
    </row>
    <row r="198" spans="1:7" x14ac:dyDescent="0.35">
      <c r="A198" s="64" t="s">
        <v>1282</v>
      </c>
      <c r="B198" s="62" t="str">
        <f t="shared" si="3"/>
        <v>bankName</v>
      </c>
      <c r="C198" s="62" t="s">
        <v>68</v>
      </c>
      <c r="D198" s="62" t="str">
        <f>IF(B198="", "", VLOOKUP(B198,'API Data Dictionary'!C:D,2,FALSE))</f>
        <v>string</v>
      </c>
      <c r="E198" s="62">
        <f>IF(IF(B198="", "", VLOOKUP(B198,'API Data Dictionary'!C:E,3,FALSE))=0, "", IF(B198="", "", VLOOKUP(B198,'API Data Dictionary'!C:E,3,FALSE)))</f>
        <v>200</v>
      </c>
      <c r="F198" s="62" t="str">
        <f>IF(IF(B198="", "", VLOOKUP(B198,'API Data Dictionary'!C:F,4,FALSE))=0, "", IF(B198="", "", VLOOKUP(B198,'API Data Dictionary'!C:F,4,FALSE)))</f>
        <v/>
      </c>
      <c r="G198" s="62" t="str">
        <f>IF(IF(B198="", "", VLOOKUP(B198,'API Data Dictionary'!C:G,5,FALSE))=0, "", IF(B198="", "", VLOOKUP(B198,'API Data Dictionary'!C:G,5,FALSE)))</f>
        <v>Name of the bank/building society</v>
      </c>
    </row>
    <row r="199" spans="1:7" x14ac:dyDescent="0.35">
      <c r="A199" s="64" t="s">
        <v>1283</v>
      </c>
      <c r="B199" s="62" t="str">
        <f t="shared" si="3"/>
        <v>bankAccountHolderName</v>
      </c>
      <c r="C199" s="62" t="s">
        <v>68</v>
      </c>
      <c r="D199" s="62" t="str">
        <f>IF(B199="", "", VLOOKUP(B199,'API Data Dictionary'!C:D,2,FALSE))</f>
        <v>string</v>
      </c>
      <c r="E199" s="62">
        <f>IF(IF(B199="", "", VLOOKUP(B199,'API Data Dictionary'!C:E,3,FALSE))=0, "", IF(B199="", "", VLOOKUP(B199,'API Data Dictionary'!C:E,3,FALSE)))</f>
        <v>200</v>
      </c>
      <c r="F199" s="62" t="str">
        <f>IF(IF(B199="", "", VLOOKUP(B199,'API Data Dictionary'!C:F,4,FALSE))=0, "", IF(B199="", "", VLOOKUP(B199,'API Data Dictionary'!C:F,4,FALSE)))</f>
        <v/>
      </c>
      <c r="G199" s="62" t="str">
        <f>IF(IF(B199="", "", VLOOKUP(B199,'API Data Dictionary'!C:G,5,FALSE))=0, "", IF(B199="", "", VLOOKUP(B199,'API Data Dictionary'!C:G,5,FALSE)))</f>
        <v>Name of the account holder for the bank/building society</v>
      </c>
    </row>
    <row r="200" spans="1:7" x14ac:dyDescent="0.35">
      <c r="A200" s="64" t="s">
        <v>1284</v>
      </c>
      <c r="B200" s="62" t="str">
        <f t="shared" si="3"/>
        <v>bankSortCode</v>
      </c>
      <c r="C200" s="62" t="s">
        <v>68</v>
      </c>
      <c r="D200" s="62" t="str">
        <f>IF(B200="", "", VLOOKUP(B200,'API Data Dictionary'!C:D,2,FALSE))</f>
        <v>string</v>
      </c>
      <c r="E200" s="62">
        <f>IF(IF(B200="", "", VLOOKUP(B200,'API Data Dictionary'!C:E,3,FALSE))=0, "", IF(B200="", "", VLOOKUP(B200,'API Data Dictionary'!C:E,3,FALSE)))</f>
        <v>6</v>
      </c>
      <c r="F200" s="62" t="str">
        <f>IF(IF(B200="", "", VLOOKUP(B200,'API Data Dictionary'!C:F,4,FALSE))=0, "", IF(B200="", "", VLOOKUP(B200,'API Data Dictionary'!C:F,4,FALSE)))</f>
        <v/>
      </c>
      <c r="G200" s="62" t="str">
        <f>IF(IF(B200="", "", VLOOKUP(B200,'API Data Dictionary'!C:G,5,FALSE))=0, "", IF(B200="", "", VLOOKUP(B200,'API Data Dictionary'!C:G,5,FALSE)))</f>
        <v>Sort code of the bank/building society account</v>
      </c>
    </row>
    <row r="201" spans="1:7" x14ac:dyDescent="0.35">
      <c r="A201" s="64" t="s">
        <v>1285</v>
      </c>
      <c r="B201" s="62" t="str">
        <f t="shared" si="3"/>
        <v>bankAccountNumber</v>
      </c>
      <c r="C201" s="62" t="s">
        <v>68</v>
      </c>
      <c r="D201" s="62" t="str">
        <f>IF(B201="", "", VLOOKUP(B201,'API Data Dictionary'!C:D,2,FALSE))</f>
        <v>string</v>
      </c>
      <c r="E201" s="62">
        <f>IF(IF(B201="", "", VLOOKUP(B201,'API Data Dictionary'!C:E,3,FALSE))=0, "", IF(B201="", "", VLOOKUP(B201,'API Data Dictionary'!C:E,3,FALSE)))</f>
        <v>8</v>
      </c>
      <c r="F201" s="62" t="str">
        <f>IF(IF(B201="", "", VLOOKUP(B201,'API Data Dictionary'!C:F,4,FALSE))=0, "", IF(B201="", "", VLOOKUP(B201,'API Data Dictionary'!C:F,4,FALSE)))</f>
        <v/>
      </c>
      <c r="G201" s="62" t="str">
        <f>IF(IF(B201="", "", VLOOKUP(B201,'API Data Dictionary'!C:G,5,FALSE))=0, "", IF(B201="", "", VLOOKUP(B201,'API Data Dictionary'!C:G,5,FALSE)))</f>
        <v>Account Number of the bank/building society account</v>
      </c>
    </row>
    <row r="202" spans="1:7" x14ac:dyDescent="0.35">
      <c r="A202" s="64" t="s">
        <v>1120</v>
      </c>
      <c r="B202" s="62" t="str">
        <f t="shared" ref="B202:B218" si="4">IF(OR(ISNUMBER(SEARCH("{", A202)),ISNUMBER(SEARCH("[", A202))), "", IFERROR(MID(A202, SEARCH("""", A202) +1, SEARCH("""", A202, SEARCH("""",A202) +1) - SEARCH("""", A202) -1), ""))</f>
        <v/>
      </c>
      <c r="C202" s="62"/>
      <c r="D202" s="62" t="str">
        <f>IF(B202="", "", VLOOKUP(B202,'API Data Dictionary'!C:D,2,FALSE))</f>
        <v/>
      </c>
      <c r="E202" s="62" t="str">
        <f>IF(IF(B202="", "", VLOOKUP(B202,'API Data Dictionary'!C:E,3,FALSE))=0, "", IF(B202="", "", VLOOKUP(B202,'API Data Dictionary'!C:E,3,FALSE)))</f>
        <v/>
      </c>
      <c r="F202" s="62" t="str">
        <f>IF(IF(B202="", "", VLOOKUP(B202,'API Data Dictionary'!C:F,4,FALSE))=0, "", IF(B202="", "", VLOOKUP(B202,'API Data Dictionary'!C:F,4,FALSE)))</f>
        <v/>
      </c>
      <c r="G202" s="62" t="str">
        <f>IF(IF(B202="", "", VLOOKUP(B202,'API Data Dictionary'!C:G,5,FALSE))=0, "", IF(B202="", "", VLOOKUP(B202,'API Data Dictionary'!C:G,5,FALSE)))</f>
        <v/>
      </c>
    </row>
    <row r="203" spans="1:7" x14ac:dyDescent="0.35">
      <c r="C203" s="107"/>
    </row>
    <row r="204" spans="1:7" x14ac:dyDescent="0.35">
      <c r="A204" s="222" t="s">
        <v>1751</v>
      </c>
      <c r="B204" s="222"/>
      <c r="C204" s="222"/>
      <c r="D204" s="222"/>
      <c r="E204" s="222"/>
      <c r="F204" s="222"/>
      <c r="G204" s="222"/>
    </row>
    <row r="205" spans="1:7" x14ac:dyDescent="0.35">
      <c r="A205" s="96" t="s">
        <v>1094</v>
      </c>
      <c r="B205" s="62" t="str">
        <f t="shared" ref="B205:B209" si="5">IF(OR(ISNUMBER(SEARCH("{", A205)),ISNUMBER(SEARCH("[", A205))), "", IFERROR(MID(A205, SEARCH("""", A205) +1, SEARCH("""", A205, SEARCH("""",A205) +1) - SEARCH("""", A205) -1), ""))</f>
        <v/>
      </c>
      <c r="C205" s="62"/>
      <c r="D205" s="62" t="str">
        <f>IF(B205="", "", VLOOKUP(B205,'API Data Dictionary'!C:D,2,FALSE))</f>
        <v/>
      </c>
      <c r="E205" s="62" t="str">
        <f>IF(IF(B205="", "", VLOOKUP(B205,'API Data Dictionary'!C:E,3,FALSE))=0, "", IF(B205="", "", VLOOKUP(B205,'API Data Dictionary'!C:E,3,FALSE)))</f>
        <v/>
      </c>
      <c r="F205" s="62" t="str">
        <f>IF(IF(B205="", "", VLOOKUP(B205,'API Data Dictionary'!C:F,4,FALSE))=0, "", IF(B205="", "", VLOOKUP(B205,'API Data Dictionary'!C:F,4,FALSE)))</f>
        <v/>
      </c>
      <c r="G205" s="62" t="str">
        <f>IF(IF(B205="", "", VLOOKUP(B205,'API Data Dictionary'!C:G,5,FALSE))=0, "", IF(B205="", "", VLOOKUP(B205,'API Data Dictionary'!C:G,5,FALSE)))</f>
        <v/>
      </c>
    </row>
    <row r="206" spans="1:7" x14ac:dyDescent="0.35">
      <c r="A206" s="96" t="s">
        <v>1350</v>
      </c>
      <c r="B206" s="62" t="str">
        <f t="shared" si="5"/>
        <v>success</v>
      </c>
      <c r="C206" s="62" t="s">
        <v>68</v>
      </c>
      <c r="D206" s="62" t="str">
        <f>IF(B206="", "", VLOOKUP(B206,'API Data Dictionary'!C:D,2,FALSE))</f>
        <v>string - Boolean</v>
      </c>
      <c r="E206" s="62">
        <f>IF(IF(B206="", "", VLOOKUP(B206,'API Data Dictionary'!C:E,3,FALSE))=0, "", IF(B206="", "", VLOOKUP(B206,'API Data Dictionary'!C:E,3,FALSE)))</f>
        <v>100</v>
      </c>
      <c r="F206" s="62" t="str">
        <f>IF(IF(B206="", "", VLOOKUP(B206,'API Data Dictionary'!C:F,4,FALSE))=0, "", IF(B206="", "", VLOOKUP(B206,'API Data Dictionary'!C:F,4,FALSE)))</f>
        <v/>
      </c>
      <c r="G206" s="62" t="str">
        <f>IF(IF(B206="", "", VLOOKUP(B206,'API Data Dictionary'!C:G,5,FALSE))=0, "", IF(B206="", "", VLOOKUP(B206,'API Data Dictionary'!C:G,5,FALSE)))</f>
        <v>Returns true when successful call/connection</v>
      </c>
    </row>
    <row r="207" spans="1:7" x14ac:dyDescent="0.35">
      <c r="A207" s="96" t="s">
        <v>1377</v>
      </c>
      <c r="B207" s="62" t="str">
        <f t="shared" si="5"/>
        <v/>
      </c>
      <c r="C207" s="62" t="s">
        <v>68</v>
      </c>
      <c r="D207" s="62" t="str">
        <f>IF(B207="", "", VLOOKUP(B207,'API Data Dictionary'!C:D,2,FALSE))</f>
        <v/>
      </c>
      <c r="E207" s="62" t="str">
        <f>IF(IF(B207="", "", VLOOKUP(B207,'API Data Dictionary'!C:E,3,FALSE))=0, "", IF(B207="", "", VLOOKUP(B207,'API Data Dictionary'!C:E,3,FALSE)))</f>
        <v/>
      </c>
      <c r="F207" s="62" t="str">
        <f>IF(IF(B207="", "", VLOOKUP(B207,'API Data Dictionary'!C:F,4,FALSE))=0, "", IF(B207="", "", VLOOKUP(B207,'API Data Dictionary'!C:F,4,FALSE)))</f>
        <v/>
      </c>
      <c r="G207" s="62" t="str">
        <f>IF(IF(B207="", "", VLOOKUP(B207,'API Data Dictionary'!C:G,5,FALSE))=0, "", IF(B207="", "", VLOOKUP(B207,'API Data Dictionary'!C:G,5,FALSE)))</f>
        <v/>
      </c>
    </row>
    <row r="208" spans="1:7" x14ac:dyDescent="0.35">
      <c r="A208" s="96" t="s">
        <v>1726</v>
      </c>
      <c r="B208" s="62" t="str">
        <f t="shared" si="5"/>
        <v>agentCode</v>
      </c>
      <c r="C208" s="62" t="s">
        <v>68</v>
      </c>
      <c r="D208" s="62" t="str">
        <f>IF(B208="", "", VLOOKUP(B208,'API Data Dictionary'!C:D,2,FALSE))</f>
        <v>string</v>
      </c>
      <c r="E208" s="62">
        <f>IF(IF(B208="", "", VLOOKUP(B208,'API Data Dictionary'!C:E,3,FALSE))=0, "", IF(B208="", "", VLOOKUP(B208,'API Data Dictionary'!C:E,3,FALSE)))</f>
        <v>50</v>
      </c>
      <c r="F208" s="62" t="str">
        <f>IF(IF(B208="", "", VLOOKUP(B208,'API Data Dictionary'!C:F,4,FALSE))=0, "", IF(B208="", "", VLOOKUP(B208,'API Data Dictionary'!C:F,4,FALSE)))</f>
        <v/>
      </c>
      <c r="G208" s="62" t="str">
        <f>IF(IF(B208="", "", VLOOKUP(B208,'API Data Dictionary'!C:G,5,FALSE))=0, "", IF(B208="", "", VLOOKUP(B208,'API Data Dictionary'!C:G,5,FALSE)))</f>
        <v>AgentCode is the Unique Key provided to the Agent when onboarding as a Barbon Customer.
An AgentID may be linked to many Properties being managed by that Agent and Each property may be linked to 1 or more TenancyID's.</v>
      </c>
    </row>
    <row r="209" spans="1:7" x14ac:dyDescent="0.35">
      <c r="A209" s="96" t="s">
        <v>1659</v>
      </c>
      <c r="B209" s="62" t="str">
        <f t="shared" si="5"/>
        <v>propertyTenancyId</v>
      </c>
      <c r="C209" s="62" t="s">
        <v>68</v>
      </c>
      <c r="D209" s="62" t="str">
        <f>IF(B209="", "", VLOOKUP(B209,'API Data Dictionary'!C:D,2,FALSE))</f>
        <v>integer</v>
      </c>
      <c r="E209" s="62" t="str">
        <f>IF(IF(B209="", "", VLOOKUP(B209,'API Data Dictionary'!C:E,3,FALSE))=0, "", IF(B209="", "", VLOOKUP(B209,'API Data Dictionary'!C:E,3,FALSE)))</f>
        <v/>
      </c>
      <c r="F209" s="62" t="str">
        <f>IF(IF(B209="", "", VLOOKUP(B209,'API Data Dictionary'!C:F,4,FALSE))=0, "", IF(B209="", "", VLOOKUP(B209,'API Data Dictionary'!C:F,4,FALSE)))</f>
        <v/>
      </c>
      <c r="G209" s="62" t="str">
        <f>IF(IF(B209="", "", VLOOKUP(B209,'API Data Dictionary'!C:G,5,FALSE))=0, "", IF(B209="", "", VLOOKUP(B209,'API Data Dictionary'!C:G,5,FALSE)))</f>
        <v>The ID of the property tenancy</v>
      </c>
    </row>
    <row r="210" spans="1:7" x14ac:dyDescent="0.35">
      <c r="A210" s="96" t="s">
        <v>1380</v>
      </c>
      <c r="B210" s="62" t="str">
        <f t="shared" si="4"/>
        <v/>
      </c>
      <c r="C210" s="62" t="str">
        <f>IF(B210="", "", VLOOKUP(B210,'API Data Dictionary'!C:L,10,FALSE))</f>
        <v/>
      </c>
      <c r="D210" s="62" t="str">
        <f>IF(B210="", "", VLOOKUP(B210,'API Data Dictionary'!C:D,2,FALSE))</f>
        <v/>
      </c>
      <c r="E210" s="62" t="str">
        <f>IF(IF(B210="", "", VLOOKUP(B210,'API Data Dictionary'!C:E,3,FALSE))=0, "", IF(B210="", "", VLOOKUP(B210,'API Data Dictionary'!C:E,3,FALSE)))</f>
        <v/>
      </c>
      <c r="F210" s="62" t="str">
        <f>IF(IF(B210="", "", VLOOKUP(B210,'API Data Dictionary'!C:F,4,FALSE))=0, "", IF(B210="", "", VLOOKUP(B210,'API Data Dictionary'!C:F,4,FALSE)))</f>
        <v/>
      </c>
      <c r="G210" s="62" t="str">
        <f>IF(IF(B210="", "", VLOOKUP(B210,'API Data Dictionary'!C:G,5,FALSE))=0, "", IF(B210="", "", VLOOKUP(B210,'API Data Dictionary'!C:G,5,FALSE)))</f>
        <v/>
      </c>
    </row>
    <row r="211" spans="1:7" x14ac:dyDescent="0.35">
      <c r="A211" s="96" t="s">
        <v>1381</v>
      </c>
      <c r="B211" s="62" t="str">
        <f t="shared" si="4"/>
        <v/>
      </c>
      <c r="C211" s="62" t="str">
        <f>IF(B211="", "", VLOOKUP(B211,'API Data Dictionary'!C:L,10,FALSE))</f>
        <v/>
      </c>
      <c r="D211" s="62" t="str">
        <f>IF(B211="", "", VLOOKUP(B211,'API Data Dictionary'!C:D,2,FALSE))</f>
        <v/>
      </c>
      <c r="E211" s="62" t="str">
        <f>IF(IF(B211="", "", VLOOKUP(B211,'API Data Dictionary'!C:E,3,FALSE))=0, "", IF(B211="", "", VLOOKUP(B211,'API Data Dictionary'!C:E,3,FALSE)))</f>
        <v/>
      </c>
      <c r="F211" s="62" t="str">
        <f>IF(IF(B211="", "", VLOOKUP(B211,'API Data Dictionary'!C:F,4,FALSE))=0, "", IF(B211="", "", VLOOKUP(B211,'API Data Dictionary'!C:F,4,FALSE)))</f>
        <v/>
      </c>
      <c r="G211" s="62" t="str">
        <f>IF(IF(B211="", "", VLOOKUP(B211,'API Data Dictionary'!C:G,5,FALSE))=0, "", IF(B211="", "", VLOOKUP(B211,'API Data Dictionary'!C:G,5,FALSE)))</f>
        <v/>
      </c>
    </row>
    <row r="212" spans="1:7" x14ac:dyDescent="0.35">
      <c r="A212" s="96" t="s">
        <v>1660</v>
      </c>
      <c r="B212" s="62" t="str">
        <f t="shared" si="4"/>
        <v>applicantID</v>
      </c>
      <c r="C212" s="62" t="s">
        <v>68</v>
      </c>
      <c r="D212" s="62" t="str">
        <f>IF(B212="", "", VLOOKUP(B212,'API Data Dictionary'!C:D,2,FALSE))</f>
        <v>integer</v>
      </c>
      <c r="E212" s="62" t="str">
        <f>IF(IF(B212="", "", VLOOKUP(B212,'API Data Dictionary'!C:E,3,FALSE))=0, "", IF(B212="", "", VLOOKUP(B212,'API Data Dictionary'!C:E,3,FALSE)))</f>
        <v/>
      </c>
      <c r="F212" s="62" t="str">
        <f>IF(IF(B212="", "", VLOOKUP(B212,'API Data Dictionary'!C:F,4,FALSE))=0, "", IF(B212="", "", VLOOKUP(B212,'API Data Dictionary'!C:F,4,FALSE)))</f>
        <v/>
      </c>
      <c r="G212" s="62" t="str">
        <f>IF(IF(B212="", "", VLOOKUP(B212,'API Data Dictionary'!C:G,5,FALSE))=0, "", IF(B212="", "", VLOOKUP(B212,'API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213" spans="1:7" x14ac:dyDescent="0.35">
      <c r="A213" s="96" t="s">
        <v>1661</v>
      </c>
      <c r="B213" s="62" t="str">
        <f t="shared" si="4"/>
        <v>applicantName</v>
      </c>
      <c r="C213" s="62" t="s">
        <v>68</v>
      </c>
      <c r="D213" s="62" t="s">
        <v>64</v>
      </c>
      <c r="E213" s="62">
        <v>1000</v>
      </c>
      <c r="F213" s="62"/>
      <c r="G213" s="62" t="s">
        <v>1673</v>
      </c>
    </row>
    <row r="214" spans="1:7" x14ac:dyDescent="0.35">
      <c r="A214" s="96" t="s">
        <v>1117</v>
      </c>
      <c r="B214" s="62" t="str">
        <f t="shared" si="4"/>
        <v/>
      </c>
      <c r="C214" s="62" t="str">
        <f>IF(B214="", "", VLOOKUP(B214,'API Data Dictionary'!C:L,10,FALSE))</f>
        <v/>
      </c>
      <c r="D214" s="62" t="str">
        <f>IF(B214="", "", VLOOKUP(B214,'API Data Dictionary'!C:D,2,FALSE))</f>
        <v/>
      </c>
      <c r="E214" s="62" t="str">
        <f>IF(IF(B214="", "", VLOOKUP(B214,'API Data Dictionary'!C:E,3,FALSE))=0, "", IF(B214="", "", VLOOKUP(B214,'API Data Dictionary'!C:E,3,FALSE)))</f>
        <v/>
      </c>
      <c r="F214" s="62" t="str">
        <f>IF(IF(B214="", "", VLOOKUP(B214,'API Data Dictionary'!C:F,4,FALSE))=0, "", IF(B214="", "", VLOOKUP(B214,'API Data Dictionary'!C:F,4,FALSE)))</f>
        <v/>
      </c>
      <c r="G214" s="62" t="str">
        <f>IF(IF(B214="", "", VLOOKUP(B214,'API Data Dictionary'!C:G,5,FALSE))=0, "", IF(B214="", "", VLOOKUP(B214,'API Data Dictionary'!C:G,5,FALSE)))</f>
        <v/>
      </c>
    </row>
    <row r="215" spans="1:7" x14ac:dyDescent="0.35">
      <c r="A215" s="96" t="s">
        <v>1383</v>
      </c>
      <c r="B215" s="62" t="str">
        <f t="shared" si="4"/>
        <v/>
      </c>
      <c r="C215" s="62" t="str">
        <f>IF(B215="", "", VLOOKUP(B215,'API Data Dictionary'!C:L,10,FALSE))</f>
        <v/>
      </c>
      <c r="D215" s="62" t="str">
        <f>IF(B215="", "", VLOOKUP(B215,'API Data Dictionary'!C:D,2,FALSE))</f>
        <v/>
      </c>
      <c r="E215" s="62" t="str">
        <f>IF(IF(B215="", "", VLOOKUP(B215,'API Data Dictionary'!C:E,3,FALSE))=0, "", IF(B215="", "", VLOOKUP(B215,'API Data Dictionary'!C:E,3,FALSE)))</f>
        <v/>
      </c>
      <c r="F215" s="62" t="str">
        <f>IF(IF(B215="", "", VLOOKUP(B215,'API Data Dictionary'!C:F,4,FALSE))=0, "", IF(B215="", "", VLOOKUP(B215,'API Data Dictionary'!C:F,4,FALSE)))</f>
        <v/>
      </c>
      <c r="G215" s="62" t="str">
        <f>IF(IF(B215="", "", VLOOKUP(B215,'API Data Dictionary'!C:G,5,FALSE))=0, "", IF(B215="", "", VLOOKUP(B215,'API Data Dictionary'!C:G,5,FALSE)))</f>
        <v/>
      </c>
    </row>
    <row r="216" spans="1:7" x14ac:dyDescent="0.35">
      <c r="A216" s="96" t="s">
        <v>1105</v>
      </c>
      <c r="B216" s="62" t="str">
        <f t="shared" si="4"/>
        <v/>
      </c>
      <c r="C216" s="62" t="str">
        <f>IF(B216="", "", VLOOKUP(B216,'API Data Dictionary'!C:L,10,FALSE))</f>
        <v/>
      </c>
      <c r="D216" s="62" t="str">
        <f>IF(B216="", "", VLOOKUP(B216,'API Data Dictionary'!C:D,2,FALSE))</f>
        <v/>
      </c>
      <c r="E216" s="62" t="str">
        <f>IF(IF(B216="", "", VLOOKUP(B216,'API Data Dictionary'!C:E,3,FALSE))=0, "", IF(B216="", "", VLOOKUP(B216,'API Data Dictionary'!C:E,3,FALSE)))</f>
        <v/>
      </c>
      <c r="F216" s="62" t="str">
        <f>IF(IF(B216="", "", VLOOKUP(B216,'API Data Dictionary'!C:F,4,FALSE))=0, "", IF(B216="", "", VLOOKUP(B216,'API Data Dictionary'!C:F,4,FALSE)))</f>
        <v/>
      </c>
      <c r="G216" s="62" t="str">
        <f>IF(IF(B216="", "", VLOOKUP(B216,'API Data Dictionary'!C:G,5,FALSE))=0, "", IF(B216="", "", VLOOKUP(B216,'API Data Dictionary'!C:G,5,FALSE)))</f>
        <v/>
      </c>
    </row>
    <row r="217" spans="1:7" x14ac:dyDescent="0.35">
      <c r="A217" s="96" t="s">
        <v>1405</v>
      </c>
      <c r="B217" s="62" t="str">
        <f t="shared" si="4"/>
        <v>message</v>
      </c>
      <c r="C217" s="62" t="s">
        <v>68</v>
      </c>
      <c r="D217" s="62" t="str">
        <f>IF(B217="", "", VLOOKUP(B217,'API Data Dictionary'!C:D,2,FALSE))</f>
        <v>string</v>
      </c>
      <c r="E217" s="62">
        <f>IF(IF(B217="", "", VLOOKUP(B217,'API Data Dictionary'!C:E,3,FALSE))=0, "", IF(B217="", "", VLOOKUP(B217,'API Data Dictionary'!C:E,3,FALSE)))</f>
        <v>100</v>
      </c>
      <c r="F217" s="62" t="str">
        <f>IF(IF(B217="", "", VLOOKUP(B217,'API Data Dictionary'!C:F,4,FALSE))=0, "", IF(B217="", "", VLOOKUP(B217,'API Data Dictionary'!C:F,4,FALSE)))</f>
        <v/>
      </c>
      <c r="G217" s="62" t="str">
        <f>IF(IF(B217="", "", VLOOKUP(B217,'API Data Dictionary'!C:G,5,FALSE))=0, "", IF(B217="", "", VLOOKUP(B217,'API Data Dictionary'!C:G,5,FALSE)))</f>
        <v>return value, null or success, unless there has been error</v>
      </c>
    </row>
    <row r="218" spans="1:7" x14ac:dyDescent="0.35">
      <c r="A218" s="96" t="s">
        <v>1120</v>
      </c>
      <c r="B218" s="62" t="str">
        <f t="shared" si="4"/>
        <v/>
      </c>
      <c r="C218" s="62" t="str">
        <f>IF(B218="", "", VLOOKUP(B218,'API Data Dictionary'!C:L,10,FALSE))</f>
        <v/>
      </c>
      <c r="D218" s="62" t="str">
        <f>IF(B218="", "", VLOOKUP(B218,'API Data Dictionary'!C:D,2,FALSE))</f>
        <v/>
      </c>
      <c r="E218" s="62" t="str">
        <f>IF(IF(B218="", "", VLOOKUP(B218,'API Data Dictionary'!C:E,3,FALSE))=0, "", IF(B218="", "", VLOOKUP(B218,'API Data Dictionary'!C:E,3,FALSE)))</f>
        <v/>
      </c>
      <c r="F218" s="62" t="str">
        <f>IF(IF(B218="", "", VLOOKUP(B218,'API Data Dictionary'!C:F,4,FALSE))=0, "", IF(B218="", "", VLOOKUP(B218,'API Data Dictionary'!C:F,4,FALSE)))</f>
        <v/>
      </c>
      <c r="G218" s="62" t="str">
        <f>IF(IF(B218="", "", VLOOKUP(B218,'API Data Dictionary'!C:G,5,FALSE))=0, "", IF(B218="", "", VLOOKUP(B218,'API Data Dictionary'!C:G,5,FALSE)))</f>
        <v/>
      </c>
    </row>
    <row r="220" spans="1:7" x14ac:dyDescent="0.35">
      <c r="A220" s="219" t="s">
        <v>1625</v>
      </c>
      <c r="B220" s="220"/>
      <c r="C220" s="220"/>
      <c r="D220" s="220"/>
      <c r="E220" s="220"/>
      <c r="F220" s="220"/>
      <c r="G220" s="220"/>
    </row>
    <row r="221" spans="1:7" x14ac:dyDescent="0.35">
      <c r="A221" s="88" t="s">
        <v>1561</v>
      </c>
      <c r="B221" s="62" t="s">
        <v>1359</v>
      </c>
      <c r="C221" s="89" t="s">
        <v>1359</v>
      </c>
      <c r="D221" s="62" t="s">
        <v>64</v>
      </c>
      <c r="E221" s="89">
        <v>100</v>
      </c>
      <c r="F221" s="89"/>
      <c r="G221" s="89" t="s">
        <v>1562</v>
      </c>
    </row>
    <row r="223" spans="1:7" x14ac:dyDescent="0.35">
      <c r="A223" s="219" t="s">
        <v>1764</v>
      </c>
      <c r="B223" s="220"/>
      <c r="C223" s="220"/>
      <c r="D223" s="220"/>
      <c r="E223" s="220"/>
      <c r="F223" s="220"/>
      <c r="G223" s="220"/>
    </row>
    <row r="224" spans="1:7" x14ac:dyDescent="0.35">
      <c r="A224" s="88" t="s">
        <v>1763</v>
      </c>
      <c r="B224" s="62" t="s">
        <v>1359</v>
      </c>
      <c r="C224" s="89" t="s">
        <v>1359</v>
      </c>
      <c r="D224" s="62" t="s">
        <v>64</v>
      </c>
      <c r="E224" s="89">
        <v>100</v>
      </c>
      <c r="F224" s="89"/>
      <c r="G224" s="89" t="s">
        <v>1765</v>
      </c>
    </row>
    <row r="226" spans="1:7" x14ac:dyDescent="0.35">
      <c r="A226" s="97" t="s">
        <v>1672</v>
      </c>
      <c r="B226" s="98"/>
      <c r="C226" s="98"/>
      <c r="D226" s="98"/>
      <c r="E226" s="98"/>
      <c r="F226" s="98"/>
      <c r="G226" s="116"/>
    </row>
    <row r="227" spans="1:7" x14ac:dyDescent="0.35">
      <c r="A227" s="88" t="s">
        <v>1094</v>
      </c>
      <c r="B227" s="89" t="str">
        <f t="shared" ref="B227" si="6">IF(OR(ISNUMBER(SEARCH("{", A227)),ISNUMBER(SEARCH("[", A227))), "", IFERROR(MID(A227, SEARCH("""", A227) +1, SEARCH("""", A227, SEARCH("""",A227) +1) - SEARCH("""", A227) -1), ""))</f>
        <v/>
      </c>
      <c r="C227" s="89" t="str">
        <f>IF(B227="", "", VLOOKUP(B227,'API Data Dictionary'!C:R,16,FALSE))</f>
        <v/>
      </c>
      <c r="D227" s="89" t="str">
        <f>IF(B227="", "", VLOOKUP(B227,'API Data Dictionary'!C:D,2,FALSE))</f>
        <v/>
      </c>
      <c r="E227" s="89" t="str">
        <f>IF(IF(B227="", "", VLOOKUP(B227,'API Data Dictionary'!C:E,3,FALSE))=0, "", IF(B227="", "", VLOOKUP(B227,'API Data Dictionary'!C:E,3,FALSE)))</f>
        <v/>
      </c>
      <c r="F227" s="89" t="str">
        <f>IF(IF(B227="", "", VLOOKUP(B227,'API Data Dictionary'!C:F,4,FALSE))=0, "", IF(B227="", "", VLOOKUP(B227,'API Data Dictionary'!C:F,4,FALSE)))</f>
        <v/>
      </c>
      <c r="G227" s="89" t="str">
        <f>IF(IF(B227="", "", VLOOKUP(B227,'API Data Dictionary'!C:G,5,FALSE))=0, "", IF(B227="", "", VLOOKUP(B227,'API Data Dictionary'!C:G,5,FALSE)))</f>
        <v/>
      </c>
    </row>
    <row r="228" spans="1:7" x14ac:dyDescent="0.35">
      <c r="A228" s="88" t="s">
        <v>1574</v>
      </c>
      <c r="B228" s="89" t="s">
        <v>1354</v>
      </c>
      <c r="C228" s="89" t="s">
        <v>68</v>
      </c>
      <c r="D228" s="89" t="s">
        <v>1357</v>
      </c>
      <c r="E228" s="89">
        <v>100</v>
      </c>
      <c r="F228" s="89" t="s">
        <v>1433</v>
      </c>
      <c r="G228" s="89" t="s">
        <v>1572</v>
      </c>
    </row>
    <row r="229" spans="1:7" x14ac:dyDescent="0.35">
      <c r="A229" s="88" t="s">
        <v>1377</v>
      </c>
      <c r="B229" s="89" t="s">
        <v>1433</v>
      </c>
      <c r="C229" s="89" t="s">
        <v>1433</v>
      </c>
      <c r="D229" s="89" t="s">
        <v>1433</v>
      </c>
      <c r="E229" s="109" t="s">
        <v>1433</v>
      </c>
      <c r="F229" s="89" t="s">
        <v>1433</v>
      </c>
      <c r="G229" s="89" t="s">
        <v>1433</v>
      </c>
    </row>
    <row r="230" spans="1:7" x14ac:dyDescent="0.35">
      <c r="A230" s="88" t="s">
        <v>1564</v>
      </c>
      <c r="B230" s="89" t="s">
        <v>1589</v>
      </c>
      <c r="C230" s="89" t="s">
        <v>68</v>
      </c>
      <c r="D230" s="89" t="s">
        <v>1593</v>
      </c>
      <c r="E230" s="109"/>
      <c r="F230" s="89"/>
      <c r="G230" s="89"/>
    </row>
    <row r="231" spans="1:7" x14ac:dyDescent="0.35">
      <c r="A231" s="88" t="s">
        <v>1662</v>
      </c>
      <c r="B231" s="89" t="s">
        <v>1590</v>
      </c>
      <c r="C231" s="89" t="s">
        <v>68</v>
      </c>
      <c r="D231" s="89" t="s">
        <v>64</v>
      </c>
      <c r="E231" s="109" t="s">
        <v>1594</v>
      </c>
      <c r="F231" s="89"/>
      <c r="G231" s="89"/>
    </row>
    <row r="232" spans="1:7" x14ac:dyDescent="0.35">
      <c r="A232" s="88" t="s">
        <v>1663</v>
      </c>
      <c r="B232" s="89" t="s">
        <v>1591</v>
      </c>
      <c r="C232" s="89" t="s">
        <v>68</v>
      </c>
      <c r="D232" s="89" t="s">
        <v>64</v>
      </c>
      <c r="E232" s="109" t="s">
        <v>1594</v>
      </c>
      <c r="F232" s="89"/>
      <c r="G232" s="89"/>
    </row>
    <row r="233" spans="1:7" x14ac:dyDescent="0.35">
      <c r="A233" s="88" t="s">
        <v>1116</v>
      </c>
      <c r="B233" s="89" t="s">
        <v>1433</v>
      </c>
      <c r="C233" s="89" t="s">
        <v>1433</v>
      </c>
      <c r="D233" s="89" t="s">
        <v>1433</v>
      </c>
      <c r="E233" s="109" t="s">
        <v>1433</v>
      </c>
      <c r="F233" s="89" t="s">
        <v>1433</v>
      </c>
      <c r="G233" s="89" t="s">
        <v>1433</v>
      </c>
    </row>
    <row r="234" spans="1:7" x14ac:dyDescent="0.35">
      <c r="A234" s="88" t="s">
        <v>1664</v>
      </c>
      <c r="B234" s="89" t="s">
        <v>1590</v>
      </c>
      <c r="C234" s="89" t="s">
        <v>68</v>
      </c>
      <c r="D234" s="89" t="s">
        <v>64</v>
      </c>
      <c r="E234" s="109" t="s">
        <v>1594</v>
      </c>
      <c r="F234" s="89"/>
      <c r="G234" s="89" t="s">
        <v>1433</v>
      </c>
    </row>
    <row r="235" spans="1:7" x14ac:dyDescent="0.35">
      <c r="A235" s="88" t="s">
        <v>1665</v>
      </c>
      <c r="B235" s="89" t="s">
        <v>1591</v>
      </c>
      <c r="C235" s="89" t="s">
        <v>68</v>
      </c>
      <c r="D235" s="89" t="s">
        <v>64</v>
      </c>
      <c r="E235" s="109" t="s">
        <v>1594</v>
      </c>
      <c r="F235" s="89"/>
      <c r="G235" s="89"/>
    </row>
    <row r="236" spans="1:7" x14ac:dyDescent="0.35">
      <c r="A236" s="88" t="s">
        <v>1116</v>
      </c>
      <c r="B236" s="89"/>
      <c r="C236" s="89"/>
      <c r="D236" s="89"/>
      <c r="E236" s="109"/>
      <c r="F236" s="89"/>
      <c r="G236" s="89"/>
    </row>
    <row r="237" spans="1:7" x14ac:dyDescent="0.35">
      <c r="A237" s="88" t="s">
        <v>1666</v>
      </c>
      <c r="B237" s="89" t="s">
        <v>1590</v>
      </c>
      <c r="C237" s="89" t="s">
        <v>68</v>
      </c>
      <c r="D237" s="89" t="s">
        <v>64</v>
      </c>
      <c r="E237" s="109" t="s">
        <v>1594</v>
      </c>
      <c r="F237" s="89"/>
      <c r="G237" s="89"/>
    </row>
    <row r="238" spans="1:7" x14ac:dyDescent="0.35">
      <c r="A238" s="88" t="s">
        <v>1667</v>
      </c>
      <c r="B238" s="89" t="s">
        <v>1591</v>
      </c>
      <c r="C238" s="89" t="s">
        <v>68</v>
      </c>
      <c r="D238" s="89" t="s">
        <v>64</v>
      </c>
      <c r="E238" s="109" t="s">
        <v>1594</v>
      </c>
      <c r="F238" s="89"/>
      <c r="G238" s="89"/>
    </row>
    <row r="239" spans="1:7" x14ac:dyDescent="0.35">
      <c r="A239" s="88" t="s">
        <v>1116</v>
      </c>
      <c r="B239" s="89"/>
      <c r="C239" s="89"/>
      <c r="D239" s="89"/>
      <c r="E239" s="109"/>
      <c r="F239" s="89"/>
      <c r="G239" s="89"/>
    </row>
    <row r="240" spans="1:7" x14ac:dyDescent="0.35">
      <c r="A240" s="88" t="s">
        <v>1668</v>
      </c>
      <c r="B240" s="89" t="s">
        <v>1590</v>
      </c>
      <c r="C240" s="89" t="s">
        <v>68</v>
      </c>
      <c r="D240" s="89" t="s">
        <v>64</v>
      </c>
      <c r="E240" s="109" t="s">
        <v>1594</v>
      </c>
      <c r="F240" s="89"/>
      <c r="G240" s="89"/>
    </row>
    <row r="241" spans="1:7" x14ac:dyDescent="0.35">
      <c r="A241" s="88" t="s">
        <v>1669</v>
      </c>
      <c r="B241" s="89" t="s">
        <v>1591</v>
      </c>
      <c r="C241" s="89" t="s">
        <v>68</v>
      </c>
      <c r="D241" s="89" t="s">
        <v>64</v>
      </c>
      <c r="E241" s="109" t="s">
        <v>1594</v>
      </c>
      <c r="F241" s="89"/>
      <c r="G241" s="89"/>
    </row>
    <row r="242" spans="1:7" x14ac:dyDescent="0.35">
      <c r="A242" s="88" t="s">
        <v>1566</v>
      </c>
      <c r="B242" s="89"/>
      <c r="C242" s="89"/>
      <c r="D242" s="89"/>
      <c r="E242" s="109"/>
      <c r="F242" s="89"/>
      <c r="G242" s="89"/>
    </row>
    <row r="243" spans="1:7" x14ac:dyDescent="0.35">
      <c r="A243" s="88" t="s">
        <v>1413</v>
      </c>
      <c r="B243" s="89"/>
      <c r="C243" s="89"/>
      <c r="D243" s="89"/>
      <c r="E243" s="109"/>
      <c r="F243" s="89"/>
      <c r="G243" s="89"/>
    </row>
    <row r="244" spans="1:7" x14ac:dyDescent="0.35">
      <c r="A244" s="88" t="s">
        <v>1670</v>
      </c>
      <c r="B244" s="89" t="s">
        <v>1579</v>
      </c>
      <c r="C244" s="89" t="s">
        <v>68</v>
      </c>
      <c r="D244" s="89" t="s">
        <v>64</v>
      </c>
      <c r="E244" s="109" t="s">
        <v>1594</v>
      </c>
      <c r="F244" s="89"/>
      <c r="G244" s="89"/>
    </row>
    <row r="245" spans="1:7" x14ac:dyDescent="0.35">
      <c r="A245" s="88" t="s">
        <v>1577</v>
      </c>
      <c r="B245" s="89" t="s">
        <v>1580</v>
      </c>
      <c r="C245" s="89" t="s">
        <v>68</v>
      </c>
      <c r="D245" s="89" t="s">
        <v>64</v>
      </c>
      <c r="E245" s="109" t="s">
        <v>1594</v>
      </c>
      <c r="F245" s="89"/>
      <c r="G245" s="89"/>
    </row>
    <row r="246" spans="1:7" x14ac:dyDescent="0.35">
      <c r="A246" s="88" t="s">
        <v>1105</v>
      </c>
      <c r="B246" s="89" t="s">
        <v>1433</v>
      </c>
      <c r="C246" s="89" t="s">
        <v>1433</v>
      </c>
      <c r="D246" s="89" t="s">
        <v>1433</v>
      </c>
      <c r="E246" s="109" t="s">
        <v>1433</v>
      </c>
      <c r="F246" s="89" t="s">
        <v>1433</v>
      </c>
      <c r="G246" s="89"/>
    </row>
    <row r="247" spans="1:7" x14ac:dyDescent="0.35">
      <c r="A247" s="88" t="s">
        <v>1671</v>
      </c>
      <c r="B247" s="89" t="s">
        <v>1592</v>
      </c>
      <c r="C247" s="89" t="s">
        <v>68</v>
      </c>
      <c r="D247" s="89" t="s">
        <v>64</v>
      </c>
      <c r="E247" s="109" t="s">
        <v>1594</v>
      </c>
      <c r="F247" s="89"/>
      <c r="G247" s="89"/>
    </row>
    <row r="248" spans="1:7" x14ac:dyDescent="0.35">
      <c r="A248" s="88" t="s">
        <v>1120</v>
      </c>
      <c r="B248" s="89" t="str">
        <f>IF(OR(ISNUMBER(SEARCH("{", A239)),ISNUMBER(SEARCH("[", A239))), "", IFERROR(MID(A239, SEARCH("""", A239) +1, SEARCH("""", A239, SEARCH("""",A239) +1) - SEARCH("""", A239) -1), ""))</f>
        <v/>
      </c>
      <c r="C248" s="89" t="str">
        <f>IF(B248="", "", VLOOKUP(B248,'API Data Dictionary'!C:R,16,FALSE))</f>
        <v/>
      </c>
      <c r="D248" s="89" t="str">
        <f>IF(B248="", "", VLOOKUP(B248,'API Data Dictionary'!C:D,2,FALSE))</f>
        <v/>
      </c>
      <c r="E248" s="109" t="str">
        <f>IF(IF(B248="", "", VLOOKUP(B248,'API Data Dictionary'!C:E,3,FALSE))=0, "", IF(B248="", "", VLOOKUP(B248,'API Data Dictionary'!C:E,3,FALSE)))</f>
        <v/>
      </c>
      <c r="F248" s="89" t="str">
        <f>IF(IF(B248="", "", VLOOKUP(B248,'API Data Dictionary'!C:F,4,FALSE))=0, "", IF(B248="", "", VLOOKUP(B248,'API Data Dictionary'!C:F,4,FALSE)))</f>
        <v/>
      </c>
      <c r="G248" s="89" t="str">
        <f>IF(IF(B248="", "", VLOOKUP(B248,'API Data Dictionary'!C:G,5,FALSE))=0, "", IF(B248="", "", VLOOKUP(B248,'API Data Dictionary'!C:G,5,FALSE)))</f>
        <v/>
      </c>
    </row>
    <row r="250" spans="1:7" x14ac:dyDescent="0.35">
      <c r="A250" s="224" t="s">
        <v>1598</v>
      </c>
      <c r="B250" s="224"/>
      <c r="C250" s="224"/>
      <c r="D250" s="224"/>
      <c r="E250" s="224"/>
      <c r="F250" s="224"/>
      <c r="G250" s="224"/>
    </row>
    <row r="251" spans="1:7" x14ac:dyDescent="0.35">
      <c r="A251" s="110" t="s">
        <v>1094</v>
      </c>
      <c r="B251" s="89" t="str">
        <f t="shared" ref="B251:B255" si="7">IF(OR(ISNUMBER(SEARCH("{", A251)),ISNUMBER(SEARCH("[", A251))), "", IFERROR(MID(A251, SEARCH("""", A251) +1, SEARCH("""", A251, SEARCH("""",A251) +1) - SEARCH("""", A251) -1), ""))</f>
        <v/>
      </c>
      <c r="C251" s="89" t="str">
        <f>IF(B251="", "", VLOOKUP(B251,'API Data Dictionary'!C:J,8,FALSE))</f>
        <v/>
      </c>
      <c r="D251" s="89" t="str">
        <f>IF(B251="", "", VLOOKUP(B251,'API Data Dictionary'!C:D,2,FALSE))</f>
        <v/>
      </c>
      <c r="E251" s="89" t="str">
        <f>IF(IF(B251="", "", VLOOKUP(B251,'API Data Dictionary'!C:E,3,FALSE))=0, "", IF(B251="", "", VLOOKUP(B251,'API Data Dictionary'!C:E,3,FALSE)))</f>
        <v/>
      </c>
      <c r="F251" s="89" t="str">
        <f>IF(IF(B251="", "", VLOOKUP(B251,'API Data Dictionary'!C:F,4,FALSE))=0, "", IF(B251="", "", VLOOKUP(B251,'API Data Dictionary'!C:F,4,FALSE)))</f>
        <v/>
      </c>
      <c r="G251" s="89" t="str">
        <f>IF(IF(B251="", "", VLOOKUP(B251,'API Data Dictionary'!C:G,5,FALSE))=0, "", IF(B251="", "", VLOOKUP(B251,'API Data Dictionary'!C:G,5,FALSE)))</f>
        <v/>
      </c>
    </row>
    <row r="252" spans="1:7" x14ac:dyDescent="0.35">
      <c r="A252" s="110" t="s">
        <v>1567</v>
      </c>
      <c r="B252" s="89" t="str">
        <f t="shared" si="7"/>
        <v>success</v>
      </c>
      <c r="C252" s="89" t="s">
        <v>68</v>
      </c>
      <c r="D252" s="89" t="str">
        <f>IF(B252="", "", VLOOKUP(B252,'API Data Dictionary'!C:D,2,FALSE))</f>
        <v>string - Boolean</v>
      </c>
      <c r="E252" s="89">
        <f>IF(IF(B252="", "", VLOOKUP(B252,'API Data Dictionary'!C:E,3,FALSE))=0, "", IF(B252="", "", VLOOKUP(B252,'API Data Dictionary'!C:E,3,FALSE)))</f>
        <v>100</v>
      </c>
      <c r="F252" s="89" t="str">
        <f>IF(IF(B252="", "", VLOOKUP(B252,'API Data Dictionary'!C:F,4,FALSE))=0, "", IF(B252="", "", VLOOKUP(B252,'API Data Dictionary'!C:F,4,FALSE)))</f>
        <v/>
      </c>
      <c r="G252" s="89" t="str">
        <f>IF(IF(B252="", "", VLOOKUP(B252,'API Data Dictionary'!C:G,5,FALSE))=0, "", IF(B252="", "", VLOOKUP(B252,'API Data Dictionary'!C:G,5,FALSE)))</f>
        <v>Returns true when successful call/connection</v>
      </c>
    </row>
    <row r="253" spans="1:7" x14ac:dyDescent="0.35">
      <c r="A253" s="110" t="s">
        <v>1596</v>
      </c>
      <c r="B253" s="89" t="str">
        <f t="shared" si="7"/>
        <v>payload</v>
      </c>
      <c r="C253" s="89" t="s">
        <v>68</v>
      </c>
      <c r="D253" s="89" t="str">
        <f>IF(B253="", "", VLOOKUP(B253,'API Data Dictionary'!C:D,2,FALSE))</f>
        <v>string</v>
      </c>
      <c r="E253" s="89">
        <f>IF(IF(B253="", "", VLOOKUP(B253,'API Data Dictionary'!C:E,3,FALSE))=0, "", IF(B253="", "", VLOOKUP(B253,'API Data Dictionary'!C:E,3,FALSE)))</f>
        <v>100</v>
      </c>
      <c r="F253" s="89" t="str">
        <f>IF(IF(B253="", "", VLOOKUP(B253,'API Data Dictionary'!C:F,4,FALSE))=0, "", IF(B253="", "", VLOOKUP(B253,'API Data Dictionary'!C:F,4,FALSE)))</f>
        <v/>
      </c>
      <c r="G253" s="89" t="str">
        <f>IF(IF(B253="", "", VLOOKUP(B253,'API Data Dictionary'!C:G,5,FALSE))=0, "", IF(B253="", "", VLOOKUP(B253,'API Data Dictionary'!C:G,5,FALSE)))</f>
        <v>Returns healthy when connection has worked properly</v>
      </c>
    </row>
    <row r="254" spans="1:7" x14ac:dyDescent="0.35">
      <c r="A254" s="110" t="s">
        <v>1597</v>
      </c>
      <c r="B254" s="89" t="str">
        <f t="shared" si="7"/>
        <v>message</v>
      </c>
      <c r="C254" s="89" t="s">
        <v>68</v>
      </c>
      <c r="D254" s="89" t="str">
        <f>IF(B254="", "", VLOOKUP(B254,'API Data Dictionary'!C:D,2,FALSE))</f>
        <v>string</v>
      </c>
      <c r="E254" s="89">
        <f>IF(IF(B254="", "", VLOOKUP(B254,'API Data Dictionary'!C:E,3,FALSE))=0, "", IF(B254="", "", VLOOKUP(B254,'API Data Dictionary'!C:E,3,FALSE)))</f>
        <v>100</v>
      </c>
      <c r="F254" s="89" t="str">
        <f>IF(IF(B254="", "", VLOOKUP(B254,'API Data Dictionary'!C:F,4,FALSE))=0, "", IF(B254="", "", VLOOKUP(B254,'API Data Dictionary'!C:F,4,FALSE)))</f>
        <v/>
      </c>
      <c r="G254" s="89" t="str">
        <f>IF(IF(B254="", "", VLOOKUP(B254,'API Data Dictionary'!C:G,5,FALSE))=0, "", IF(B254="", "", VLOOKUP(B254,'API Data Dictionary'!C:G,5,FALSE)))</f>
        <v>return value, null or success, unless there has been error</v>
      </c>
    </row>
    <row r="255" spans="1:7" x14ac:dyDescent="0.35">
      <c r="A255" s="110" t="s">
        <v>1120</v>
      </c>
      <c r="B255" s="89" t="str">
        <f t="shared" si="7"/>
        <v/>
      </c>
      <c r="C255" s="89" t="str">
        <f>IF(B255="", "", VLOOKUP(B255,'API Data Dictionary'!C:J,8,FALSE))</f>
        <v/>
      </c>
      <c r="D255" s="89" t="str">
        <f>IF(B255="", "", VLOOKUP(B255,'API Data Dictionary'!C:D,2,FALSE))</f>
        <v/>
      </c>
      <c r="E255" s="89" t="str">
        <f>IF(IF(B255="", "", VLOOKUP(B255,'API Data Dictionary'!C:E,3,FALSE))=0, "", IF(B255="", "", VLOOKUP(B255,'API Data Dictionary'!C:E,3,FALSE)))</f>
        <v/>
      </c>
      <c r="F255" s="89" t="str">
        <f>IF(IF(B255="", "", VLOOKUP(B255,'API Data Dictionary'!C:F,4,FALSE))=0, "", IF(B255="", "", VLOOKUP(B255,'API Data Dictionary'!C:F,4,FALSE)))</f>
        <v/>
      </c>
      <c r="G255" s="89" t="str">
        <f>IF(IF(B255="", "", VLOOKUP(B255,'API Data Dictionary'!C:G,5,FALSE))=0, "", IF(B255="", "", VLOOKUP(B255,'API Data Dictionary'!C:G,5,FALSE)))</f>
        <v/>
      </c>
    </row>
  </sheetData>
  <mergeCells count="4">
    <mergeCell ref="A204:G204"/>
    <mergeCell ref="A250:G250"/>
    <mergeCell ref="A220:G220"/>
    <mergeCell ref="A223:G223"/>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7967-C3A3-4C13-9A7C-558BD709D39D}">
  <sheetPr>
    <tabColor rgb="FF4472C4"/>
  </sheetPr>
  <dimension ref="A1:G51"/>
  <sheetViews>
    <sheetView topLeftCell="A5" zoomScaleNormal="100" workbookViewId="0"/>
  </sheetViews>
  <sheetFormatPr defaultRowHeight="14.5" x14ac:dyDescent="0.35"/>
  <cols>
    <col min="1" max="1" width="56.54296875" bestFit="1" customWidth="1"/>
    <col min="2" max="2" width="22.1796875" bestFit="1" customWidth="1"/>
    <col min="3" max="3" width="16" bestFit="1" customWidth="1"/>
    <col min="4" max="4" width="16.7265625" bestFit="1" customWidth="1"/>
    <col min="5" max="5" width="10.54296875" customWidth="1"/>
    <col min="6" max="6" width="14.453125" customWidth="1"/>
    <col min="7" max="7" width="255.6328125" bestFit="1" customWidth="1"/>
  </cols>
  <sheetData>
    <row r="1" spans="1:7" ht="43.5" x14ac:dyDescent="0.35">
      <c r="A1" s="63" t="s">
        <v>1287</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B7" si="0">IF(OR(ISNUMBER(SEARCH("{", A3)),ISNUMBER(SEARCH("[", A3))), "", IFERROR(MID(A3, SEARCH("""", A3) +1, SEARCH("""", A3, SEARCH("""",A3) +1) - SEARCH("""", A3) -1), ""))</f>
        <v/>
      </c>
      <c r="C3" s="62" t="str">
        <f>IF(B3="", "", VLOOKUP(B3,'API Data Dictionary'!C:X,22,FALSE))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1292</v>
      </c>
      <c r="B4" s="62" t="str">
        <f t="shared" si="0"/>
        <v>agentCode</v>
      </c>
      <c r="C4" s="62" t="s">
        <v>68</v>
      </c>
      <c r="D4" s="62" t="str">
        <f>IF(B4="", "", VLOOKUP(B4,'API Data Dictionary'!C:D,2,FALSE))</f>
        <v>string</v>
      </c>
      <c r="E4" s="62">
        <f>IF(IF(B4="", "", VLOOKUP(B4,'API Data Dictionary'!C:E,3,FALSE))=0, "", IF(B4="", "", VLOOKUP(B4,'API Data Dictionary'!C:E,3,FALSE)))</f>
        <v>50</v>
      </c>
      <c r="F4" s="62" t="str">
        <f>IF(IF(B4="", "", VLOOKUP(B4,'API Data Dictionary'!C:F,4,FALSE))=0, "", IF(B4="", "", VLOOKUP(B4,'API Data Dictionary'!C:F,4,FALSE)))</f>
        <v/>
      </c>
      <c r="G4" s="62"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x14ac:dyDescent="0.35">
      <c r="A5" s="64" t="s">
        <v>1739</v>
      </c>
      <c r="B5" s="62" t="str">
        <f t="shared" si="0"/>
        <v>propertyTenancyId</v>
      </c>
      <c r="C5" s="62" t="s">
        <v>68</v>
      </c>
      <c r="D5" s="62" t="str">
        <f>IF(B5="", "", VLOOKUP(B5,'API Data Dictionary'!C:D,2,FALSE))</f>
        <v>integer</v>
      </c>
      <c r="E5" s="62" t="str">
        <f>IF(IF(B5="", "", VLOOKUP(B5,'API Data Dictionary'!C:E,3,FALSE))=0, "", IF(B5="", "", VLOOKUP(B5,'API Data Dictionary'!C:E,3,FALSE)))</f>
        <v/>
      </c>
      <c r="F5" s="62" t="str">
        <f>IF(IF(B5="", "", VLOOKUP(B5,'API Data Dictionary'!C:F,4,FALSE))=0, "", IF(B5="", "", VLOOKUP(B5,'API Data Dictionary'!C:F,4,FALSE)))</f>
        <v/>
      </c>
      <c r="G5" s="62" t="str">
        <f>IF(IF(B5="", "", VLOOKUP(B5,'API Data Dictionary'!C:G,5,FALSE))=0, "", IF(B5="", "", VLOOKUP(B5,'API Data Dictionary'!C:G,5,FALSE)))</f>
        <v>The ID of the property tenancy</v>
      </c>
    </row>
    <row r="6" spans="1:7" x14ac:dyDescent="0.35">
      <c r="A6" s="64" t="s">
        <v>1738</v>
      </c>
      <c r="B6" s="62" t="str">
        <f t="shared" si="0"/>
        <v>applicantID</v>
      </c>
      <c r="C6" s="62" t="str">
        <f>IF(B6="", "", VLOOKUP(B6,'API Data Dictionary'!C:X,22,FALSE))</f>
        <v>M</v>
      </c>
      <c r="D6" s="62" t="str">
        <f>IF(B6="", "", VLOOKUP(B6,'API Data Dictionary'!C:D,2,FALSE))</f>
        <v>integer</v>
      </c>
      <c r="E6" s="62" t="str">
        <f>IF(IF(B6="", "", VLOOKUP(B6,'API Data Dictionary'!C:E,3,FALSE))=0, "", IF(B6="", "", VLOOKUP(B6,'API Data Dictionary'!C:E,3,FALSE)))</f>
        <v/>
      </c>
      <c r="F6" s="62" t="str">
        <f>IF(IF(B6="", "", VLOOKUP(B6,'API Data Dictionary'!C:F,4,FALSE))=0, "", IF(B6="", "", VLOOKUP(B6,'API Data Dictionary'!C:F,4,FALSE)))</f>
        <v/>
      </c>
      <c r="G6" s="62" t="str">
        <f>IF(IF(B6="", "", VLOOKUP(B6,'API Data Dictionary'!C:G,5,FALSE))=0, "", IF(B6="", "", VLOOKUP(B6,'API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7" spans="1:7" x14ac:dyDescent="0.35">
      <c r="A7" s="64" t="s">
        <v>1120</v>
      </c>
      <c r="B7" s="62" t="str">
        <f t="shared" si="0"/>
        <v/>
      </c>
      <c r="C7" s="62" t="str">
        <f>IF(B7="", "", VLOOKUP(B7,'API Data Dictionary'!C:X,22,FALSE))</f>
        <v/>
      </c>
      <c r="D7" s="62" t="str">
        <f>IF(B7="", "", VLOOKUP(B7,'API Data Dictionary'!C:D,2,FALSE))</f>
        <v/>
      </c>
      <c r="E7" s="62" t="str">
        <f>IF(IF(B7="", "", VLOOKUP(B7,'API Data Dictionary'!C:E,3,FALSE))=0, "", IF(B7="", "", VLOOKUP(B7,'API Data Dictionary'!C:E,3,FALSE)))</f>
        <v/>
      </c>
      <c r="F7" s="62" t="str">
        <f>IF(IF(B7="", "", VLOOKUP(B7,'API Data Dictionary'!C:F,4,FALSE))=0, "", IF(B7="", "", VLOOKUP(B7,'API Data Dictionary'!C:F,4,FALSE)))</f>
        <v/>
      </c>
      <c r="G7" s="62" t="str">
        <f>IF(IF(B7="", "", VLOOKUP(B7,'API Data Dictionary'!C:G,5,FALSE))=0, "", IF(B7="", "", VLOOKUP(B7,'API Data Dictionary'!C:G,5,FALSE)))</f>
        <v/>
      </c>
    </row>
    <row r="9" spans="1:7" x14ac:dyDescent="0.35">
      <c r="A9" s="222" t="s">
        <v>1751</v>
      </c>
      <c r="B9" s="222"/>
      <c r="C9" s="222"/>
      <c r="D9" s="222"/>
      <c r="E9" s="222"/>
      <c r="F9" s="222"/>
      <c r="G9" s="222"/>
    </row>
    <row r="10" spans="1:7" x14ac:dyDescent="0.35">
      <c r="A10" s="64" t="s">
        <v>1094</v>
      </c>
      <c r="B10" s="62" t="str">
        <f t="shared" ref="B10:B15" si="1">IF(OR(ISNUMBER(SEARCH("{", A10)),ISNUMBER(SEARCH("[", A10))), "", IFERROR(MID(A10, SEARCH("""", A10) +1, SEARCH("""", A10, SEARCH("""",A10) +1) - SEARCH("""", A10) -1), ""))</f>
        <v/>
      </c>
      <c r="C10" s="62" t="str">
        <f>IF(B10="", "", VLOOKUP(B10,'API Data Dictionary'!C:X,22,FALSE))</f>
        <v/>
      </c>
      <c r="D10" s="62" t="str">
        <f>IF(B10="", "", VLOOKUP(B10,'API Data Dictionary'!C:D,2,FALSE))</f>
        <v/>
      </c>
      <c r="E10" s="62" t="str">
        <f>IF(IF(B10="", "", VLOOKUP(B10,'API Data Dictionary'!C:E,3,FALSE))=0, "", IF(B10="", "", VLOOKUP(B10,'API Data Dictionary'!C:E,3,FALSE)))</f>
        <v/>
      </c>
      <c r="F10" s="62" t="str">
        <f>IF(IF(B10="", "", VLOOKUP(B10,'API Data Dictionary'!C:F,4,FALSE))=0, "", IF(B10="", "", VLOOKUP(B10,'API Data Dictionary'!C:F,4,FALSE)))</f>
        <v/>
      </c>
      <c r="G10" s="62" t="str">
        <f>IF(IF(B10="", "", VLOOKUP(B10,'API Data Dictionary'!C:G,5,FALSE))=0, "", IF(B10="", "", VLOOKUP(B10,'API Data Dictionary'!C:G,5,FALSE)))</f>
        <v/>
      </c>
    </row>
    <row r="11" spans="1:7" x14ac:dyDescent="0.35">
      <c r="A11" s="64" t="s">
        <v>1350</v>
      </c>
      <c r="B11" s="62" t="str">
        <f t="shared" si="1"/>
        <v>success</v>
      </c>
      <c r="C11" s="62" t="s">
        <v>68</v>
      </c>
      <c r="D11" s="62" t="str">
        <f>IF(B11="", "", VLOOKUP(B11,'API Data Dictionary'!C:D,2,FALSE))</f>
        <v>string - Boolean</v>
      </c>
      <c r="E11" s="62">
        <f>IF(IF(B11="", "", VLOOKUP(B11,'API Data Dictionary'!C:E,3,FALSE))=0, "", IF(B11="", "", VLOOKUP(B11,'API Data Dictionary'!C:E,3,FALSE)))</f>
        <v>100</v>
      </c>
      <c r="F11" s="62" t="str">
        <f>IF(IF(B11="", "", VLOOKUP(B11,'API Data Dictionary'!C:F,4,FALSE))=0, "", IF(B11="", "", VLOOKUP(B11,'API Data Dictionary'!C:F,4,FALSE)))</f>
        <v/>
      </c>
      <c r="G11" s="62" t="str">
        <f>IF(IF(B11="", "", VLOOKUP(B11,'API Data Dictionary'!C:G,5,FALSE))=0, "", IF(B11="", "", VLOOKUP(B11,'API Data Dictionary'!C:G,5,FALSE)))</f>
        <v>Returns true when successful call/connection</v>
      </c>
    </row>
    <row r="12" spans="1:7" x14ac:dyDescent="0.35">
      <c r="A12" s="64" t="s">
        <v>1377</v>
      </c>
      <c r="B12" s="62" t="str">
        <f t="shared" si="1"/>
        <v/>
      </c>
      <c r="C12" s="62"/>
      <c r="D12" s="62" t="str">
        <f>IF(B12="", "", VLOOKUP(B12,'API Data Dictionary'!C:D,2,FALSE))</f>
        <v/>
      </c>
      <c r="E12" s="62" t="str">
        <f>IF(IF(B12="", "", VLOOKUP(B12,'API Data Dictionary'!C:E,3,FALSE))=0, "", IF(B12="", "", VLOOKUP(B12,'API Data Dictionary'!C:E,3,FALSE)))</f>
        <v/>
      </c>
      <c r="F12" s="62" t="str">
        <f>IF(IF(B12="", "", VLOOKUP(B12,'API Data Dictionary'!C:F,4,FALSE))=0, "", IF(B12="", "", VLOOKUP(B12,'API Data Dictionary'!C:F,4,FALSE)))</f>
        <v/>
      </c>
      <c r="G12" s="62" t="str">
        <f>IF(IF(B12="", "", VLOOKUP(B12,'API Data Dictionary'!C:G,5,FALSE))=0, "", IF(B12="", "", VLOOKUP(B12,'API Data Dictionary'!C:G,5,FALSE)))</f>
        <v/>
      </c>
    </row>
    <row r="13" spans="1:7" x14ac:dyDescent="0.35">
      <c r="A13" s="64" t="s">
        <v>1725</v>
      </c>
      <c r="B13" s="62" t="str">
        <f t="shared" si="1"/>
        <v>agentCode</v>
      </c>
      <c r="C13" s="62" t="s">
        <v>68</v>
      </c>
      <c r="D13" s="62" t="str">
        <f>IF(B13="", "", VLOOKUP(B13,'API Data Dictionary'!C:D,2,FALSE))</f>
        <v>string</v>
      </c>
      <c r="E13" s="106" t="s">
        <v>1594</v>
      </c>
      <c r="F13" s="62" t="str">
        <f>IF(IF(B13="", "", VLOOKUP(B13,'API Data Dictionary'!C:F,4,FALSE))=0, "", IF(B13="", "", VLOOKUP(B13,'API Data Dictionary'!C:F,4,FALSE)))</f>
        <v/>
      </c>
      <c r="G13" s="62" t="str">
        <f>IF(IF(B13="", "", VLOOKUP(B13,'API Data Dictionary'!C:G,5,FALSE))=0, "", IF(B13="", "", VLOOKUP(B13,'API Data Dictionary'!C:G,5,FALSE)))</f>
        <v>AgentCode is the Unique Key provided to the Agent when onboarding as a Barbon Customer.
An AgentID may be linked to many Properties being managed by that Agent and Each property may be linked to 1 or more TenancyID's.</v>
      </c>
    </row>
    <row r="14" spans="1:7" x14ac:dyDescent="0.35">
      <c r="A14" s="64" t="s">
        <v>1659</v>
      </c>
      <c r="B14" s="62" t="str">
        <f t="shared" si="1"/>
        <v>propertyTenancyId</v>
      </c>
      <c r="C14" s="62" t="s">
        <v>68</v>
      </c>
      <c r="D14" s="62" t="str">
        <f>IF(B14="", "", VLOOKUP(B14,'API Data Dictionary'!C:D,2,FALSE))</f>
        <v>integer</v>
      </c>
      <c r="E14" s="106" t="str">
        <f>IF(IF(B14="", "", VLOOKUP(B14,'API Data Dictionary'!C:E,3,FALSE))=0, "", IF(B14="", "", VLOOKUP(B14,'API Data Dictionary'!C:E,3,FALSE)))</f>
        <v/>
      </c>
      <c r="F14" s="62" t="str">
        <f>IF(IF(B14="", "", VLOOKUP(B14,'API Data Dictionary'!C:F,4,FALSE))=0, "", IF(B14="", "", VLOOKUP(B14,'API Data Dictionary'!C:F,4,FALSE)))</f>
        <v/>
      </c>
      <c r="G14" s="62" t="str">
        <f>IF(IF(B14="", "", VLOOKUP(B14,'API Data Dictionary'!C:G,5,FALSE))=0, "", IF(B14="", "", VLOOKUP(B14,'API Data Dictionary'!C:G,5,FALSE)))</f>
        <v>The ID of the property tenancy</v>
      </c>
    </row>
    <row r="15" spans="1:7" x14ac:dyDescent="0.35">
      <c r="A15" s="64" t="s">
        <v>1736</v>
      </c>
      <c r="B15" s="62" t="str">
        <f t="shared" si="1"/>
        <v/>
      </c>
      <c r="C15" s="62" t="str">
        <f>IF(B15="", "", VLOOKUP(B15,'API Data Dictionary'!C:X,22,FALSE))</f>
        <v/>
      </c>
      <c r="D15" s="62" t="str">
        <f>IF(B15="", "", VLOOKUP(B15,'API Data Dictionary'!C:D,2,FALSE))</f>
        <v/>
      </c>
      <c r="E15" s="106" t="str">
        <f>IF(IF(B15="", "", VLOOKUP(B15,'API Data Dictionary'!C:E,3,FALSE))=0, "", IF(B15="", "", VLOOKUP(B15,'API Data Dictionary'!C:E,3,FALSE)))</f>
        <v/>
      </c>
      <c r="F15" s="62" t="str">
        <f>IF(IF(B15="", "", VLOOKUP(B15,'API Data Dictionary'!C:F,4,FALSE))=0, "", IF(B15="", "", VLOOKUP(B15,'API Data Dictionary'!C:F,4,FALSE)))</f>
        <v/>
      </c>
      <c r="G15" s="62" t="str">
        <f>IF(IF(B15="", "", VLOOKUP(B15,'API Data Dictionary'!C:G,5,FALSE))=0, "", IF(B15="", "", VLOOKUP(B15,'API Data Dictionary'!C:G,5,FALSE)))</f>
        <v/>
      </c>
    </row>
    <row r="16" spans="1:7" x14ac:dyDescent="0.35">
      <c r="A16" s="64" t="s">
        <v>1381</v>
      </c>
      <c r="B16" s="62" t="str">
        <f t="shared" ref="B16:B23" si="2">IF(OR(ISNUMBER(SEARCH("{", A16)),ISNUMBER(SEARCH("[", A16))), "", IFERROR(MID(A16, SEARCH("""", A16) +1, SEARCH("""", A16, SEARCH("""",A16) +1) - SEARCH("""", A16) -1), ""))</f>
        <v/>
      </c>
      <c r="C16" s="62" t="str">
        <f>IF(B16="", "", VLOOKUP(B16,'API Data Dictionary'!C:X,22,FALSE))</f>
        <v/>
      </c>
      <c r="D16" s="62" t="str">
        <f>IF(B16="", "", VLOOKUP(B16,'API Data Dictionary'!C:D,2,FALSE))</f>
        <v/>
      </c>
      <c r="E16" s="106" t="str">
        <f>IF(IF(B16="", "", VLOOKUP(B16,'API Data Dictionary'!C:E,3,FALSE))=0, "", IF(B16="", "", VLOOKUP(B16,'API Data Dictionary'!C:E,3,FALSE)))</f>
        <v/>
      </c>
      <c r="F16" s="62" t="str">
        <f>IF(IF(B16="", "", VLOOKUP(B16,'API Data Dictionary'!C:F,4,FALSE))=0, "", IF(B16="", "", VLOOKUP(B16,'API Data Dictionary'!C:F,4,FALSE)))</f>
        <v/>
      </c>
      <c r="G16" s="62" t="str">
        <f>IF(IF(B16="", "", VLOOKUP(B16,'API Data Dictionary'!C:G,5,FALSE))=0, "", IF(B16="", "", VLOOKUP(B16,'API Data Dictionary'!C:G,5,FALSE)))</f>
        <v/>
      </c>
    </row>
    <row r="17" spans="1:7" x14ac:dyDescent="0.35">
      <c r="A17" s="64" t="s">
        <v>1737</v>
      </c>
      <c r="B17" s="62" t="str">
        <f t="shared" si="2"/>
        <v>applicantID</v>
      </c>
      <c r="C17" s="62" t="s">
        <v>68</v>
      </c>
      <c r="D17" s="62" t="str">
        <f>IF(B17="", "", VLOOKUP(B17,'API Data Dictionary'!C:D,2,FALSE))</f>
        <v>integer</v>
      </c>
      <c r="E17" s="106" t="str">
        <f>IF(IF(B17="", "", VLOOKUP(B17,'API Data Dictionary'!C:E,3,FALSE))=0, "", IF(B17="", "", VLOOKUP(B17,'API Data Dictionary'!C:E,3,FALSE)))</f>
        <v/>
      </c>
      <c r="F17" s="62" t="str">
        <f>IF(IF(B17="", "", VLOOKUP(B17,'API Data Dictionary'!C:F,4,FALSE))=0, "", IF(B17="", "", VLOOKUP(B17,'API Data Dictionary'!C:F,4,FALSE)))</f>
        <v/>
      </c>
      <c r="G17" s="62" t="str">
        <f>IF(IF(B17="", "", VLOOKUP(B17,'API Data Dictionary'!C:G,5,FALSE))=0, "", IF(B17="", "", VLOOKUP(B17,'API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18" spans="1:7" x14ac:dyDescent="0.35">
      <c r="A18" s="64" t="s">
        <v>1595</v>
      </c>
      <c r="B18" s="62" t="str">
        <f t="shared" si="2"/>
        <v>applicantName</v>
      </c>
      <c r="C18" s="62" t="s">
        <v>68</v>
      </c>
      <c r="D18" s="62" t="s">
        <v>64</v>
      </c>
      <c r="E18" s="106" t="s">
        <v>1594</v>
      </c>
      <c r="F18" s="62"/>
      <c r="G18" s="62" t="s">
        <v>1386</v>
      </c>
    </row>
    <row r="19" spans="1:7" x14ac:dyDescent="0.35">
      <c r="A19" s="64" t="s">
        <v>1117</v>
      </c>
      <c r="B19" s="62" t="str">
        <f t="shared" si="2"/>
        <v/>
      </c>
      <c r="C19" s="62"/>
      <c r="D19" s="62" t="str">
        <f>IF(B19="", "", VLOOKUP(B19,'API Data Dictionary'!C:D,2,FALSE))</f>
        <v/>
      </c>
      <c r="E19" s="106" t="str">
        <f>IF(IF(B19="", "", VLOOKUP(B19,'API Data Dictionary'!C:E,3,FALSE))=0, "", IF(B19="", "", VLOOKUP(B19,'API Data Dictionary'!C:E,3,FALSE)))</f>
        <v/>
      </c>
      <c r="F19" s="62" t="str">
        <f>IF(IF(B19="", "", VLOOKUP(B19,'API Data Dictionary'!C:F,4,FALSE))=0, "", IF(B19="", "", VLOOKUP(B19,'API Data Dictionary'!C:F,4,FALSE)))</f>
        <v/>
      </c>
      <c r="G19" s="62" t="str">
        <f>IF(IF(B19="", "", VLOOKUP(B19,'API Data Dictionary'!C:G,5,FALSE))=0, "", IF(B19="", "", VLOOKUP(B19,'API Data Dictionary'!C:G,5,FALSE)))</f>
        <v/>
      </c>
    </row>
    <row r="20" spans="1:7" x14ac:dyDescent="0.35">
      <c r="A20" s="64" t="s">
        <v>1383</v>
      </c>
      <c r="B20" s="62" t="str">
        <f t="shared" si="2"/>
        <v/>
      </c>
      <c r="C20" s="62"/>
      <c r="D20" s="62" t="str">
        <f>IF(B20="", "", VLOOKUP(B20,'API Data Dictionary'!C:D,2,FALSE))</f>
        <v/>
      </c>
      <c r="E20" s="106" t="str">
        <f>IF(IF(B20="", "", VLOOKUP(B20,'API Data Dictionary'!C:E,3,FALSE))=0, "", IF(B20="", "", VLOOKUP(B20,'API Data Dictionary'!C:E,3,FALSE)))</f>
        <v/>
      </c>
      <c r="F20" s="62" t="str">
        <f>IF(IF(B20="", "", VLOOKUP(B20,'API Data Dictionary'!C:F,4,FALSE))=0, "", IF(B20="", "", VLOOKUP(B20,'API Data Dictionary'!C:F,4,FALSE)))</f>
        <v/>
      </c>
      <c r="G20" s="62" t="str">
        <f>IF(IF(B20="", "", VLOOKUP(B20,'API Data Dictionary'!C:G,5,FALSE))=0, "", IF(B20="", "", VLOOKUP(B20,'API Data Dictionary'!C:G,5,FALSE)))</f>
        <v/>
      </c>
    </row>
    <row r="21" spans="1:7" x14ac:dyDescent="0.35">
      <c r="A21" s="64" t="s">
        <v>1105</v>
      </c>
      <c r="B21" s="62" t="str">
        <f t="shared" si="2"/>
        <v/>
      </c>
      <c r="C21" s="62" t="str">
        <f>IF(B21="", "", VLOOKUP(B21,'API Data Dictionary'!C:X,22,FALSE))</f>
        <v/>
      </c>
      <c r="D21" s="62" t="str">
        <f>IF(B21="", "", VLOOKUP(B21,'API Data Dictionary'!C:D,2,FALSE))</f>
        <v/>
      </c>
      <c r="E21" s="106" t="str">
        <f>IF(IF(B21="", "", VLOOKUP(B21,'API Data Dictionary'!C:E,3,FALSE))=0, "", IF(B21="", "", VLOOKUP(B21,'API Data Dictionary'!C:E,3,FALSE)))</f>
        <v/>
      </c>
      <c r="F21" s="62" t="str">
        <f>IF(IF(B21="", "", VLOOKUP(B21,'API Data Dictionary'!C:F,4,FALSE))=0, "", IF(B21="", "", VLOOKUP(B21,'API Data Dictionary'!C:F,4,FALSE)))</f>
        <v/>
      </c>
      <c r="G21" s="62" t="str">
        <f>IF(IF(B21="", "", VLOOKUP(B21,'API Data Dictionary'!C:G,5,FALSE))=0, "", IF(B21="", "", VLOOKUP(B21,'API Data Dictionary'!C:G,5,FALSE)))</f>
        <v/>
      </c>
    </row>
    <row r="22" spans="1:7" x14ac:dyDescent="0.35">
      <c r="A22" s="64" t="s">
        <v>1545</v>
      </c>
      <c r="B22" s="62" t="str">
        <f t="shared" si="2"/>
        <v>message</v>
      </c>
      <c r="C22" s="62" t="s">
        <v>68</v>
      </c>
      <c r="D22" s="62" t="str">
        <f>IF(B22="", "", VLOOKUP(B22,'API Data Dictionary'!C:D,2,FALSE))</f>
        <v>string</v>
      </c>
      <c r="E22" s="106" t="s">
        <v>1594</v>
      </c>
      <c r="F22" s="62" t="str">
        <f>IF(IF(B22="", "", VLOOKUP(B22,'API Data Dictionary'!C:F,4,FALSE))=0, "", IF(B22="", "", VLOOKUP(B22,'API Data Dictionary'!C:F,4,FALSE)))</f>
        <v/>
      </c>
      <c r="G22" s="62" t="str">
        <f>IF(IF(B22="", "", VLOOKUP(B22,'API Data Dictionary'!C:G,5,FALSE))=0, "", IF(B22="", "", VLOOKUP(B22,'API Data Dictionary'!C:G,5,FALSE)))</f>
        <v>return value, null or success, unless there has been error</v>
      </c>
    </row>
    <row r="23" spans="1:7" x14ac:dyDescent="0.35">
      <c r="A23" s="64" t="s">
        <v>1120</v>
      </c>
      <c r="B23" s="62" t="str">
        <f t="shared" si="2"/>
        <v/>
      </c>
      <c r="C23" s="62"/>
      <c r="D23" s="62" t="str">
        <f>IF(B23="", "", VLOOKUP(B23,'API Data Dictionary'!C:D,2,FALSE))</f>
        <v/>
      </c>
      <c r="E23" s="62" t="str">
        <f>IF(IF(B23="", "", VLOOKUP(B23,'API Data Dictionary'!C:E,3,FALSE))=0, "", IF(B23="", "", VLOOKUP(B23,'API Data Dictionary'!C:E,3,FALSE)))</f>
        <v/>
      </c>
      <c r="F23" s="62" t="str">
        <f>IF(IF(B23="", "", VLOOKUP(B23,'API Data Dictionary'!C:F,4,FALSE))=0, "", IF(B23="", "", VLOOKUP(B23,'API Data Dictionary'!C:F,4,FALSE)))</f>
        <v/>
      </c>
      <c r="G23" s="62" t="str">
        <f>IF(IF(B23="", "", VLOOKUP(B23,'API Data Dictionary'!C:G,5,FALSE))=0, "", IF(B23="", "", VLOOKUP(B23,'API Data Dictionary'!C:G,5,FALSE)))</f>
        <v/>
      </c>
    </row>
    <row r="25" spans="1:7" x14ac:dyDescent="0.35">
      <c r="A25" s="219" t="s">
        <v>1625</v>
      </c>
      <c r="B25" s="220"/>
      <c r="C25" s="220"/>
      <c r="D25" s="220"/>
      <c r="E25" s="220"/>
      <c r="F25" s="220"/>
      <c r="G25" s="220"/>
    </row>
    <row r="26" spans="1:7" x14ac:dyDescent="0.35">
      <c r="A26" s="88" t="s">
        <v>1561</v>
      </c>
      <c r="B26" s="62" t="s">
        <v>1359</v>
      </c>
      <c r="C26" s="89" t="s">
        <v>1359</v>
      </c>
      <c r="D26" s="62" t="s">
        <v>64</v>
      </c>
      <c r="E26" s="89">
        <v>100</v>
      </c>
      <c r="F26" s="89"/>
      <c r="G26" s="89" t="s">
        <v>1562</v>
      </c>
    </row>
    <row r="28" spans="1:7" x14ac:dyDescent="0.35">
      <c r="A28" s="219" t="s">
        <v>1764</v>
      </c>
      <c r="B28" s="220"/>
      <c r="C28" s="220"/>
      <c r="D28" s="220"/>
      <c r="E28" s="220"/>
      <c r="F28" s="220"/>
      <c r="G28" s="220"/>
    </row>
    <row r="29" spans="1:7" x14ac:dyDescent="0.35">
      <c r="A29" s="88" t="s">
        <v>1763</v>
      </c>
      <c r="B29" s="62" t="s">
        <v>1359</v>
      </c>
      <c r="C29" s="89" t="s">
        <v>1359</v>
      </c>
      <c r="D29" s="62" t="s">
        <v>64</v>
      </c>
      <c r="E29" s="89">
        <v>100</v>
      </c>
      <c r="F29" s="89"/>
      <c r="G29" s="89" t="s">
        <v>1765</v>
      </c>
    </row>
    <row r="31" spans="1:7" x14ac:dyDescent="0.35">
      <c r="A31" s="220" t="s">
        <v>1747</v>
      </c>
      <c r="B31" s="220"/>
      <c r="C31" s="220"/>
      <c r="D31" s="220"/>
      <c r="E31" s="220"/>
      <c r="F31" s="220"/>
      <c r="G31" s="220"/>
    </row>
    <row r="32" spans="1:7" x14ac:dyDescent="0.35">
      <c r="A32" s="64" t="s">
        <v>1094</v>
      </c>
      <c r="B32" s="89"/>
      <c r="C32" s="89"/>
      <c r="D32" s="89"/>
      <c r="E32" s="89"/>
      <c r="F32" s="89"/>
      <c r="G32" s="89"/>
    </row>
    <row r="33" spans="1:7" x14ac:dyDescent="0.35">
      <c r="A33" s="64" t="s">
        <v>1574</v>
      </c>
      <c r="B33" s="89" t="str">
        <f t="shared" ref="B33:B34" si="3">IF(OR(ISNUMBER(SEARCH("{", A33)),ISNUMBER(SEARCH("[", A33))), "", IFERROR(MID(A33, SEARCH("""", A33) +1, SEARCH("""", A33, SEARCH("""",A33) +1) - SEARCH("""", A33) -1), ""))</f>
        <v>success</v>
      </c>
      <c r="C33" s="89" t="s">
        <v>68</v>
      </c>
      <c r="D33" s="89" t="str">
        <f>IF(B33="", "", VLOOKUP(B33,'API Data Dictionary'!C:D,2,FALSE))</f>
        <v>string - Boolean</v>
      </c>
      <c r="E33" s="89">
        <f>IF(IF(B33="", "", VLOOKUP(B33,'API Data Dictionary'!C:E,3,FALSE))=0, "", IF(B33="", "", VLOOKUP(B33,'API Data Dictionary'!C:E,3,FALSE)))</f>
        <v>100</v>
      </c>
      <c r="F33" s="89" t="str">
        <f>IF(IF(B33="", "", VLOOKUP(B33,'API Data Dictionary'!C:F,4,FALSE))=0, "", IF(B33="", "", VLOOKUP(B33,'API Data Dictionary'!C:F,4,FALSE)))</f>
        <v/>
      </c>
      <c r="G33" s="89" t="str">
        <f>IF(IF(B33="", "", VLOOKUP(B33,'API Data Dictionary'!C:G,5,FALSE))=0, "", IF(B33="", "", VLOOKUP(B33,'API Data Dictionary'!C:G,5,FALSE)))</f>
        <v>Returns true when successful call/connection</v>
      </c>
    </row>
    <row r="34" spans="1:7" x14ac:dyDescent="0.35">
      <c r="A34" s="64" t="s">
        <v>1377</v>
      </c>
      <c r="B34" s="89" t="str">
        <f t="shared" si="3"/>
        <v/>
      </c>
      <c r="C34" s="89" t="str">
        <f>IF(B34="", "", VLOOKUP(B34,'API Data Dictionary'!C:J,8,FALSE))</f>
        <v/>
      </c>
      <c r="D34" s="89" t="str">
        <f>IF(B34="", "", VLOOKUP(B34,'API Data Dictionary'!C:D,2,FALSE))</f>
        <v/>
      </c>
      <c r="E34" s="89" t="str">
        <f>IF(IF(B34="", "", VLOOKUP(B34,'API Data Dictionary'!C:E,3,FALSE))=0, "", IF(B34="", "", VLOOKUP(B34,'API Data Dictionary'!C:E,3,FALSE)))</f>
        <v/>
      </c>
      <c r="F34" s="89" t="str">
        <f>IF(IF(B34="", "", VLOOKUP(B34,'API Data Dictionary'!C:F,4,FALSE))=0, "", IF(B34="", "", VLOOKUP(B34,'API Data Dictionary'!C:F,4,FALSE)))</f>
        <v/>
      </c>
      <c r="G34" s="89" t="str">
        <f>IF(IF(B34="", "", VLOOKUP(B34,'API Data Dictionary'!C:G,5,FALSE))=0, "", IF(B34="", "", VLOOKUP(B34,'API Data Dictionary'!C:G,5,FALSE)))</f>
        <v/>
      </c>
    </row>
    <row r="35" spans="1:7" x14ac:dyDescent="0.35">
      <c r="A35" s="64" t="s">
        <v>1564</v>
      </c>
      <c r="B35" s="89" t="s">
        <v>1589</v>
      </c>
      <c r="C35" s="89" t="s">
        <v>68</v>
      </c>
      <c r="D35" s="89" t="s">
        <v>1593</v>
      </c>
      <c r="E35" s="89"/>
      <c r="F35" s="89"/>
      <c r="G35" s="89"/>
    </row>
    <row r="36" spans="1:7" x14ac:dyDescent="0.35">
      <c r="A36" s="64" t="s">
        <v>1573</v>
      </c>
      <c r="B36" s="89" t="s">
        <v>1590</v>
      </c>
      <c r="C36" s="89" t="s">
        <v>68</v>
      </c>
      <c r="D36" s="89" t="s">
        <v>64</v>
      </c>
      <c r="E36" s="109" t="s">
        <v>1594</v>
      </c>
      <c r="F36" s="89"/>
      <c r="G36" s="89"/>
    </row>
    <row r="37" spans="1:7" x14ac:dyDescent="0.35">
      <c r="A37" s="64" t="s">
        <v>1740</v>
      </c>
      <c r="B37" s="89" t="s">
        <v>1591</v>
      </c>
      <c r="C37" s="89" t="s">
        <v>68</v>
      </c>
      <c r="D37" s="89" t="s">
        <v>64</v>
      </c>
      <c r="E37" s="109" t="s">
        <v>1594</v>
      </c>
      <c r="F37" s="89"/>
      <c r="G37" s="89"/>
    </row>
    <row r="38" spans="1:7" x14ac:dyDescent="0.35">
      <c r="A38" s="64" t="s">
        <v>1566</v>
      </c>
      <c r="B38" s="89"/>
      <c r="C38" s="89"/>
      <c r="D38" s="89"/>
      <c r="E38" s="109"/>
      <c r="F38" s="89"/>
      <c r="G38" s="89"/>
    </row>
    <row r="39" spans="1:7" x14ac:dyDescent="0.35">
      <c r="A39" s="64" t="s">
        <v>1413</v>
      </c>
      <c r="B39" s="89"/>
      <c r="C39" s="89"/>
      <c r="D39" s="89"/>
      <c r="E39" s="109"/>
      <c r="F39" s="89" t="str">
        <f>IF(IF(B39="", "", VLOOKUP(B39,'API Data Dictionary'!C:F,4,FALSE))=0, "", IF(B39="", "", VLOOKUP(B39,'API Data Dictionary'!C:F,4,FALSE)))</f>
        <v/>
      </c>
      <c r="G39" s="89"/>
    </row>
    <row r="40" spans="1:7" x14ac:dyDescent="0.35">
      <c r="A40" s="64" t="s">
        <v>1576</v>
      </c>
      <c r="B40" s="89" t="s">
        <v>1579</v>
      </c>
      <c r="C40" s="89" t="s">
        <v>68</v>
      </c>
      <c r="D40" s="89" t="s">
        <v>64</v>
      </c>
      <c r="E40" s="109" t="s">
        <v>1594</v>
      </c>
      <c r="F40" s="89"/>
      <c r="G40" s="89"/>
    </row>
    <row r="41" spans="1:7" x14ac:dyDescent="0.35">
      <c r="A41" s="64" t="s">
        <v>1577</v>
      </c>
      <c r="B41" s="89" t="s">
        <v>1580</v>
      </c>
      <c r="C41" s="89" t="s">
        <v>68</v>
      </c>
      <c r="D41" s="89" t="s">
        <v>64</v>
      </c>
      <c r="E41" s="109" t="s">
        <v>1594</v>
      </c>
      <c r="F41" s="89"/>
      <c r="G41" s="89"/>
    </row>
    <row r="42" spans="1:7" x14ac:dyDescent="0.35">
      <c r="A42" s="64" t="s">
        <v>1105</v>
      </c>
      <c r="B42" s="89"/>
      <c r="C42" s="89"/>
      <c r="D42" s="89"/>
      <c r="E42" s="109"/>
      <c r="F42" s="89"/>
      <c r="G42" s="89"/>
    </row>
    <row r="43" spans="1:7" x14ac:dyDescent="0.35">
      <c r="A43" s="64" t="s">
        <v>1578</v>
      </c>
      <c r="B43" s="89" t="s">
        <v>1592</v>
      </c>
      <c r="C43" s="89" t="s">
        <v>68</v>
      </c>
      <c r="D43" s="89" t="s">
        <v>64</v>
      </c>
      <c r="E43" s="109" t="s">
        <v>1594</v>
      </c>
      <c r="F43" s="89"/>
      <c r="G43" s="89"/>
    </row>
    <row r="44" spans="1:7" x14ac:dyDescent="0.35">
      <c r="A44" s="64" t="s">
        <v>1120</v>
      </c>
      <c r="B44" s="89"/>
      <c r="C44" s="89"/>
      <c r="D44" s="89"/>
      <c r="E44" s="89"/>
      <c r="F44" s="89"/>
      <c r="G44" s="89"/>
    </row>
    <row r="46" spans="1:7" x14ac:dyDescent="0.35">
      <c r="A46" s="220" t="s">
        <v>1598</v>
      </c>
      <c r="B46" s="220"/>
      <c r="C46" s="220"/>
      <c r="D46" s="220"/>
      <c r="E46" s="220"/>
      <c r="F46" s="220"/>
      <c r="G46" s="220"/>
    </row>
    <row r="47" spans="1:7" x14ac:dyDescent="0.35">
      <c r="A47" s="110" t="s">
        <v>1094</v>
      </c>
      <c r="B47" s="89" t="str">
        <f t="shared" ref="B47:B51" si="4">IF(OR(ISNUMBER(SEARCH("{", A47)),ISNUMBER(SEARCH("[", A47))), "", IFERROR(MID(A47, SEARCH("""", A47) +1, SEARCH("""", A47, SEARCH("""",A47) +1) - SEARCH("""", A47) -1), ""))</f>
        <v/>
      </c>
      <c r="C47" s="89" t="str">
        <f>IF(B47="", "", VLOOKUP(B47,'API Data Dictionary'!C:J,8,FALSE))</f>
        <v/>
      </c>
      <c r="D47" s="89" t="str">
        <f>IF(B47="", "", VLOOKUP(B47,'API Data Dictionary'!C:D,2,FALSE))</f>
        <v/>
      </c>
      <c r="E47" s="89" t="str">
        <f>IF(IF(B47="", "", VLOOKUP(B47,'API Data Dictionary'!C:E,3,FALSE))=0, "", IF(B47="", "", VLOOKUP(B47,'API Data Dictionary'!C:E,3,FALSE)))</f>
        <v/>
      </c>
      <c r="F47" s="89" t="str">
        <f>IF(IF(B47="", "", VLOOKUP(B47,'API Data Dictionary'!C:F,4,FALSE))=0, "", IF(B47="", "", VLOOKUP(B47,'API Data Dictionary'!C:F,4,FALSE)))</f>
        <v/>
      </c>
      <c r="G47" s="89" t="str">
        <f>IF(IF(B47="", "", VLOOKUP(B47,'API Data Dictionary'!C:G,5,FALSE))=0, "", IF(B47="", "", VLOOKUP(B47,'API Data Dictionary'!C:G,5,FALSE)))</f>
        <v/>
      </c>
    </row>
    <row r="48" spans="1:7" x14ac:dyDescent="0.35">
      <c r="A48" s="110" t="s">
        <v>1567</v>
      </c>
      <c r="B48" s="89" t="str">
        <f t="shared" si="4"/>
        <v>success</v>
      </c>
      <c r="C48" s="89" t="s">
        <v>68</v>
      </c>
      <c r="D48" s="89" t="str">
        <f>IF(B48="", "", VLOOKUP(B48,'API Data Dictionary'!C:D,2,FALSE))</f>
        <v>string - Boolean</v>
      </c>
      <c r="E48" s="89">
        <f>IF(IF(B48="", "", VLOOKUP(B48,'API Data Dictionary'!C:E,3,FALSE))=0, "", IF(B48="", "", VLOOKUP(B48,'API Data Dictionary'!C:E,3,FALSE)))</f>
        <v>100</v>
      </c>
      <c r="F48" s="89" t="str">
        <f>IF(IF(B48="", "", VLOOKUP(B48,'API Data Dictionary'!C:F,4,FALSE))=0, "", IF(B48="", "", VLOOKUP(B48,'API Data Dictionary'!C:F,4,FALSE)))</f>
        <v/>
      </c>
      <c r="G48" s="89" t="str">
        <f>IF(IF(B48="", "", VLOOKUP(B48,'API Data Dictionary'!C:G,5,FALSE))=0, "", IF(B48="", "", VLOOKUP(B48,'API Data Dictionary'!C:G,5,FALSE)))</f>
        <v>Returns true when successful call/connection</v>
      </c>
    </row>
    <row r="49" spans="1:7" x14ac:dyDescent="0.35">
      <c r="A49" s="110" t="s">
        <v>1596</v>
      </c>
      <c r="B49" s="89" t="str">
        <f t="shared" si="4"/>
        <v>payload</v>
      </c>
      <c r="C49" s="89" t="s">
        <v>68</v>
      </c>
      <c r="D49" s="89" t="str">
        <f>IF(B49="", "", VLOOKUP(B49,'API Data Dictionary'!C:D,2,FALSE))</f>
        <v>string</v>
      </c>
      <c r="E49" s="89">
        <f>IF(IF(B49="", "", VLOOKUP(B49,'API Data Dictionary'!C:E,3,FALSE))=0, "", IF(B49="", "", VLOOKUP(B49,'API Data Dictionary'!C:E,3,FALSE)))</f>
        <v>100</v>
      </c>
      <c r="F49" s="89" t="str">
        <f>IF(IF(B49="", "", VLOOKUP(B49,'API Data Dictionary'!C:F,4,FALSE))=0, "", IF(B49="", "", VLOOKUP(B49,'API Data Dictionary'!C:F,4,FALSE)))</f>
        <v/>
      </c>
      <c r="G49" s="89" t="str">
        <f>IF(IF(B49="", "", VLOOKUP(B49,'API Data Dictionary'!C:G,5,FALSE))=0, "", IF(B49="", "", VLOOKUP(B49,'API Data Dictionary'!C:G,5,FALSE)))</f>
        <v>Returns healthy when connection has worked properly</v>
      </c>
    </row>
    <row r="50" spans="1:7" x14ac:dyDescent="0.35">
      <c r="A50" s="110" t="s">
        <v>1597</v>
      </c>
      <c r="B50" s="89" t="str">
        <f t="shared" si="4"/>
        <v>message</v>
      </c>
      <c r="C50" s="89" t="s">
        <v>68</v>
      </c>
      <c r="D50" s="89" t="str">
        <f>IF(B50="", "", VLOOKUP(B50,'API Data Dictionary'!C:D,2,FALSE))</f>
        <v>string</v>
      </c>
      <c r="E50" s="89">
        <f>IF(IF(B50="", "", VLOOKUP(B50,'API Data Dictionary'!C:E,3,FALSE))=0, "", IF(B50="", "", VLOOKUP(B50,'API Data Dictionary'!C:E,3,FALSE)))</f>
        <v>100</v>
      </c>
      <c r="F50" s="89" t="str">
        <f>IF(IF(B50="", "", VLOOKUP(B50,'API Data Dictionary'!C:F,4,FALSE))=0, "", IF(B50="", "", VLOOKUP(B50,'API Data Dictionary'!C:F,4,FALSE)))</f>
        <v/>
      </c>
      <c r="G50" s="89" t="str">
        <f>IF(IF(B50="", "", VLOOKUP(B50,'API Data Dictionary'!C:G,5,FALSE))=0, "", IF(B50="", "", VLOOKUP(B50,'API Data Dictionary'!C:G,5,FALSE)))</f>
        <v>return value, null or success, unless there has been error</v>
      </c>
    </row>
    <row r="51" spans="1:7" x14ac:dyDescent="0.35">
      <c r="A51" s="110" t="s">
        <v>1120</v>
      </c>
      <c r="B51" s="89" t="str">
        <f t="shared" si="4"/>
        <v/>
      </c>
      <c r="C51" s="89" t="str">
        <f>IF(B51="", "", VLOOKUP(B51,'API Data Dictionary'!C:J,8,FALSE))</f>
        <v/>
      </c>
      <c r="D51" s="89" t="str">
        <f>IF(B51="", "", VLOOKUP(B51,'API Data Dictionary'!C:D,2,FALSE))</f>
        <v/>
      </c>
      <c r="E51" s="89" t="str">
        <f>IF(IF(B51="", "", VLOOKUP(B51,'API Data Dictionary'!C:E,3,FALSE))=0, "", IF(B51="", "", VLOOKUP(B51,'API Data Dictionary'!C:E,3,FALSE)))</f>
        <v/>
      </c>
      <c r="F51" s="89" t="str">
        <f>IF(IF(B51="", "", VLOOKUP(B51,'API Data Dictionary'!C:F,4,FALSE))=0, "", IF(B51="", "", VLOOKUP(B51,'API Data Dictionary'!C:F,4,FALSE)))</f>
        <v/>
      </c>
      <c r="G51" s="89" t="str">
        <f>IF(IF(B51="", "", VLOOKUP(B51,'API Data Dictionary'!C:G,5,FALSE))=0, "", IF(B51="", "", VLOOKUP(B51,'API Data Dictionary'!C:G,5,FALSE)))</f>
        <v/>
      </c>
    </row>
  </sheetData>
  <mergeCells count="6">
    <mergeCell ref="A2:G2"/>
    <mergeCell ref="A9:G9"/>
    <mergeCell ref="A31:G31"/>
    <mergeCell ref="A46:G46"/>
    <mergeCell ref="A25:G25"/>
    <mergeCell ref="A28:G28"/>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5EACA-40AC-4218-9E99-9F9A1C3585F2}">
  <sheetPr>
    <tabColor rgb="FF4472C4"/>
  </sheetPr>
  <dimension ref="A1:G46"/>
  <sheetViews>
    <sheetView topLeftCell="A17" zoomScaleNormal="100" workbookViewId="0"/>
  </sheetViews>
  <sheetFormatPr defaultRowHeight="14.5" x14ac:dyDescent="0.35"/>
  <cols>
    <col min="1" max="1" width="56.54296875" bestFit="1" customWidth="1"/>
    <col min="2" max="2" width="22.1796875" bestFit="1" customWidth="1"/>
    <col min="3" max="3" width="16" bestFit="1" customWidth="1"/>
    <col min="4" max="4" width="27.36328125" bestFit="1" customWidth="1"/>
    <col min="5" max="5" width="10.54296875" customWidth="1"/>
    <col min="6" max="6" width="14.453125" customWidth="1"/>
    <col min="7" max="7" width="222.1796875" bestFit="1" customWidth="1"/>
  </cols>
  <sheetData>
    <row r="1" spans="1:7" ht="43.5" x14ac:dyDescent="0.35">
      <c r="A1" s="63" t="s">
        <v>1288</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B7" si="0">IF(OR(ISNUMBER(SEARCH("{", A3)),ISNUMBER(SEARCH("[", A3))), "", IFERROR(MID(A3, SEARCH("""", A3) +1, SEARCH("""", A3, SEARCH("""",A3) +1) - SEARCH("""", A3) -1), ""))</f>
        <v/>
      </c>
      <c r="C3" s="62" t="str">
        <f>IF(B3="", "", VLOOKUP(B3,'API Data Dictionary'!C:X,22,FALSE))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1292</v>
      </c>
      <c r="B4" s="62" t="str">
        <f t="shared" si="0"/>
        <v>agentCode</v>
      </c>
      <c r="C4" s="62" t="s">
        <v>68</v>
      </c>
      <c r="D4" s="62" t="str">
        <f>IF(B4="", "", VLOOKUP(B4,'API Data Dictionary'!C:D,2,FALSE))</f>
        <v>string</v>
      </c>
      <c r="E4" s="62">
        <f>IF(IF(B4="", "", VLOOKUP(B4,'API Data Dictionary'!C:E,3,FALSE))=0, "", IF(B4="", "", VLOOKUP(B4,'API Data Dictionary'!C:E,3,FALSE)))</f>
        <v>50</v>
      </c>
      <c r="F4" s="62" t="str">
        <f>IF(IF(B4="", "", VLOOKUP(B4,'API Data Dictionary'!C:F,4,FALSE))=0, "", IF(B4="", "", VLOOKUP(B4,'API Data Dictionary'!C:F,4,FALSE)))</f>
        <v/>
      </c>
      <c r="G4" s="62"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x14ac:dyDescent="0.35">
      <c r="A5" s="64" t="s">
        <v>1739</v>
      </c>
      <c r="B5" s="62" t="str">
        <f t="shared" si="0"/>
        <v>propertyTenancyId</v>
      </c>
      <c r="C5" s="62" t="s">
        <v>68</v>
      </c>
      <c r="D5" s="62" t="str">
        <f>IF(B5="", "", VLOOKUP(B5,'API Data Dictionary'!C:D,2,FALSE))</f>
        <v>integer</v>
      </c>
      <c r="E5" s="62" t="str">
        <f>IF(IF(B5="", "", VLOOKUP(B5,'API Data Dictionary'!C:E,3,FALSE))=0, "", IF(B5="", "", VLOOKUP(B5,'API Data Dictionary'!C:E,3,FALSE)))</f>
        <v/>
      </c>
      <c r="F5" s="62" t="str">
        <f>IF(IF(B5="", "", VLOOKUP(B5,'API Data Dictionary'!C:F,4,FALSE))=0, "", IF(B5="", "", VLOOKUP(B5,'API Data Dictionary'!C:F,4,FALSE)))</f>
        <v/>
      </c>
      <c r="G5" s="62" t="str">
        <f>IF(IF(B5="", "", VLOOKUP(B5,'API Data Dictionary'!C:G,5,FALSE))=0, "", IF(B5="", "", VLOOKUP(B5,'API Data Dictionary'!C:G,5,FALSE)))</f>
        <v>The ID of the property tenancy</v>
      </c>
    </row>
    <row r="6" spans="1:7" x14ac:dyDescent="0.35">
      <c r="A6" s="64" t="s">
        <v>1535</v>
      </c>
      <c r="B6" s="62" t="str">
        <f t="shared" si="0"/>
        <v>cancellationReason</v>
      </c>
      <c r="C6" s="62" t="s">
        <v>68</v>
      </c>
      <c r="D6" s="62" t="s">
        <v>1537</v>
      </c>
      <c r="E6" s="62"/>
      <c r="F6" s="62"/>
      <c r="G6" s="62" t="s">
        <v>1735</v>
      </c>
    </row>
    <row r="7" spans="1:7" x14ac:dyDescent="0.35">
      <c r="A7" s="64" t="s">
        <v>1120</v>
      </c>
      <c r="B7" s="62" t="str">
        <f t="shared" si="0"/>
        <v/>
      </c>
      <c r="C7" s="62" t="str">
        <f>IF(B7="", "", VLOOKUP(B7,'API Data Dictionary'!C:X,22,FALSE))</f>
        <v/>
      </c>
      <c r="D7" s="62" t="str">
        <f>IF(B7="", "", VLOOKUP(B7,'API Data Dictionary'!C:D,2,FALSE))</f>
        <v/>
      </c>
      <c r="E7" s="62" t="str">
        <f>IF(IF(B7="", "", VLOOKUP(B7,'API Data Dictionary'!C:E,3,FALSE))=0, "", IF(B7="", "", VLOOKUP(B7,'API Data Dictionary'!C:E,3,FALSE)))</f>
        <v/>
      </c>
      <c r="F7" s="62" t="str">
        <f>IF(IF(B7="", "", VLOOKUP(B7,'API Data Dictionary'!C:F,4,FALSE))=0, "", IF(B7="", "", VLOOKUP(B7,'API Data Dictionary'!C:F,4,FALSE)))</f>
        <v/>
      </c>
      <c r="G7" s="62" t="str">
        <f>IF(IF(B7="", "", VLOOKUP(B7,'API Data Dictionary'!C:G,5,FALSE))=0, "", IF(B7="", "", VLOOKUP(B7,'API Data Dictionary'!C:G,5,FALSE)))</f>
        <v/>
      </c>
    </row>
    <row r="9" spans="1:7" x14ac:dyDescent="0.35">
      <c r="A9" s="222" t="s">
        <v>1751</v>
      </c>
      <c r="B9" s="222"/>
      <c r="C9" s="222"/>
      <c r="D9" s="222"/>
      <c r="E9" s="222"/>
      <c r="F9" s="222"/>
      <c r="G9" s="222"/>
    </row>
    <row r="10" spans="1:7" x14ac:dyDescent="0.35">
      <c r="A10" s="64" t="s">
        <v>1094</v>
      </c>
      <c r="B10" s="62" t="str">
        <f t="shared" ref="B10:B14" si="1">IF(OR(ISNUMBER(SEARCH("{", A10)),ISNUMBER(SEARCH("[", A10))), "", IFERROR(MID(A10, SEARCH("""", A10) +1, SEARCH("""", A10, SEARCH("""",A10) +1) - SEARCH("""", A10) -1), ""))</f>
        <v/>
      </c>
      <c r="C10" s="62" t="str">
        <f>IF(B10="", "", VLOOKUP(B10,'API Data Dictionary'!C:X,22,FALSE))</f>
        <v/>
      </c>
      <c r="D10" s="62" t="str">
        <f>IF(B10="", "", VLOOKUP(B10,'API Data Dictionary'!C:D,2,FALSE))</f>
        <v/>
      </c>
      <c r="E10" s="62" t="str">
        <f>IF(IF(B10="", "", VLOOKUP(B10,'API Data Dictionary'!C:E,3,FALSE))=0, "", IF(B10="", "", VLOOKUP(B10,'API Data Dictionary'!C:E,3,FALSE)))</f>
        <v/>
      </c>
      <c r="F10" s="62" t="str">
        <f>IF(IF(B10="", "", VLOOKUP(B10,'API Data Dictionary'!C:F,4,FALSE))=0, "", IF(B10="", "", VLOOKUP(B10,'API Data Dictionary'!C:F,4,FALSE)))</f>
        <v/>
      </c>
      <c r="G10" s="62" t="str">
        <f>IF(IF(B10="", "", VLOOKUP(B10,'API Data Dictionary'!C:G,5,FALSE))=0, "", IF(B10="", "", VLOOKUP(B10,'API Data Dictionary'!C:G,5,FALSE)))</f>
        <v/>
      </c>
    </row>
    <row r="11" spans="1:7" x14ac:dyDescent="0.35">
      <c r="A11" s="64" t="s">
        <v>1350</v>
      </c>
      <c r="B11" s="62" t="str">
        <f t="shared" si="1"/>
        <v>success</v>
      </c>
      <c r="C11" s="62" t="s">
        <v>68</v>
      </c>
      <c r="D11" s="62" t="str">
        <f>IF(B11="", "", VLOOKUP(B11,'API Data Dictionary'!C:D,2,FALSE))</f>
        <v>string - Boolean</v>
      </c>
      <c r="E11" s="62">
        <f>IF(IF(B11="", "", VLOOKUP(B11,'API Data Dictionary'!C:E,3,FALSE))=0, "", IF(B11="", "", VLOOKUP(B11,'API Data Dictionary'!C:E,3,FALSE)))</f>
        <v>100</v>
      </c>
      <c r="F11" s="62" t="str">
        <f>IF(IF(B11="", "", VLOOKUP(B11,'API Data Dictionary'!C:F,4,FALSE))=0, "", IF(B11="", "", VLOOKUP(B11,'API Data Dictionary'!C:F,4,FALSE)))</f>
        <v/>
      </c>
      <c r="G11" s="62" t="str">
        <f>IF(IF(B11="", "", VLOOKUP(B11,'API Data Dictionary'!C:G,5,FALSE))=0, "", IF(B11="", "", VLOOKUP(B11,'API Data Dictionary'!C:G,5,FALSE)))</f>
        <v>Returns true when successful call/connection</v>
      </c>
    </row>
    <row r="12" spans="1:7" x14ac:dyDescent="0.35">
      <c r="A12" s="64" t="s">
        <v>1377</v>
      </c>
      <c r="B12" s="62" t="str">
        <f t="shared" si="1"/>
        <v/>
      </c>
      <c r="C12" s="62"/>
      <c r="D12" s="62" t="str">
        <f>IF(B12="", "", VLOOKUP(B12,'API Data Dictionary'!C:D,2,FALSE))</f>
        <v/>
      </c>
      <c r="E12" s="62" t="str">
        <f>IF(IF(B12="", "", VLOOKUP(B12,'API Data Dictionary'!C:E,3,FALSE))=0, "", IF(B12="", "", VLOOKUP(B12,'API Data Dictionary'!C:E,3,FALSE)))</f>
        <v/>
      </c>
      <c r="F12" s="62" t="str">
        <f>IF(IF(B12="", "", VLOOKUP(B12,'API Data Dictionary'!C:F,4,FALSE))=0, "", IF(B12="", "", VLOOKUP(B12,'API Data Dictionary'!C:F,4,FALSE)))</f>
        <v/>
      </c>
      <c r="G12" s="62" t="str">
        <f>IF(IF(B12="", "", VLOOKUP(B12,'API Data Dictionary'!C:G,5,FALSE))=0, "", IF(B12="", "", VLOOKUP(B12,'API Data Dictionary'!C:G,5,FALSE)))</f>
        <v/>
      </c>
    </row>
    <row r="13" spans="1:7" x14ac:dyDescent="0.35">
      <c r="A13" s="64" t="s">
        <v>1726</v>
      </c>
      <c r="B13" s="62" t="str">
        <f t="shared" si="1"/>
        <v>agentCode</v>
      </c>
      <c r="C13" s="62" t="s">
        <v>68</v>
      </c>
      <c r="D13" s="62" t="str">
        <f>IF(B13="", "", VLOOKUP(B13,'API Data Dictionary'!C:D,2,FALSE))</f>
        <v>string</v>
      </c>
      <c r="E13" s="62">
        <f>IF(IF(B13="", "", VLOOKUP(B13,'API Data Dictionary'!C:E,3,FALSE))=0, "", IF(B13="", "", VLOOKUP(B13,'API Data Dictionary'!C:E,3,FALSE)))</f>
        <v>50</v>
      </c>
      <c r="F13" s="62" t="str">
        <f>IF(IF(B13="", "", VLOOKUP(B13,'API Data Dictionary'!C:F,4,FALSE))=0, "", IF(B13="", "", VLOOKUP(B13,'API Data Dictionary'!C:F,4,FALSE)))</f>
        <v/>
      </c>
      <c r="G13" s="62" t="str">
        <f>IF(IF(B13="", "", VLOOKUP(B13,'API Data Dictionary'!C:G,5,FALSE))=0, "", IF(B13="", "", VLOOKUP(B13,'API Data Dictionary'!C:G,5,FALSE)))</f>
        <v>AgentCode is the Unique Key provided to the Agent when onboarding as a Barbon Customer.
An AgentID may be linked to many Properties being managed by that Agent and Each property may be linked to 1 or more TenancyID's.</v>
      </c>
    </row>
    <row r="14" spans="1:7" x14ac:dyDescent="0.35">
      <c r="A14" s="64" t="s">
        <v>1659</v>
      </c>
      <c r="B14" s="62" t="str">
        <f t="shared" si="1"/>
        <v>propertyTenancyId</v>
      </c>
      <c r="C14" s="62" t="s">
        <v>68</v>
      </c>
      <c r="D14" s="62" t="str">
        <f>IF(B14="", "", VLOOKUP(B14,'API Data Dictionary'!C:D,2,FALSE))</f>
        <v>integer</v>
      </c>
      <c r="E14" s="62" t="str">
        <f>IF(IF(B14="", "", VLOOKUP(B14,'API Data Dictionary'!C:E,3,FALSE))=0, "", IF(B14="", "", VLOOKUP(B14,'API Data Dictionary'!C:E,3,FALSE)))</f>
        <v/>
      </c>
      <c r="F14" s="62" t="str">
        <f>IF(IF(B14="", "", VLOOKUP(B14,'API Data Dictionary'!C:F,4,FALSE))=0, "", IF(B14="", "", VLOOKUP(B14,'API Data Dictionary'!C:F,4,FALSE)))</f>
        <v/>
      </c>
      <c r="G14" s="62" t="str">
        <f>IF(IF(B14="", "", VLOOKUP(B14,'API Data Dictionary'!C:G,5,FALSE))=0, "", IF(B14="", "", VLOOKUP(B14,'API Data Dictionary'!C:G,5,FALSE)))</f>
        <v>The ID of the property tenancy</v>
      </c>
    </row>
    <row r="15" spans="1:7" x14ac:dyDescent="0.35">
      <c r="A15" s="64" t="s">
        <v>1732</v>
      </c>
      <c r="B15" s="62" t="s">
        <v>1733</v>
      </c>
      <c r="C15" s="62" t="s">
        <v>68</v>
      </c>
      <c r="D15" s="62" t="s">
        <v>1593</v>
      </c>
      <c r="E15" s="62"/>
      <c r="F15" s="62"/>
      <c r="G15" s="62" t="s">
        <v>1734</v>
      </c>
    </row>
    <row r="16" spans="1:7" x14ac:dyDescent="0.35">
      <c r="A16" s="64" t="s">
        <v>1105</v>
      </c>
      <c r="B16" s="62" t="str">
        <f t="shared" ref="B16:B18" si="2">IF(OR(ISNUMBER(SEARCH("{", A16)),ISNUMBER(SEARCH("[", A16))), "", IFERROR(MID(A16, SEARCH("""", A16) +1, SEARCH("""", A16, SEARCH("""",A16) +1) - SEARCH("""", A16) -1), ""))</f>
        <v/>
      </c>
      <c r="C16" s="62" t="str">
        <f>IF(B16="", "", VLOOKUP(B16,'API Data Dictionary'!C:X,22,FALSE))</f>
        <v/>
      </c>
      <c r="D16" s="62" t="str">
        <f>IF(B16="", "", VLOOKUP(B16,'API Data Dictionary'!C:D,2,FALSE))</f>
        <v/>
      </c>
      <c r="E16" s="62" t="str">
        <f>IF(IF(B16="", "", VLOOKUP(B16,'API Data Dictionary'!C:E,3,FALSE))=0, "", IF(B16="", "", VLOOKUP(B16,'API Data Dictionary'!C:E,3,FALSE)))</f>
        <v/>
      </c>
      <c r="F16" s="62" t="str">
        <f>IF(IF(B16="", "", VLOOKUP(B16,'API Data Dictionary'!C:F,4,FALSE))=0, "", IF(B16="", "", VLOOKUP(B16,'API Data Dictionary'!C:F,4,FALSE)))</f>
        <v/>
      </c>
      <c r="G16" s="62" t="str">
        <f>IF(IF(B16="", "", VLOOKUP(B16,'API Data Dictionary'!C:G,5,FALSE))=0, "", IF(B16="", "", VLOOKUP(B16,'API Data Dictionary'!C:G,5,FALSE)))</f>
        <v/>
      </c>
    </row>
    <row r="17" spans="1:7" x14ac:dyDescent="0.35">
      <c r="A17" s="64" t="s">
        <v>1728</v>
      </c>
      <c r="B17" s="62" t="str">
        <f t="shared" si="2"/>
        <v>message</v>
      </c>
      <c r="C17" s="62" t="s">
        <v>68</v>
      </c>
      <c r="D17" s="62" t="str">
        <f>IF(B17="", "", VLOOKUP(B17,'API Data Dictionary'!C:D,2,FALSE))</f>
        <v>string</v>
      </c>
      <c r="E17" s="62">
        <f>IF(IF(B17="", "", VLOOKUP(B17,'API Data Dictionary'!C:E,3,FALSE))=0, "", IF(B17="", "", VLOOKUP(B17,'API Data Dictionary'!C:E,3,FALSE)))</f>
        <v>100</v>
      </c>
      <c r="F17" s="62" t="str">
        <f>IF(IF(B17="", "", VLOOKUP(B17,'API Data Dictionary'!C:F,4,FALSE))=0, "", IF(B17="", "", VLOOKUP(B17,'API Data Dictionary'!C:F,4,FALSE)))</f>
        <v/>
      </c>
      <c r="G17" s="62" t="str">
        <f>IF(IF(B17="", "", VLOOKUP(B17,'API Data Dictionary'!C:G,5,FALSE))=0, "", IF(B17="", "", VLOOKUP(B17,'API Data Dictionary'!C:G,5,FALSE)))</f>
        <v>return value, null or success, unless there has been error</v>
      </c>
    </row>
    <row r="18" spans="1:7" x14ac:dyDescent="0.35">
      <c r="A18" s="64" t="s">
        <v>1120</v>
      </c>
      <c r="B18" s="62" t="str">
        <f t="shared" si="2"/>
        <v/>
      </c>
      <c r="C18" s="62" t="str">
        <f>IF(B18="", "", VLOOKUP(B18,'API Data Dictionary'!C:X,22,FALSE))</f>
        <v/>
      </c>
      <c r="D18" s="62" t="str">
        <f>IF(B18="", "", VLOOKUP(B18,'API Data Dictionary'!C:D,2,FALSE))</f>
        <v/>
      </c>
      <c r="E18" s="62" t="str">
        <f>IF(IF(B18="", "", VLOOKUP(B18,'API Data Dictionary'!C:E,3,FALSE))=0, "", IF(B18="", "", VLOOKUP(B18,'API Data Dictionary'!C:E,3,FALSE)))</f>
        <v/>
      </c>
      <c r="F18" s="62" t="str">
        <f>IF(IF(B18="", "", VLOOKUP(B18,'API Data Dictionary'!C:F,4,FALSE))=0, "", IF(B18="", "", VLOOKUP(B18,'API Data Dictionary'!C:F,4,FALSE)))</f>
        <v/>
      </c>
      <c r="G18" s="62" t="str">
        <f>IF(IF(B18="", "", VLOOKUP(B18,'API Data Dictionary'!C:G,5,FALSE))=0, "", IF(B18="", "", VLOOKUP(B18,'API Data Dictionary'!C:G,5,FALSE)))</f>
        <v/>
      </c>
    </row>
    <row r="20" spans="1:7" x14ac:dyDescent="0.35">
      <c r="A20" s="219" t="s">
        <v>1625</v>
      </c>
      <c r="B20" s="220"/>
      <c r="C20" s="220"/>
      <c r="D20" s="220"/>
      <c r="E20" s="220"/>
      <c r="F20" s="220"/>
      <c r="G20" s="220"/>
    </row>
    <row r="21" spans="1:7" x14ac:dyDescent="0.35">
      <c r="A21" s="88" t="s">
        <v>1561</v>
      </c>
      <c r="B21" s="62" t="s">
        <v>1359</v>
      </c>
      <c r="C21" s="89" t="s">
        <v>1359</v>
      </c>
      <c r="D21" s="62" t="s">
        <v>64</v>
      </c>
      <c r="E21" s="89">
        <v>100</v>
      </c>
      <c r="F21" s="89"/>
      <c r="G21" s="89" t="s">
        <v>1562</v>
      </c>
    </row>
    <row r="23" spans="1:7" x14ac:dyDescent="0.35">
      <c r="A23" s="219" t="s">
        <v>1764</v>
      </c>
      <c r="B23" s="220"/>
      <c r="C23" s="220"/>
      <c r="D23" s="220"/>
      <c r="E23" s="220"/>
      <c r="F23" s="220"/>
      <c r="G23" s="220"/>
    </row>
    <row r="24" spans="1:7" x14ac:dyDescent="0.35">
      <c r="A24" s="88" t="s">
        <v>1763</v>
      </c>
      <c r="B24" s="62" t="s">
        <v>1359</v>
      </c>
      <c r="C24" s="89" t="s">
        <v>1359</v>
      </c>
      <c r="D24" s="62" t="s">
        <v>64</v>
      </c>
      <c r="E24" s="89">
        <v>100</v>
      </c>
      <c r="F24" s="89"/>
      <c r="G24" s="89" t="s">
        <v>1765</v>
      </c>
    </row>
    <row r="26" spans="1:7" x14ac:dyDescent="0.35">
      <c r="A26" s="220" t="s">
        <v>1747</v>
      </c>
      <c r="B26" s="220"/>
      <c r="C26" s="220"/>
      <c r="D26" s="220"/>
      <c r="E26" s="220"/>
      <c r="F26" s="220"/>
      <c r="G26" s="220"/>
    </row>
    <row r="27" spans="1:7" x14ac:dyDescent="0.35">
      <c r="A27" s="64" t="s">
        <v>1094</v>
      </c>
      <c r="B27" s="89"/>
      <c r="C27" s="89"/>
      <c r="D27" s="89"/>
      <c r="E27" s="89"/>
      <c r="F27" s="89"/>
      <c r="G27" s="89"/>
    </row>
    <row r="28" spans="1:7" x14ac:dyDescent="0.35">
      <c r="A28" s="64" t="s">
        <v>1574</v>
      </c>
      <c r="B28" s="89" t="str">
        <f t="shared" ref="B28:B29" si="3">IF(OR(ISNUMBER(SEARCH("{", A28)),ISNUMBER(SEARCH("[", A28))), "", IFERROR(MID(A28, SEARCH("""", A28) +1, SEARCH("""", A28, SEARCH("""",A28) +1) - SEARCH("""", A28) -1), ""))</f>
        <v>success</v>
      </c>
      <c r="C28" s="89" t="s">
        <v>68</v>
      </c>
      <c r="D28" s="89" t="str">
        <f>IF(B28="", "", VLOOKUP(B28,'API Data Dictionary'!C:D,2,FALSE))</f>
        <v>string - Boolean</v>
      </c>
      <c r="E28" s="89">
        <f>IF(IF(B28="", "", VLOOKUP(B28,'API Data Dictionary'!C:E,3,FALSE))=0, "", IF(B28="", "", VLOOKUP(B28,'API Data Dictionary'!C:E,3,FALSE)))</f>
        <v>100</v>
      </c>
      <c r="F28" s="89" t="str">
        <f>IF(IF(B28="", "", VLOOKUP(B28,'API Data Dictionary'!C:F,4,FALSE))=0, "", IF(B28="", "", VLOOKUP(B28,'API Data Dictionary'!C:F,4,FALSE)))</f>
        <v/>
      </c>
      <c r="G28" s="89" t="str">
        <f>IF(IF(B28="", "", VLOOKUP(B28,'API Data Dictionary'!C:G,5,FALSE))=0, "", IF(B28="", "", VLOOKUP(B28,'API Data Dictionary'!C:G,5,FALSE)))</f>
        <v>Returns true when successful call/connection</v>
      </c>
    </row>
    <row r="29" spans="1:7" x14ac:dyDescent="0.35">
      <c r="A29" s="64" t="s">
        <v>1377</v>
      </c>
      <c r="B29" s="89" t="str">
        <f t="shared" si="3"/>
        <v/>
      </c>
      <c r="C29" s="89" t="str">
        <f>IF(B29="", "", VLOOKUP(B29,'API Data Dictionary'!C:J,8,FALSE))</f>
        <v/>
      </c>
      <c r="D29" s="89" t="str">
        <f>IF(B29="", "", VLOOKUP(B29,'API Data Dictionary'!C:D,2,FALSE))</f>
        <v/>
      </c>
      <c r="E29" s="89" t="str">
        <f>IF(IF(B29="", "", VLOOKUP(B29,'API Data Dictionary'!C:E,3,FALSE))=0, "", IF(B29="", "", VLOOKUP(B29,'API Data Dictionary'!C:E,3,FALSE)))</f>
        <v/>
      </c>
      <c r="F29" s="89" t="str">
        <f>IF(IF(B29="", "", VLOOKUP(B29,'API Data Dictionary'!C:F,4,FALSE))=0, "", IF(B29="", "", VLOOKUP(B29,'API Data Dictionary'!C:F,4,FALSE)))</f>
        <v/>
      </c>
      <c r="G29" s="89" t="str">
        <f>IF(IF(B29="", "", VLOOKUP(B29,'API Data Dictionary'!C:G,5,FALSE))=0, "", IF(B29="", "", VLOOKUP(B29,'API Data Dictionary'!C:G,5,FALSE)))</f>
        <v/>
      </c>
    </row>
    <row r="30" spans="1:7" x14ac:dyDescent="0.35">
      <c r="A30" s="64" t="s">
        <v>1564</v>
      </c>
      <c r="B30" s="89" t="s">
        <v>1589</v>
      </c>
      <c r="C30" s="89" t="s">
        <v>68</v>
      </c>
      <c r="D30" s="89" t="s">
        <v>1593</v>
      </c>
      <c r="E30" s="89"/>
      <c r="F30" s="89"/>
      <c r="G30" s="89"/>
    </row>
    <row r="31" spans="1:7" x14ac:dyDescent="0.35">
      <c r="A31" s="64" t="s">
        <v>1729</v>
      </c>
      <c r="B31" s="89" t="s">
        <v>1590</v>
      </c>
      <c r="C31" s="89" t="s">
        <v>68</v>
      </c>
      <c r="D31" s="89" t="s">
        <v>64</v>
      </c>
      <c r="E31" s="109" t="s">
        <v>1594</v>
      </c>
      <c r="F31" s="89"/>
      <c r="G31" s="89"/>
    </row>
    <row r="32" spans="1:7" x14ac:dyDescent="0.35">
      <c r="A32" s="64" t="s">
        <v>1730</v>
      </c>
      <c r="B32" s="89" t="s">
        <v>1591</v>
      </c>
      <c r="C32" s="89" t="s">
        <v>68</v>
      </c>
      <c r="D32" s="89" t="s">
        <v>64</v>
      </c>
      <c r="E32" s="109" t="s">
        <v>1594</v>
      </c>
      <c r="F32" s="89"/>
      <c r="G32" s="89"/>
    </row>
    <row r="33" spans="1:7" x14ac:dyDescent="0.35">
      <c r="A33" s="64" t="s">
        <v>1566</v>
      </c>
      <c r="B33" s="89"/>
      <c r="C33" s="89"/>
      <c r="D33" s="89"/>
      <c r="E33" s="109"/>
      <c r="F33" s="89"/>
      <c r="G33" s="89"/>
    </row>
    <row r="34" spans="1:7" x14ac:dyDescent="0.35">
      <c r="A34" s="64" t="s">
        <v>1413</v>
      </c>
      <c r="B34" s="89"/>
      <c r="C34" s="89"/>
      <c r="D34" s="89"/>
      <c r="E34" s="109"/>
      <c r="F34" s="89" t="str">
        <f>IF(IF(B34="", "", VLOOKUP(B34,'API Data Dictionary'!C:F,4,FALSE))=0, "", IF(B34="", "", VLOOKUP(B34,'API Data Dictionary'!C:F,4,FALSE)))</f>
        <v/>
      </c>
      <c r="G34" s="89"/>
    </row>
    <row r="35" spans="1:7" x14ac:dyDescent="0.35">
      <c r="A35" s="64" t="s">
        <v>1576</v>
      </c>
      <c r="B35" s="89" t="s">
        <v>1579</v>
      </c>
      <c r="C35" s="89" t="s">
        <v>68</v>
      </c>
      <c r="D35" s="89" t="s">
        <v>64</v>
      </c>
      <c r="E35" s="109" t="s">
        <v>1594</v>
      </c>
      <c r="F35" s="89"/>
      <c r="G35" s="89"/>
    </row>
    <row r="36" spans="1:7" x14ac:dyDescent="0.35">
      <c r="A36" s="64" t="s">
        <v>1577</v>
      </c>
      <c r="B36" s="89" t="s">
        <v>1580</v>
      </c>
      <c r="C36" s="89" t="s">
        <v>68</v>
      </c>
      <c r="D36" s="89" t="s">
        <v>64</v>
      </c>
      <c r="E36" s="109" t="s">
        <v>1594</v>
      </c>
      <c r="F36" s="89"/>
      <c r="G36" s="89"/>
    </row>
    <row r="37" spans="1:7" x14ac:dyDescent="0.35">
      <c r="A37" s="64" t="s">
        <v>1105</v>
      </c>
      <c r="B37" s="89"/>
      <c r="C37" s="89"/>
      <c r="D37" s="89"/>
      <c r="E37" s="109"/>
      <c r="F37" s="89"/>
      <c r="G37" s="89"/>
    </row>
    <row r="38" spans="1:7" x14ac:dyDescent="0.35">
      <c r="A38" s="64" t="s">
        <v>1731</v>
      </c>
      <c r="B38" s="89" t="s">
        <v>1592</v>
      </c>
      <c r="C38" s="89" t="s">
        <v>68</v>
      </c>
      <c r="D38" s="89" t="s">
        <v>64</v>
      </c>
      <c r="E38" s="109" t="s">
        <v>1594</v>
      </c>
      <c r="F38" s="89"/>
      <c r="G38" s="89"/>
    </row>
    <row r="39" spans="1:7" x14ac:dyDescent="0.35">
      <c r="A39" s="64" t="s">
        <v>1120</v>
      </c>
      <c r="B39" s="89"/>
      <c r="C39" s="89"/>
      <c r="D39" s="89"/>
      <c r="E39" s="89"/>
      <c r="F39" s="89"/>
      <c r="G39" s="89"/>
    </row>
    <row r="41" spans="1:7" x14ac:dyDescent="0.35">
      <c r="A41" s="220" t="s">
        <v>1598</v>
      </c>
      <c r="B41" s="220"/>
      <c r="C41" s="220"/>
      <c r="D41" s="220"/>
      <c r="E41" s="220"/>
      <c r="F41" s="220"/>
      <c r="G41" s="220"/>
    </row>
    <row r="42" spans="1:7" x14ac:dyDescent="0.35">
      <c r="A42" s="110" t="s">
        <v>1094</v>
      </c>
      <c r="B42" s="89" t="str">
        <f t="shared" ref="B42:B46" si="4">IF(OR(ISNUMBER(SEARCH("{", A42)),ISNUMBER(SEARCH("[", A42))), "", IFERROR(MID(A42, SEARCH("""", A42) +1, SEARCH("""", A42, SEARCH("""",A42) +1) - SEARCH("""", A42) -1), ""))</f>
        <v/>
      </c>
      <c r="C42" s="89" t="str">
        <f>IF(B42="", "", VLOOKUP(B42,'API Data Dictionary'!C:J,8,FALSE))</f>
        <v/>
      </c>
      <c r="D42" s="89" t="str">
        <f>IF(B42="", "", VLOOKUP(B42,'API Data Dictionary'!C:D,2,FALSE))</f>
        <v/>
      </c>
      <c r="E42" s="89" t="str">
        <f>IF(IF(B42="", "", VLOOKUP(B42,'API Data Dictionary'!C:E,3,FALSE))=0, "", IF(B42="", "", VLOOKUP(B42,'API Data Dictionary'!C:E,3,FALSE)))</f>
        <v/>
      </c>
      <c r="F42" s="89" t="str">
        <f>IF(IF(B42="", "", VLOOKUP(B42,'API Data Dictionary'!C:F,4,FALSE))=0, "", IF(B42="", "", VLOOKUP(B42,'API Data Dictionary'!C:F,4,FALSE)))</f>
        <v/>
      </c>
      <c r="G42" s="89" t="str">
        <f>IF(IF(B42="", "", VLOOKUP(B42,'API Data Dictionary'!C:G,5,FALSE))=0, "", IF(B42="", "", VLOOKUP(B42,'API Data Dictionary'!C:G,5,FALSE)))</f>
        <v/>
      </c>
    </row>
    <row r="43" spans="1:7" x14ac:dyDescent="0.35">
      <c r="A43" s="110" t="s">
        <v>1567</v>
      </c>
      <c r="B43" s="89" t="str">
        <f t="shared" si="4"/>
        <v>success</v>
      </c>
      <c r="C43" s="89" t="s">
        <v>68</v>
      </c>
      <c r="D43" s="89" t="str">
        <f>IF(B43="", "", VLOOKUP(B43,'API Data Dictionary'!C:D,2,FALSE))</f>
        <v>string - Boolean</v>
      </c>
      <c r="E43" s="89">
        <f>IF(IF(B43="", "", VLOOKUP(B43,'API Data Dictionary'!C:E,3,FALSE))=0, "", IF(B43="", "", VLOOKUP(B43,'API Data Dictionary'!C:E,3,FALSE)))</f>
        <v>100</v>
      </c>
      <c r="F43" s="89" t="str">
        <f>IF(IF(B43="", "", VLOOKUP(B43,'API Data Dictionary'!C:F,4,FALSE))=0, "", IF(B43="", "", VLOOKUP(B43,'API Data Dictionary'!C:F,4,FALSE)))</f>
        <v/>
      </c>
      <c r="G43" s="89" t="str">
        <f>IF(IF(B43="", "", VLOOKUP(B43,'API Data Dictionary'!C:G,5,FALSE))=0, "", IF(B43="", "", VLOOKUP(B43,'API Data Dictionary'!C:G,5,FALSE)))</f>
        <v>Returns true when successful call/connection</v>
      </c>
    </row>
    <row r="44" spans="1:7" x14ac:dyDescent="0.35">
      <c r="A44" s="110" t="s">
        <v>1596</v>
      </c>
      <c r="B44" s="89" t="str">
        <f t="shared" si="4"/>
        <v>payload</v>
      </c>
      <c r="C44" s="89" t="s">
        <v>68</v>
      </c>
      <c r="D44" s="89" t="str">
        <f>IF(B44="", "", VLOOKUP(B44,'API Data Dictionary'!C:D,2,FALSE))</f>
        <v>string</v>
      </c>
      <c r="E44" s="89">
        <f>IF(IF(B44="", "", VLOOKUP(B44,'API Data Dictionary'!C:E,3,FALSE))=0, "", IF(B44="", "", VLOOKUP(B44,'API Data Dictionary'!C:E,3,FALSE)))</f>
        <v>100</v>
      </c>
      <c r="F44" s="89" t="str">
        <f>IF(IF(B44="", "", VLOOKUP(B44,'API Data Dictionary'!C:F,4,FALSE))=0, "", IF(B44="", "", VLOOKUP(B44,'API Data Dictionary'!C:F,4,FALSE)))</f>
        <v/>
      </c>
      <c r="G44" s="89" t="str">
        <f>IF(IF(B44="", "", VLOOKUP(B44,'API Data Dictionary'!C:G,5,FALSE))=0, "", IF(B44="", "", VLOOKUP(B44,'API Data Dictionary'!C:G,5,FALSE)))</f>
        <v>Returns healthy when connection has worked properly</v>
      </c>
    </row>
    <row r="45" spans="1:7" x14ac:dyDescent="0.35">
      <c r="A45" s="110" t="s">
        <v>1597</v>
      </c>
      <c r="B45" s="89" t="str">
        <f t="shared" si="4"/>
        <v>message</v>
      </c>
      <c r="C45" s="89" t="s">
        <v>68</v>
      </c>
      <c r="D45" s="89" t="str">
        <f>IF(B45="", "", VLOOKUP(B45,'API Data Dictionary'!C:D,2,FALSE))</f>
        <v>string</v>
      </c>
      <c r="E45" s="89">
        <f>IF(IF(B45="", "", VLOOKUP(B45,'API Data Dictionary'!C:E,3,FALSE))=0, "", IF(B45="", "", VLOOKUP(B45,'API Data Dictionary'!C:E,3,FALSE)))</f>
        <v>100</v>
      </c>
      <c r="F45" s="89" t="str">
        <f>IF(IF(B45="", "", VLOOKUP(B45,'API Data Dictionary'!C:F,4,FALSE))=0, "", IF(B45="", "", VLOOKUP(B45,'API Data Dictionary'!C:F,4,FALSE)))</f>
        <v/>
      </c>
      <c r="G45" s="89" t="str">
        <f>IF(IF(B45="", "", VLOOKUP(B45,'API Data Dictionary'!C:G,5,FALSE))=0, "", IF(B45="", "", VLOOKUP(B45,'API Data Dictionary'!C:G,5,FALSE)))</f>
        <v>return value, null or success, unless there has been error</v>
      </c>
    </row>
    <row r="46" spans="1:7" x14ac:dyDescent="0.35">
      <c r="A46" s="110" t="s">
        <v>1120</v>
      </c>
      <c r="B46" s="89" t="str">
        <f t="shared" si="4"/>
        <v/>
      </c>
      <c r="C46" s="89" t="str">
        <f>IF(B46="", "", VLOOKUP(B46,'API Data Dictionary'!C:J,8,FALSE))</f>
        <v/>
      </c>
      <c r="D46" s="89" t="str">
        <f>IF(B46="", "", VLOOKUP(B46,'API Data Dictionary'!C:D,2,FALSE))</f>
        <v/>
      </c>
      <c r="E46" s="89" t="str">
        <f>IF(IF(B46="", "", VLOOKUP(B46,'API Data Dictionary'!C:E,3,FALSE))=0, "", IF(B46="", "", VLOOKUP(B46,'API Data Dictionary'!C:E,3,FALSE)))</f>
        <v/>
      </c>
      <c r="F46" s="89" t="str">
        <f>IF(IF(B46="", "", VLOOKUP(B46,'API Data Dictionary'!C:F,4,FALSE))=0, "", IF(B46="", "", VLOOKUP(B46,'API Data Dictionary'!C:F,4,FALSE)))</f>
        <v/>
      </c>
      <c r="G46" s="89" t="str">
        <f>IF(IF(B46="", "", VLOOKUP(B46,'API Data Dictionary'!C:G,5,FALSE))=0, "", IF(B46="", "", VLOOKUP(B46,'API Data Dictionary'!C:G,5,FALSE)))</f>
        <v/>
      </c>
    </row>
  </sheetData>
  <mergeCells count="6">
    <mergeCell ref="A2:G2"/>
    <mergeCell ref="A9:G9"/>
    <mergeCell ref="A26:G26"/>
    <mergeCell ref="A41:G41"/>
    <mergeCell ref="A20:G20"/>
    <mergeCell ref="A23:G2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72FA-4F50-4CE3-BCDF-F1E0927F72B1}">
  <sheetPr>
    <tabColor rgb="FF4472C4"/>
  </sheetPr>
  <dimension ref="A1:G74"/>
  <sheetViews>
    <sheetView topLeftCell="A29" zoomScaleNormal="100" workbookViewId="0"/>
  </sheetViews>
  <sheetFormatPr defaultRowHeight="14.5" x14ac:dyDescent="0.35"/>
  <cols>
    <col min="1" max="1" width="97.90625" customWidth="1"/>
    <col min="2" max="2" width="22.1796875" bestFit="1" customWidth="1"/>
    <col min="3" max="3" width="25.1796875" bestFit="1" customWidth="1"/>
    <col min="4" max="4" width="19.90625" bestFit="1" customWidth="1"/>
    <col min="5" max="5" width="10.54296875" customWidth="1"/>
    <col min="6" max="6" width="14.453125" customWidth="1"/>
    <col min="7" max="7" width="255.6328125" bestFit="1" customWidth="1"/>
  </cols>
  <sheetData>
    <row r="1" spans="1:7" ht="43.5" x14ac:dyDescent="0.35">
      <c r="A1" s="63" t="s">
        <v>1289</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B4" si="0">IF(OR(ISNUMBER(SEARCH("{", A3)),ISNUMBER(SEARCH("[", A3))), "", IFERROR(MID(A3, SEARCH("""", A3) +1, SEARCH("""", A3, SEARCH("""",A3) +1) - SEARCH("""", A3) -1), ""))</f>
        <v/>
      </c>
      <c r="C3" s="62" t="str">
        <f>IF(B3="", "", VLOOKUP(B3,'API Data Dictionary'!C:X,22,FALSE))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1689</v>
      </c>
      <c r="B4" s="62" t="str">
        <f t="shared" si="0"/>
        <v>agentCode</v>
      </c>
      <c r="C4" s="62" t="s">
        <v>68</v>
      </c>
      <c r="D4" s="62" t="str">
        <f>IF(B4="", "", VLOOKUP(B4,'API Data Dictionary'!C:D,2,FALSE))</f>
        <v>string</v>
      </c>
      <c r="E4" s="62">
        <f>IF(IF(B4="", "", VLOOKUP(B4,'API Data Dictionary'!C:E,3,FALSE))=0, "", IF(B4="", "", VLOOKUP(B4,'API Data Dictionary'!C:E,3,FALSE)))</f>
        <v>50</v>
      </c>
      <c r="F4" s="62" t="str">
        <f>IF(IF(B4="", "", VLOOKUP(B4,'API Data Dictionary'!C:F,4,FALSE))=0, "", IF(B4="", "", VLOOKUP(B4,'API Data Dictionary'!C:F,4,FALSE)))</f>
        <v/>
      </c>
      <c r="G4" s="62"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x14ac:dyDescent="0.35">
      <c r="A5" s="64" t="s">
        <v>1674</v>
      </c>
      <c r="B5" s="62" t="str">
        <f t="shared" ref="B5:B26" si="1">IF(OR(ISNUMBER(SEARCH("{", A5)),ISNUMBER(SEARCH("[", A5))), "", IFERROR(MID(A5, SEARCH("""", A5) +1, SEARCH("""", A5, SEARCH("""",A5) +1) - SEARCH("""", A5) -1), ""))</f>
        <v>propertyTenancyId</v>
      </c>
      <c r="C5" s="62" t="s">
        <v>68</v>
      </c>
      <c r="D5" s="62" t="str">
        <f>IF(B5="", "", VLOOKUP(B5,'API Data Dictionary'!C:D,2,FALSE))</f>
        <v>integer</v>
      </c>
      <c r="E5" s="62" t="str">
        <f>IF(IF(B5="", "", VLOOKUP(B5,'API Data Dictionary'!C:E,3,FALSE))=0, "", IF(B5="", "", VLOOKUP(B5,'API Data Dictionary'!C:E,3,FALSE)))</f>
        <v/>
      </c>
      <c r="F5" s="62" t="str">
        <f>IF(IF(B5="", "", VLOOKUP(B5,'API Data Dictionary'!C:F,4,FALSE))=0, "", IF(B5="", "", VLOOKUP(B5,'API Data Dictionary'!C:F,4,FALSE)))</f>
        <v/>
      </c>
      <c r="G5" s="62" t="str">
        <f>IF(IF(B5="", "", VLOOKUP(B5,'API Data Dictionary'!C:G,5,FALSE))=0, "", IF(B5="", "", VLOOKUP(B5,'API Data Dictionary'!C:G,5,FALSE)))</f>
        <v>The ID of the property tenancy</v>
      </c>
    </row>
    <row r="6" spans="1:7" x14ac:dyDescent="0.35">
      <c r="A6" s="64" t="s">
        <v>1675</v>
      </c>
      <c r="B6" s="62" t="str">
        <f t="shared" si="1"/>
        <v>tenancyTermMonths</v>
      </c>
      <c r="C6" s="62" t="s">
        <v>68</v>
      </c>
      <c r="D6" s="62" t="str">
        <f>IF(B6="", "", VLOOKUP(B6,'API Data Dictionary'!C:D,2,FALSE))</f>
        <v>integer</v>
      </c>
      <c r="E6" s="62" t="str">
        <f>IF(IF(B6="", "", VLOOKUP(B6,'API Data Dictionary'!C:E,3,FALSE))=0, "", IF(B6="", "", VLOOKUP(B6,'API Data Dictionary'!C:E,3,FALSE)))</f>
        <v/>
      </c>
      <c r="F6" s="62" t="str">
        <f>IF(IF(B6="", "", VLOOKUP(B6,'API Data Dictionary'!C:F,4,FALSE))=0, "", IF(B6="", "", VLOOKUP(B6,'API Data Dictionary'!C:F,4,FALSE)))</f>
        <v/>
      </c>
      <c r="G6" s="62" t="str">
        <f>IF(IF(B6="", "", VLOOKUP(B6,'API Data Dictionary'!C:G,5,FALSE))=0, "", IF(B6="", "", VLOOKUP(B6,'API Data Dictionary'!C:G,5,FALSE)))</f>
        <v>The term of the Tenancy in months (whole months only)</v>
      </c>
    </row>
    <row r="7" spans="1:7" x14ac:dyDescent="0.35">
      <c r="A7" s="64" t="s">
        <v>1369</v>
      </c>
      <c r="B7" s="62" t="str">
        <f t="shared" si="1"/>
        <v>monthlyRental</v>
      </c>
      <c r="C7" s="62" t="s">
        <v>68</v>
      </c>
      <c r="D7" s="62" t="str">
        <f>IF(B7="", "", VLOOKUP(B7,'API Data Dictionary'!C:D,2,FALSE))</f>
        <v>number (double)</v>
      </c>
      <c r="E7" s="62" t="str">
        <f>IF(IF(B7="", "", VLOOKUP(B7,'API Data Dictionary'!C:E,3,FALSE))=0, "", IF(B7="", "", VLOOKUP(B7,'API Data Dictionary'!C:E,3,FALSE)))</f>
        <v/>
      </c>
      <c r="F7" s="62" t="str">
        <f>IF(IF(B7="", "", VLOOKUP(B7,'API Data Dictionary'!C:F,4,FALSE))=0, "", IF(B7="", "", VLOOKUP(B7,'API Data Dictionary'!C:F,4,FALSE)))</f>
        <v xml:space="preserve">	number($double)
pattern: ^\d*.\d{0,2}$</v>
      </c>
      <c r="G7" s="62" t="str">
        <f>IF(IF(B7="", "", VLOOKUP(B7,'API Data Dictionary'!C:G,5,FALSE))=0, "", IF(B7="", "", VLOOKUP(B7,'API Data Dictionary'!C:G,5,FALSE)))</f>
        <v>The monthly rental cost</v>
      </c>
    </row>
    <row r="8" spans="1:7" x14ac:dyDescent="0.35">
      <c r="A8" s="64" t="s">
        <v>1676</v>
      </c>
      <c r="B8" s="62" t="str">
        <f t="shared" si="1"/>
        <v>lettingType</v>
      </c>
      <c r="C8" s="62" t="s">
        <v>68</v>
      </c>
      <c r="D8" s="62" t="str">
        <f>IF(B8="", "", VLOOKUP(B8,'API Data Dictionary'!C:D,2,FALSE))</f>
        <v>enum - Letting Type</v>
      </c>
      <c r="E8" s="62" t="str">
        <f>IF(IF(B8="", "", VLOOKUP(B8,'API Data Dictionary'!C:E,3,FALSE))=0, "", IF(B8="", "", VLOOKUP(B8,'API Data Dictionary'!C:E,3,FALSE)))</f>
        <v/>
      </c>
      <c r="F8" s="62" t="str">
        <f>IF(IF(B8="", "", VLOOKUP(B8,'API Data Dictionary'!C:F,4,FALSE))=0, "", IF(B8="", "", VLOOKUP(B8,'API Data Dictionary'!C:F,4,FALSE)))</f>
        <v>Valid Values 1-3 (See enum definition)</v>
      </c>
      <c r="G8" s="62" t="str">
        <f>IF(IF(B8="", "", VLOOKUP(B8,'API Data Dictionary'!C:G,5,FALSE))=0, "", IF(B8="", "", VLOOKUP(B8,'API Data Dictionary'!C:G,5,FALSE)))</f>
        <v>The type of the letting, i.e. rent only or fully managed</v>
      </c>
    </row>
    <row r="9" spans="1:7" x14ac:dyDescent="0.35">
      <c r="A9" s="64" t="s">
        <v>1677</v>
      </c>
      <c r="B9" s="62" t="str">
        <f t="shared" si="1"/>
        <v>estimatedMoveInDate</v>
      </c>
      <c r="C9" s="62" t="s">
        <v>68</v>
      </c>
      <c r="D9" s="62" t="str">
        <f>IF(B9="", "", VLOOKUP(B9,'API Data Dictionary'!C:D,2,FALSE))</f>
        <v>string ($date-time)</v>
      </c>
      <c r="E9" s="62" t="str">
        <f>IF(IF(B9="", "", VLOOKUP(B9,'API Data Dictionary'!C:E,3,FALSE))=0, "", IF(B9="", "", VLOOKUP(B9,'API Data Dictionary'!C:E,3,FALSE)))</f>
        <v/>
      </c>
      <c r="F9" s="62" t="str">
        <f>IF(IF(B9="", "", VLOOKUP(B9,'API Data Dictionary'!C:F,4,FALSE))=0, "", IF(B9="", "", VLOOKUP(B9,'API Data Dictionary'!C:F,4,FALSE)))</f>
        <v>DD/MM/YYYY</v>
      </c>
      <c r="G9" s="62" t="str">
        <f>IF(IF(B9="", "", VLOOKUP(B9,'API Data Dictionary'!C:G,5,FALSE))=0, "", IF(B9="", "", VLOOKUP(B9,'API Data Dictionary'!C:G,5,FALSE)))</f>
        <v>Estimated date of tenancy start (move in)</v>
      </c>
    </row>
    <row r="10" spans="1:7" x14ac:dyDescent="0.35">
      <c r="A10" s="64" t="s">
        <v>1103</v>
      </c>
      <c r="B10" s="62" t="str">
        <f t="shared" si="1"/>
        <v/>
      </c>
      <c r="C10" s="62" t="s">
        <v>1744</v>
      </c>
      <c r="D10" s="62" t="str">
        <f>IF(B10="", "", VLOOKUP(B10,'API Data Dictionary'!C:D,2,FALSE))</f>
        <v/>
      </c>
      <c r="E10" s="62" t="str">
        <f>IF(IF(B10="", "", VLOOKUP(B10,'API Data Dictionary'!C:E,3,FALSE))=0, "", IF(B10="", "", VLOOKUP(B10,'API Data Dictionary'!C:E,3,FALSE)))</f>
        <v/>
      </c>
      <c r="F10" s="62" t="str">
        <f>IF(IF(B10="", "", VLOOKUP(B10,'API Data Dictionary'!C:F,4,FALSE))=0, "", IF(B10="", "", VLOOKUP(B10,'API Data Dictionary'!C:F,4,FALSE)))</f>
        <v/>
      </c>
      <c r="G10" s="62" t="str">
        <f>IF(IF(B10="", "", VLOOKUP(B10,'API Data Dictionary'!C:G,5,FALSE))=0, "", IF(B10="", "", VLOOKUP(B10,'API Data Dictionary'!C:G,5,FALSE)))</f>
        <v/>
      </c>
    </row>
    <row r="11" spans="1:7" x14ac:dyDescent="0.35">
      <c r="A11" s="64" t="s">
        <v>1678</v>
      </c>
      <c r="B11" s="62" t="str">
        <f t="shared" si="1"/>
        <v>houseNumber</v>
      </c>
      <c r="C11" s="62" t="s">
        <v>66</v>
      </c>
      <c r="D11" s="62" t="str">
        <f>IF(B11="", "", VLOOKUP(B11,'API Data Dictionary'!C:D,2,FALSE))</f>
        <v>string</v>
      </c>
      <c r="E11" s="62">
        <f>IF(IF(B11="", "", VLOOKUP(B11,'API Data Dictionary'!C:E,3,FALSE))=0, "", IF(B11="", "", VLOOKUP(B11,'API Data Dictionary'!C:E,3,FALSE)))</f>
        <v>100</v>
      </c>
      <c r="F11" s="62" t="str">
        <f>IF(IF(B11="", "", VLOOKUP(B11,'API Data Dictionary'!C:F,4,FALSE))=0, "", IF(B11="", "", VLOOKUP(B11,'API Data Dictionary'!C:F,4,FALSE)))</f>
        <v/>
      </c>
      <c r="G11" s="62" t="str">
        <f>IF(IF(B11="", "", VLOOKUP(B11,'API Data Dictionary'!C:G,5,FALSE))=0, "", IF(B11="", "", VLOOKUP(B11,'API Data Dictionary'!C:G,5,FALSE)))</f>
        <v xml:space="preserve">The number of the property, mandatory OR pair with House name field </v>
      </c>
    </row>
    <row r="12" spans="1:7" x14ac:dyDescent="0.35">
      <c r="A12" s="64" t="s">
        <v>1500</v>
      </c>
      <c r="B12" s="62" t="str">
        <f t="shared" si="1"/>
        <v>houseName</v>
      </c>
      <c r="C12" s="62" t="s">
        <v>66</v>
      </c>
      <c r="D12" s="62" t="str">
        <f>IF(B12="", "", VLOOKUP(B12,'API Data Dictionary'!C:D,2,FALSE))</f>
        <v>string</v>
      </c>
      <c r="E12" s="62">
        <f>IF(IF(B12="", "", VLOOKUP(B12,'API Data Dictionary'!C:E,3,FALSE))=0, "", IF(B12="", "", VLOOKUP(B12,'API Data Dictionary'!C:E,3,FALSE)))</f>
        <v>100</v>
      </c>
      <c r="F12" s="62" t="str">
        <f>IF(IF(B12="", "", VLOOKUP(B12,'API Data Dictionary'!C:F,4,FALSE))=0, "", IF(B12="", "", VLOOKUP(B12,'API Data Dictionary'!C:F,4,FALSE)))</f>
        <v/>
      </c>
      <c r="G12" s="62" t="str">
        <f>IF(IF(B12="", "", VLOOKUP(B12,'API Data Dictionary'!C:G,5,FALSE))=0, "", IF(B12="", "", VLOOKUP(B12,'API Data Dictionary'!C:G,5,FALSE)))</f>
        <v xml:space="preserve">The name of the property, mandatory OR pair with House number field </v>
      </c>
    </row>
    <row r="13" spans="1:7" x14ac:dyDescent="0.35">
      <c r="A13" s="64" t="s">
        <v>1679</v>
      </c>
      <c r="B13" s="62" t="str">
        <f t="shared" si="1"/>
        <v>addressLine1</v>
      </c>
      <c r="C13" s="62" t="s">
        <v>68</v>
      </c>
      <c r="D13" s="62" t="str">
        <f>IF(B13="", "", VLOOKUP(B13,'API Data Dictionary'!C:D,2,FALSE))</f>
        <v>string</v>
      </c>
      <c r="E13" s="62">
        <f>IF(IF(B13="", "", VLOOKUP(B13,'API Data Dictionary'!C:E,3,FALSE))=0, "", IF(B13="", "", VLOOKUP(B13,'API Data Dictionary'!C:E,3,FALSE)))</f>
        <v>100</v>
      </c>
      <c r="F13" s="62" t="str">
        <f>IF(IF(B13="", "", VLOOKUP(B13,'API Data Dictionary'!C:F,4,FALSE))=0, "", IF(B13="", "", VLOOKUP(B13,'API Data Dictionary'!C:F,4,FALSE)))</f>
        <v/>
      </c>
      <c r="G13" s="62" t="str">
        <f>IF(IF(B13="", "", VLOOKUP(B13,'API Data Dictionary'!C:G,5,FALSE))=0, "", IF(B13="", "", VLOOKUP(B13,'API Data Dictionary'!C:G,5,FALSE)))</f>
        <v>The first line of the property address</v>
      </c>
    </row>
    <row r="14" spans="1:7" x14ac:dyDescent="0.35">
      <c r="A14" s="64" t="s">
        <v>1502</v>
      </c>
      <c r="B14" s="62" t="str">
        <f t="shared" si="1"/>
        <v>addressLine2</v>
      </c>
      <c r="C14" s="62" t="s">
        <v>66</v>
      </c>
      <c r="D14" s="62" t="str">
        <f>IF(B14="", "", VLOOKUP(B14,'API Data Dictionary'!C:D,2,FALSE))</f>
        <v>string</v>
      </c>
      <c r="E14" s="62">
        <f>IF(IF(B14="", "", VLOOKUP(B14,'API Data Dictionary'!C:E,3,FALSE))=0, "", IF(B14="", "", VLOOKUP(B14,'API Data Dictionary'!C:E,3,FALSE)))</f>
        <v>100</v>
      </c>
      <c r="F14" s="62" t="str">
        <f>IF(IF(B14="", "", VLOOKUP(B14,'API Data Dictionary'!C:F,4,FALSE))=0, "", IF(B14="", "", VLOOKUP(B14,'API Data Dictionary'!C:F,4,FALSE)))</f>
        <v/>
      </c>
      <c r="G14" s="62" t="str">
        <f>IF(IF(B14="", "", VLOOKUP(B14,'API Data Dictionary'!C:G,5,FALSE))=0, "", IF(B14="", "", VLOOKUP(B14,'API Data Dictionary'!C:G,5,FALSE)))</f>
        <v>The second line of the property address</v>
      </c>
    </row>
    <row r="15" spans="1:7" x14ac:dyDescent="0.35">
      <c r="A15" s="64" t="s">
        <v>1680</v>
      </c>
      <c r="B15" s="62" t="str">
        <f t="shared" si="1"/>
        <v>town</v>
      </c>
      <c r="C15" s="62" t="s">
        <v>68</v>
      </c>
      <c r="D15" s="62" t="str">
        <f>IF(B15="", "", VLOOKUP(B15,'API Data Dictionary'!C:D,2,FALSE))</f>
        <v>string</v>
      </c>
      <c r="E15" s="62">
        <f>IF(IF(B15="", "", VLOOKUP(B15,'API Data Dictionary'!C:E,3,FALSE))=0, "", IF(B15="", "", VLOOKUP(B15,'API Data Dictionary'!C:E,3,FALSE)))</f>
        <v>50</v>
      </c>
      <c r="F15" s="62" t="str">
        <f>IF(IF(B15="", "", VLOOKUP(B15,'API Data Dictionary'!C:F,4,FALSE))=0, "", IF(B15="", "", VLOOKUP(B15,'API Data Dictionary'!C:F,4,FALSE)))</f>
        <v/>
      </c>
      <c r="G15" s="62" t="str">
        <f>IF(IF(B15="", "", VLOOKUP(B15,'API Data Dictionary'!C:G,5,FALSE))=0, "", IF(B15="", "", VLOOKUP(B15,'API Data Dictionary'!C:G,5,FALSE)))</f>
        <v>The town in which the property exists</v>
      </c>
    </row>
    <row r="16" spans="1:7" x14ac:dyDescent="0.35">
      <c r="A16" s="64" t="s">
        <v>1688</v>
      </c>
      <c r="B16" s="62" t="str">
        <f t="shared" si="1"/>
        <v>postcode</v>
      </c>
      <c r="C16" s="62" t="s">
        <v>68</v>
      </c>
      <c r="D16" s="62" t="str">
        <f>IF(B16="", "", VLOOKUP(B16,'API Data Dictionary'!C:D,2,FALSE))</f>
        <v>string</v>
      </c>
      <c r="E16" s="62">
        <f>IF(IF(B16="", "", VLOOKUP(B16,'API Data Dictionary'!C:E,3,FALSE))=0, "", IF(B16="", "", VLOOKUP(B16,'API Data Dictionary'!C:E,3,FALSE)))</f>
        <v>50</v>
      </c>
      <c r="F16" s="62" t="str">
        <f>IF(IF(B16="", "", VLOOKUP(B16,'API Data Dictionary'!C:F,4,FALSE))=0, "", IF(B16="", "", VLOOKUP(B16,'API Data Dictionary'!C:F,4,FALSE)))</f>
        <v/>
      </c>
      <c r="G16" s="62" t="str">
        <f>IF(IF(B16="", "", VLOOKUP(B16,'API Data Dictionary'!C:G,5,FALSE))=0, "", IF(B16="", "", VLOOKUP(B16,'API Data Dictionary'!C:G,5,FALSE)))</f>
        <v>the postcode of the property</v>
      </c>
    </row>
    <row r="17" spans="1:7" x14ac:dyDescent="0.35">
      <c r="A17" s="64" t="s">
        <v>1104</v>
      </c>
      <c r="B17" s="62" t="str">
        <f t="shared" si="1"/>
        <v>ukCountryCode</v>
      </c>
      <c r="C17" s="62" t="s">
        <v>68</v>
      </c>
      <c r="D17" s="62" t="str">
        <f>IF(B17="", "", VLOOKUP(B17,'API Data Dictionary'!C:D,2,FALSE))</f>
        <v>enum - UK Country List</v>
      </c>
      <c r="E17" s="62" t="str">
        <f>IF(IF(B17="", "", VLOOKUP(B17,'API Data Dictionary'!C:E,3,FALSE))=0, "", IF(B17="", "", VLOOKUP(B17,'API Data Dictionary'!C:E,3,FALSE)))</f>
        <v/>
      </c>
      <c r="F17" s="62" t="str">
        <f>IF(IF(B17="", "", VLOOKUP(B17,'API Data Dictionary'!C:F,4,FALSE))=0, "", IF(B17="", "", VLOOKUP(B17,'API Data Dictionary'!C:F,4,FALSE)))</f>
        <v>Valid Values 1-4 (See enum definition)</v>
      </c>
      <c r="G17" s="62" t="str">
        <f>IF(IF(B17="", "", VLOOKUP(B17,'API Data Dictionary'!C:G,5,FALSE))=0, "", IF(B17="", "", VLOOKUP(B17,'API Data Dictionary'!C:G,5,FALSE)))</f>
        <v xml:space="preserve">The UK country Code </v>
      </c>
    </row>
    <row r="18" spans="1:7" x14ac:dyDescent="0.35">
      <c r="A18" s="64" t="s">
        <v>1105</v>
      </c>
      <c r="B18" s="62" t="str">
        <f t="shared" si="1"/>
        <v/>
      </c>
      <c r="C18" s="62"/>
      <c r="D18" s="62" t="str">
        <f>IF(B18="", "", VLOOKUP(B18,'API Data Dictionary'!C:D,2,FALSE))</f>
        <v/>
      </c>
      <c r="E18" s="62" t="str">
        <f>IF(IF(B18="", "", VLOOKUP(B18,'API Data Dictionary'!C:E,3,FALSE))=0, "", IF(B18="", "", VLOOKUP(B18,'API Data Dictionary'!C:E,3,FALSE)))</f>
        <v/>
      </c>
      <c r="F18" s="62" t="str">
        <f>IF(IF(B18="", "", VLOOKUP(B18,'API Data Dictionary'!C:F,4,FALSE))=0, "", IF(B18="", "", VLOOKUP(B18,'API Data Dictionary'!C:F,4,FALSE)))</f>
        <v/>
      </c>
      <c r="G18" s="62" t="str">
        <f>IF(IF(B18="", "", VLOOKUP(B18,'API Data Dictionary'!C:G,5,FALSE))=0, "", IF(B18="", "", VLOOKUP(B18,'API Data Dictionary'!C:G,5,FALSE)))</f>
        <v/>
      </c>
    </row>
    <row r="19" spans="1:7" x14ac:dyDescent="0.35">
      <c r="A19" s="64" t="s">
        <v>1504</v>
      </c>
      <c r="B19" s="62" t="str">
        <f t="shared" si="1"/>
        <v/>
      </c>
      <c r="C19" s="62" t="s">
        <v>1744</v>
      </c>
      <c r="D19" s="62" t="str">
        <f>IF(B19="", "", VLOOKUP(B19,'API Data Dictionary'!C:D,2,FALSE))</f>
        <v/>
      </c>
      <c r="E19" s="62" t="str">
        <f>IF(IF(B19="", "", VLOOKUP(B19,'API Data Dictionary'!C:E,3,FALSE))=0, "", IF(B19="", "", VLOOKUP(B19,'API Data Dictionary'!C:E,3,FALSE)))</f>
        <v/>
      </c>
      <c r="F19" s="62" t="str">
        <f>IF(IF(B19="", "", VLOOKUP(B19,'API Data Dictionary'!C:F,4,FALSE))=0, "", IF(B19="", "", VLOOKUP(B19,'API Data Dictionary'!C:F,4,FALSE)))</f>
        <v/>
      </c>
      <c r="G19" s="62" t="str">
        <f>IF(IF(B19="", "", VLOOKUP(B19,'API Data Dictionary'!C:G,5,FALSE))=0, "", IF(B19="", "", VLOOKUP(B19,'API Data Dictionary'!C:G,5,FALSE)))</f>
        <v/>
      </c>
    </row>
    <row r="20" spans="1:7" x14ac:dyDescent="0.35">
      <c r="A20" s="64" t="s">
        <v>1107</v>
      </c>
      <c r="B20" s="62" t="str">
        <f t="shared" si="1"/>
        <v/>
      </c>
      <c r="C20" s="62"/>
      <c r="D20" s="62" t="str">
        <f>IF(B20="", "", VLOOKUP(B20,'API Data Dictionary'!C:D,2,FALSE))</f>
        <v/>
      </c>
      <c r="E20" s="62" t="str">
        <f>IF(IF(B20="", "", VLOOKUP(B20,'API Data Dictionary'!C:E,3,FALSE))=0, "", IF(B20="", "", VLOOKUP(B20,'API Data Dictionary'!C:E,3,FALSE)))</f>
        <v/>
      </c>
      <c r="F20" s="62" t="str">
        <f>IF(IF(B20="", "", VLOOKUP(B20,'API Data Dictionary'!C:F,4,FALSE))=0, "", IF(B20="", "", VLOOKUP(B20,'API Data Dictionary'!C:F,4,FALSE)))</f>
        <v/>
      </c>
      <c r="G20" s="62" t="str">
        <f>IF(IF(B20="", "", VLOOKUP(B20,'API Data Dictionary'!C:G,5,FALSE))=0, "", IF(B20="", "", VLOOKUP(B20,'API Data Dictionary'!C:G,5,FALSE)))</f>
        <v/>
      </c>
    </row>
    <row r="21" spans="1:7" x14ac:dyDescent="0.35">
      <c r="A21" s="64" t="s">
        <v>1681</v>
      </c>
      <c r="B21" s="62" t="str">
        <f t="shared" si="1"/>
        <v>applicantID</v>
      </c>
      <c r="C21" s="62" t="s">
        <v>68</v>
      </c>
      <c r="D21" s="62" t="str">
        <f>IF(B21="", "", VLOOKUP(B21,'API Data Dictionary'!C:D,2,FALSE))</f>
        <v>integer</v>
      </c>
      <c r="E21" s="62" t="str">
        <f>IF(IF(B21="", "", VLOOKUP(B21,'API Data Dictionary'!C:E,3,FALSE))=0, "", IF(B21="", "", VLOOKUP(B21,'API Data Dictionary'!C:E,3,FALSE)))</f>
        <v/>
      </c>
      <c r="F21" s="62" t="str">
        <f>IF(IF(B21="", "", VLOOKUP(B21,'API Data Dictionary'!C:F,4,FALSE))=0, "", IF(B21="", "", VLOOKUP(B21,'API Data Dictionary'!C:F,4,FALSE)))</f>
        <v/>
      </c>
      <c r="G21" s="62" t="str">
        <f>IF(IF(B21="", "", VLOOKUP(B21,'API Data Dictionary'!C:G,5,FALSE))=0, "", IF(B21="", "", VLOOKUP(B21,'API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22" spans="1:7" x14ac:dyDescent="0.35">
      <c r="A22" s="64" t="s">
        <v>1682</v>
      </c>
      <c r="B22" s="62" t="str">
        <f t="shared" si="1"/>
        <v>shareOfRent</v>
      </c>
      <c r="C22" s="62" t="s">
        <v>68</v>
      </c>
      <c r="D22" s="62" t="str">
        <f>IF(B22="", "", VLOOKUP(B22,'API Data Dictionary'!C:D,2,FALSE))</f>
        <v>number (double)</v>
      </c>
      <c r="E22" s="62" t="str">
        <f>IF(IF(B22="", "", VLOOKUP(B22,'API Data Dictionary'!C:E,3,FALSE))=0, "", IF(B22="", "", VLOOKUP(B22,'API Data Dictionary'!C:E,3,FALSE)))</f>
        <v/>
      </c>
      <c r="F22" s="62" t="str">
        <f>IF(IF(B22="", "", VLOOKUP(B22,'API Data Dictionary'!C:F,4,FALSE))=0, "", IF(B22="", "", VLOOKUP(B22,'API Data Dictionary'!C:F,4,FALSE)))</f>
        <v>pattern: ^\d*.\d{0,2}$</v>
      </c>
      <c r="G22" s="62" t="str">
        <f>IF(IF(B22="", "", VLOOKUP(B22,'API Data Dictionary'!C:G,5,FALSE))=0, "", IF(B22="", "", VLOOKUP(B22,'API Data Dictionary'!C:G,5,FALSE)))</f>
        <v>GBP value of the applicants share of the rent</v>
      </c>
    </row>
    <row r="23" spans="1:7" x14ac:dyDescent="0.35">
      <c r="A23" s="64" t="s">
        <v>1413</v>
      </c>
      <c r="B23" s="62" t="str">
        <f t="shared" si="1"/>
        <v/>
      </c>
      <c r="C23" s="62"/>
      <c r="D23" s="62" t="str">
        <f>IF(B23="", "", VLOOKUP(B23,'API Data Dictionary'!C:D,2,FALSE))</f>
        <v/>
      </c>
      <c r="E23" s="62" t="str">
        <f>IF(IF(B23="", "", VLOOKUP(B23,'API Data Dictionary'!C:E,3,FALSE))=0, "", IF(B23="", "", VLOOKUP(B23,'API Data Dictionary'!C:E,3,FALSE)))</f>
        <v/>
      </c>
      <c r="F23" s="62" t="str">
        <f>IF(IF(B23="", "", VLOOKUP(B23,'API Data Dictionary'!C:F,4,FALSE))=0, "", IF(B23="", "", VLOOKUP(B23,'API Data Dictionary'!C:F,4,FALSE)))</f>
        <v/>
      </c>
      <c r="G23" s="62" t="str">
        <f>IF(IF(B23="", "", VLOOKUP(B23,'API Data Dictionary'!C:G,5,FALSE))=0, "", IF(B23="", "", VLOOKUP(B23,'API Data Dictionary'!C:G,5,FALSE)))</f>
        <v/>
      </c>
    </row>
    <row r="24" spans="1:7" x14ac:dyDescent="0.35">
      <c r="A24" s="64" t="s">
        <v>1107</v>
      </c>
      <c r="B24" s="62" t="str">
        <f t="shared" si="1"/>
        <v/>
      </c>
      <c r="C24" s="62"/>
      <c r="D24" s="62" t="str">
        <f>IF(B24="", "", VLOOKUP(B24,'API Data Dictionary'!C:D,2,FALSE))</f>
        <v/>
      </c>
      <c r="E24" s="62" t="str">
        <f>IF(IF(B24="", "", VLOOKUP(B24,'API Data Dictionary'!C:E,3,FALSE))=0, "", IF(B24="", "", VLOOKUP(B24,'API Data Dictionary'!C:E,3,FALSE)))</f>
        <v/>
      </c>
      <c r="F24" s="62" t="str">
        <f>IF(IF(B24="", "", VLOOKUP(B24,'API Data Dictionary'!C:F,4,FALSE))=0, "", IF(B24="", "", VLOOKUP(B24,'API Data Dictionary'!C:F,4,FALSE)))</f>
        <v/>
      </c>
      <c r="G24" s="62" t="str">
        <f>IF(IF(B24="", "", VLOOKUP(B24,'API Data Dictionary'!C:G,5,FALSE))=0, "", IF(B24="", "", VLOOKUP(B24,'API Data Dictionary'!C:G,5,FALSE)))</f>
        <v/>
      </c>
    </row>
    <row r="25" spans="1:7" x14ac:dyDescent="0.35">
      <c r="A25" s="64" t="s">
        <v>1683</v>
      </c>
      <c r="B25" s="62" t="str">
        <f t="shared" si="1"/>
        <v>applicantID</v>
      </c>
      <c r="C25" s="62" t="s">
        <v>68</v>
      </c>
      <c r="D25" s="62" t="str">
        <f>IF(B25="", "", VLOOKUP(B25,'API Data Dictionary'!C:D,2,FALSE))</f>
        <v>integer</v>
      </c>
      <c r="E25" s="62" t="str">
        <f>IF(IF(B25="", "", VLOOKUP(B25,'API Data Dictionary'!C:E,3,FALSE))=0, "", IF(B25="", "", VLOOKUP(B25,'API Data Dictionary'!C:E,3,FALSE)))</f>
        <v/>
      </c>
      <c r="F25" s="62" t="str">
        <f>IF(IF(B25="", "", VLOOKUP(B25,'API Data Dictionary'!C:F,4,FALSE))=0, "", IF(B25="", "", VLOOKUP(B25,'API Data Dictionary'!C:F,4,FALSE)))</f>
        <v/>
      </c>
      <c r="G25" s="62" t="str">
        <f>IF(IF(B25="", "", VLOOKUP(B25,'API Data Dictionary'!C:G,5,FALSE))=0, "", IF(B25="", "", VLOOKUP(B25,'API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26" spans="1:7" x14ac:dyDescent="0.35">
      <c r="A26" s="64" t="s">
        <v>1684</v>
      </c>
      <c r="B26" s="62" t="str">
        <f t="shared" si="1"/>
        <v>shareOfRent</v>
      </c>
      <c r="C26" s="62" t="s">
        <v>68</v>
      </c>
      <c r="D26" s="62" t="str">
        <f>IF(B26="", "", VLOOKUP(B26,'API Data Dictionary'!C:D,2,FALSE))</f>
        <v>number (double)</v>
      </c>
      <c r="E26" s="62" t="str">
        <f>IF(IF(B26="", "", VLOOKUP(B26,'API Data Dictionary'!C:E,3,FALSE))=0, "", IF(B26="", "", VLOOKUP(B26,'API Data Dictionary'!C:E,3,FALSE)))</f>
        <v/>
      </c>
      <c r="F26" s="62" t="str">
        <f>IF(IF(B26="", "", VLOOKUP(B26,'API Data Dictionary'!C:F,4,FALSE))=0, "", IF(B26="", "", VLOOKUP(B26,'API Data Dictionary'!C:F,4,FALSE)))</f>
        <v>pattern: ^\d*.\d{0,2}$</v>
      </c>
      <c r="G26" s="62" t="str">
        <f>IF(IF(B26="", "", VLOOKUP(B26,'API Data Dictionary'!C:G,5,FALSE))=0, "", IF(B26="", "", VLOOKUP(B26,'API Data Dictionary'!C:G,5,FALSE)))</f>
        <v>GBP value of the applicants share of the rent</v>
      </c>
    </row>
    <row r="27" spans="1:7" x14ac:dyDescent="0.35">
      <c r="A27" s="102" t="s">
        <v>1118</v>
      </c>
      <c r="B27" s="103"/>
      <c r="C27" s="103"/>
      <c r="D27" s="103"/>
      <c r="E27" s="103"/>
      <c r="F27" s="103"/>
      <c r="G27" s="103"/>
    </row>
    <row r="28" spans="1:7" x14ac:dyDescent="0.35">
      <c r="A28" s="102" t="s">
        <v>1119</v>
      </c>
      <c r="B28" s="103"/>
      <c r="C28" s="103"/>
      <c r="D28" s="103"/>
      <c r="E28" s="103"/>
      <c r="F28" s="103"/>
      <c r="G28" s="103"/>
    </row>
    <row r="29" spans="1:7" x14ac:dyDescent="0.35">
      <c r="A29" s="102" t="s">
        <v>1120</v>
      </c>
      <c r="B29" s="103"/>
      <c r="C29" s="103"/>
      <c r="D29" s="103"/>
      <c r="E29" s="103"/>
      <c r="F29" s="103"/>
      <c r="G29" s="103"/>
    </row>
    <row r="31" spans="1:7" x14ac:dyDescent="0.35">
      <c r="A31" s="222" t="s">
        <v>1751</v>
      </c>
      <c r="B31" s="222"/>
      <c r="C31" s="222"/>
      <c r="D31" s="222"/>
      <c r="E31" s="222"/>
      <c r="F31" s="222"/>
      <c r="G31" s="222"/>
    </row>
    <row r="32" spans="1:7" x14ac:dyDescent="0.35">
      <c r="A32" s="88" t="s">
        <v>1094</v>
      </c>
      <c r="B32" s="89" t="str">
        <f t="shared" ref="B32:B34" si="2">IF(OR(ISNUMBER(SEARCH("{", A32)),ISNUMBER(SEARCH("[", A32))), "", IFERROR(MID(A32, SEARCH("""", A32) +1, SEARCH("""", A32, SEARCH("""",A32) +1) - SEARCH("""", A32) -1), ""))</f>
        <v/>
      </c>
      <c r="C32" s="89" t="str">
        <f>IF(B32="", "", VLOOKUP(B32,'API Data Dictionary'!C:X,22,FALSE))</f>
        <v/>
      </c>
      <c r="D32" s="89" t="str">
        <f>IF(B32="", "", VLOOKUP(B32,'API Data Dictionary'!C:D,2,FALSE))</f>
        <v/>
      </c>
      <c r="E32" s="89" t="str">
        <f>IF(IF(B32="", "", VLOOKUP(B32,'API Data Dictionary'!C:E,3,FALSE))=0, "", IF(B32="", "", VLOOKUP(B32,'API Data Dictionary'!C:E,3,FALSE)))</f>
        <v/>
      </c>
      <c r="F32" s="89" t="str">
        <f>IF(IF(B32="", "", VLOOKUP(B32,'API Data Dictionary'!C:F,4,FALSE))=0, "", IF(B32="", "", VLOOKUP(B32,'API Data Dictionary'!C:F,4,FALSE)))</f>
        <v/>
      </c>
      <c r="G32" s="89" t="str">
        <f>IF(IF(B32="", "", VLOOKUP(B32,'API Data Dictionary'!C:G,5,FALSE))=0, "", IF(B32="", "", VLOOKUP(B32,'API Data Dictionary'!C:G,5,FALSE)))</f>
        <v/>
      </c>
    </row>
    <row r="33" spans="1:7" x14ac:dyDescent="0.35">
      <c r="A33" s="88" t="s">
        <v>1769</v>
      </c>
      <c r="B33" s="89" t="str">
        <f t="shared" si="2"/>
        <v>success</v>
      </c>
      <c r="C33" s="89" t="s">
        <v>68</v>
      </c>
      <c r="D33" s="89" t="str">
        <f>IF(B33="", "", VLOOKUP(B33,'API Data Dictionary'!C:D,2,FALSE))</f>
        <v>string - Boolean</v>
      </c>
      <c r="E33" s="89">
        <f>IF(IF(B33="", "", VLOOKUP(B33,'API Data Dictionary'!C:E,3,FALSE))=0, "", IF(B33="", "", VLOOKUP(B33,'API Data Dictionary'!C:E,3,FALSE)))</f>
        <v>100</v>
      </c>
      <c r="F33" s="89" t="str">
        <f>IF(IF(B33="", "", VLOOKUP(B33,'API Data Dictionary'!C:F,4,FALSE))=0, "", IF(B33="", "", VLOOKUP(B33,'API Data Dictionary'!C:F,4,FALSE)))</f>
        <v/>
      </c>
      <c r="G33" s="89" t="str">
        <f>IF(IF(B33="", "", VLOOKUP(B33,'API Data Dictionary'!C:G,5,FALSE))=0, "", IF(B33="", "", VLOOKUP(B33,'API Data Dictionary'!C:G,5,FALSE)))</f>
        <v>Returns true when successful call/connection</v>
      </c>
    </row>
    <row r="34" spans="1:7" x14ac:dyDescent="0.35">
      <c r="A34" s="88" t="s">
        <v>1770</v>
      </c>
      <c r="B34" s="89" t="str">
        <f t="shared" si="2"/>
        <v/>
      </c>
      <c r="C34" s="89"/>
      <c r="D34" s="89" t="str">
        <f>IF(B34="", "", VLOOKUP(B34,'API Data Dictionary'!C:D,2,FALSE))</f>
        <v/>
      </c>
      <c r="E34" s="89" t="str">
        <f>IF(IF(B34="", "", VLOOKUP(B34,'API Data Dictionary'!C:E,3,FALSE))=0, "", IF(B34="", "", VLOOKUP(B34,'API Data Dictionary'!C:E,3,FALSE)))</f>
        <v/>
      </c>
      <c r="F34" s="89" t="str">
        <f>IF(IF(B34="", "", VLOOKUP(B34,'API Data Dictionary'!C:F,4,FALSE))=0, "", IF(B34="", "", VLOOKUP(B34,'API Data Dictionary'!C:F,4,FALSE)))</f>
        <v/>
      </c>
      <c r="G34" s="89" t="str">
        <f>IF(IF(B34="", "", VLOOKUP(B34,'API Data Dictionary'!C:G,5,FALSE))=0, "", IF(B34="", "", VLOOKUP(B34,'API Data Dictionary'!C:G,5,FALSE)))</f>
        <v/>
      </c>
    </row>
    <row r="35" spans="1:7" x14ac:dyDescent="0.35">
      <c r="A35" s="88" t="s">
        <v>1779</v>
      </c>
      <c r="B35" s="89" t="str">
        <f t="shared" ref="B35:B36" si="3">IF(OR(ISNUMBER(SEARCH("{", A35)),ISNUMBER(SEARCH("[", A35))), "", IFERROR(MID(A35, SEARCH("""", A35) +1, SEARCH("""", A35, SEARCH("""",A35) +1) - SEARCH("""", A35) -1), ""))</f>
        <v>agentCode</v>
      </c>
      <c r="C35" s="89" t="s">
        <v>68</v>
      </c>
      <c r="D35" s="89" t="str">
        <f>IF(B35="", "", VLOOKUP(B35,'API Data Dictionary'!C:D,2,FALSE))</f>
        <v>string</v>
      </c>
      <c r="E35" s="89">
        <f>IF(IF(B35="", "", VLOOKUP(B35,'API Data Dictionary'!C:E,3,FALSE))=0, "", IF(B35="", "", VLOOKUP(B35,'API Data Dictionary'!C:E,3,FALSE)))</f>
        <v>50</v>
      </c>
      <c r="F35" s="89" t="str">
        <f>IF(IF(B35="", "", VLOOKUP(B35,'API Data Dictionary'!C:F,4,FALSE))=0, "", IF(B35="", "", VLOOKUP(B35,'API Data Dictionary'!C:F,4,FALSE)))</f>
        <v/>
      </c>
      <c r="G35" s="89" t="str">
        <f>IF(IF(B35="", "", VLOOKUP(B35,'API Data Dictionary'!C:G,5,FALSE))=0, "", IF(B35="", "", VLOOKUP(B35,'API Data Dictionary'!C:G,5,FALSE)))</f>
        <v>AgentCode is the Unique Key provided to the Agent when onboarding as a Barbon Customer.
An AgentID may be linked to many Properties being managed by that Agent and Each property may be linked to 1 or more TenancyID's.</v>
      </c>
    </row>
    <row r="36" spans="1:7" x14ac:dyDescent="0.35">
      <c r="A36" s="88" t="s">
        <v>1771</v>
      </c>
      <c r="B36" s="89" t="str">
        <f t="shared" si="3"/>
        <v>propertyTenancyId</v>
      </c>
      <c r="C36" s="89" t="s">
        <v>68</v>
      </c>
      <c r="D36" s="89" t="str">
        <f>IF(B36="", "", VLOOKUP(B36,'API Data Dictionary'!C:D,2,FALSE))</f>
        <v>integer</v>
      </c>
      <c r="E36" s="89" t="str">
        <f>IF(IF(B36="", "", VLOOKUP(B36,'API Data Dictionary'!C:E,3,FALSE))=0, "", IF(B36="", "", VLOOKUP(B36,'API Data Dictionary'!C:E,3,FALSE)))</f>
        <v/>
      </c>
      <c r="F36" s="89" t="str">
        <f>IF(IF(B36="", "", VLOOKUP(B36,'API Data Dictionary'!C:F,4,FALSE))=0, "", IF(B36="", "", VLOOKUP(B36,'API Data Dictionary'!C:F,4,FALSE)))</f>
        <v/>
      </c>
      <c r="G36" s="89" t="str">
        <f>IF(IF(B36="", "", VLOOKUP(B36,'API Data Dictionary'!C:G,5,FALSE))=0, "", IF(B36="", "", VLOOKUP(B36,'API Data Dictionary'!C:G,5,FALSE)))</f>
        <v>The ID of the property tenancy</v>
      </c>
    </row>
    <row r="37" spans="1:7" x14ac:dyDescent="0.35">
      <c r="A37" s="88" t="s">
        <v>1772</v>
      </c>
      <c r="B37" s="89" t="s">
        <v>1690</v>
      </c>
      <c r="C37" s="89" t="s">
        <v>68</v>
      </c>
      <c r="D37" s="89" t="s">
        <v>1593</v>
      </c>
      <c r="E37" s="89"/>
      <c r="F37" s="89"/>
      <c r="G37" s="89"/>
    </row>
    <row r="38" spans="1:7" x14ac:dyDescent="0.35">
      <c r="A38" s="88" t="s">
        <v>1773</v>
      </c>
      <c r="B38" s="89" t="s">
        <v>1691</v>
      </c>
      <c r="C38" s="89" t="s">
        <v>68</v>
      </c>
      <c r="D38" s="89" t="s">
        <v>64</v>
      </c>
      <c r="E38" s="89"/>
      <c r="F38" s="89"/>
      <c r="G38" s="89"/>
    </row>
    <row r="39" spans="1:7" x14ac:dyDescent="0.35">
      <c r="A39" s="88" t="s">
        <v>1774</v>
      </c>
      <c r="B39" s="89" t="s">
        <v>1691</v>
      </c>
      <c r="C39" s="89" t="s">
        <v>68</v>
      </c>
      <c r="D39" s="89" t="s">
        <v>64</v>
      </c>
      <c r="E39" s="89"/>
      <c r="F39" s="89"/>
      <c r="G39" s="89"/>
    </row>
    <row r="40" spans="1:7" x14ac:dyDescent="0.35">
      <c r="A40" s="88" t="s">
        <v>1775</v>
      </c>
      <c r="B40" s="89" t="s">
        <v>1691</v>
      </c>
      <c r="C40" s="89" t="s">
        <v>68</v>
      </c>
      <c r="D40" s="89" t="s">
        <v>64</v>
      </c>
      <c r="E40" s="89"/>
      <c r="F40" s="89"/>
      <c r="G40" s="89"/>
    </row>
    <row r="41" spans="1:7" x14ac:dyDescent="0.35">
      <c r="A41" s="88" t="s">
        <v>1776</v>
      </c>
      <c r="B41" s="89" t="s">
        <v>1691</v>
      </c>
      <c r="C41" s="89" t="s">
        <v>68</v>
      </c>
      <c r="D41" s="89" t="s">
        <v>64</v>
      </c>
      <c r="E41" s="89"/>
      <c r="F41" s="89"/>
      <c r="G41" s="89"/>
    </row>
    <row r="42" spans="1:7" x14ac:dyDescent="0.35">
      <c r="A42" s="88" t="s">
        <v>1777</v>
      </c>
      <c r="B42" s="89" t="s">
        <v>1691</v>
      </c>
      <c r="C42" s="89" t="s">
        <v>68</v>
      </c>
      <c r="D42" s="89" t="s">
        <v>64</v>
      </c>
      <c r="E42" s="89"/>
      <c r="F42" s="89"/>
      <c r="G42" s="89"/>
    </row>
    <row r="43" spans="1:7" x14ac:dyDescent="0.35">
      <c r="A43" s="88" t="s">
        <v>1620</v>
      </c>
      <c r="B43" s="89"/>
      <c r="C43" s="89"/>
      <c r="D43" s="89"/>
      <c r="E43" s="89"/>
      <c r="F43" s="89"/>
      <c r="G43" s="89"/>
    </row>
    <row r="44" spans="1:7" x14ac:dyDescent="0.35">
      <c r="A44" s="88" t="s">
        <v>1621</v>
      </c>
      <c r="B44" s="89"/>
      <c r="C44" s="89"/>
      <c r="D44" s="89"/>
      <c r="E44" s="89"/>
      <c r="F44" s="89"/>
      <c r="G44" s="89"/>
    </row>
    <row r="45" spans="1:7" x14ac:dyDescent="0.35">
      <c r="A45" s="88" t="s">
        <v>1778</v>
      </c>
      <c r="B45" s="89" t="s">
        <v>1592</v>
      </c>
      <c r="C45" s="89" t="s">
        <v>68</v>
      </c>
      <c r="D45" s="89" t="s">
        <v>64</v>
      </c>
      <c r="E45" s="89"/>
      <c r="F45" s="89"/>
      <c r="G45" s="89"/>
    </row>
    <row r="46" spans="1:7" x14ac:dyDescent="0.35">
      <c r="A46" s="88" t="s">
        <v>1120</v>
      </c>
      <c r="B46" s="89"/>
      <c r="C46" s="89"/>
      <c r="D46" s="89"/>
      <c r="E46" s="89"/>
      <c r="F46" s="89"/>
      <c r="G46" s="89"/>
    </row>
    <row r="48" spans="1:7" x14ac:dyDescent="0.35">
      <c r="A48" s="219" t="s">
        <v>1625</v>
      </c>
      <c r="B48" s="220"/>
      <c r="C48" s="220"/>
      <c r="D48" s="220"/>
      <c r="E48" s="220"/>
      <c r="F48" s="220"/>
      <c r="G48" s="220"/>
    </row>
    <row r="49" spans="1:7" x14ac:dyDescent="0.35">
      <c r="A49" s="88" t="s">
        <v>1561</v>
      </c>
      <c r="B49" s="62" t="s">
        <v>1359</v>
      </c>
      <c r="C49" s="89" t="s">
        <v>1359</v>
      </c>
      <c r="D49" s="62" t="s">
        <v>64</v>
      </c>
      <c r="E49" s="89">
        <v>100</v>
      </c>
      <c r="F49" s="89"/>
      <c r="G49" s="89" t="s">
        <v>1562</v>
      </c>
    </row>
    <row r="51" spans="1:7" x14ac:dyDescent="0.35">
      <c r="A51" s="219" t="s">
        <v>1764</v>
      </c>
      <c r="B51" s="220"/>
      <c r="C51" s="220"/>
      <c r="D51" s="220"/>
      <c r="E51" s="220"/>
      <c r="F51" s="220"/>
      <c r="G51" s="220"/>
    </row>
    <row r="52" spans="1:7" x14ac:dyDescent="0.35">
      <c r="A52" s="88" t="s">
        <v>1763</v>
      </c>
      <c r="B52" s="62" t="s">
        <v>1359</v>
      </c>
      <c r="C52" s="89" t="s">
        <v>1359</v>
      </c>
      <c r="D52" s="62" t="s">
        <v>64</v>
      </c>
      <c r="E52" s="89">
        <v>100</v>
      </c>
      <c r="F52" s="89"/>
      <c r="G52" s="89" t="s">
        <v>1765</v>
      </c>
    </row>
    <row r="53" spans="1:7" x14ac:dyDescent="0.35">
      <c r="A53" s="112"/>
    </row>
    <row r="54" spans="1:7" x14ac:dyDescent="0.35">
      <c r="A54" s="220" t="s">
        <v>1747</v>
      </c>
      <c r="B54" s="220"/>
      <c r="C54" s="220"/>
      <c r="D54" s="220"/>
      <c r="E54" s="220"/>
      <c r="F54" s="220"/>
      <c r="G54" s="220"/>
    </row>
    <row r="55" spans="1:7" x14ac:dyDescent="0.35">
      <c r="A55" s="88" t="s">
        <v>1094</v>
      </c>
      <c r="B55" s="89"/>
      <c r="C55" s="89"/>
      <c r="D55" s="89"/>
      <c r="E55" s="89"/>
      <c r="F55" s="89"/>
      <c r="G55" s="89"/>
    </row>
    <row r="56" spans="1:7" x14ac:dyDescent="0.35">
      <c r="A56" s="88" t="s">
        <v>1574</v>
      </c>
      <c r="B56" s="89" t="str">
        <f t="shared" ref="B56:B57" si="4">IF(OR(ISNUMBER(SEARCH("{", A56)),ISNUMBER(SEARCH("[", A56))), "", IFERROR(MID(A56, SEARCH("""", A56) +1, SEARCH("""", A56, SEARCH("""",A56) +1) - SEARCH("""", A56) -1), ""))</f>
        <v>success</v>
      </c>
      <c r="C56" s="89" t="s">
        <v>68</v>
      </c>
      <c r="D56" s="89" t="str">
        <f>IF(B56="", "", VLOOKUP(B56,'API Data Dictionary'!C:D,2,FALSE))</f>
        <v>string - Boolean</v>
      </c>
      <c r="E56" s="89">
        <f>IF(IF(B56="", "", VLOOKUP(B56,'API Data Dictionary'!C:E,3,FALSE))=0, "", IF(B56="", "", VLOOKUP(B56,'API Data Dictionary'!C:E,3,FALSE)))</f>
        <v>100</v>
      </c>
      <c r="F56" s="89" t="str">
        <f>IF(IF(B56="", "", VLOOKUP(B56,'API Data Dictionary'!C:F,4,FALSE))=0, "", IF(B56="", "", VLOOKUP(B56,'API Data Dictionary'!C:F,4,FALSE)))</f>
        <v/>
      </c>
      <c r="G56" s="89" t="str">
        <f>IF(IF(B56="", "", VLOOKUP(B56,'API Data Dictionary'!C:G,5,FALSE))=0, "", IF(B56="", "", VLOOKUP(B56,'API Data Dictionary'!C:G,5,FALSE)))</f>
        <v>Returns true when successful call/connection</v>
      </c>
    </row>
    <row r="57" spans="1:7" x14ac:dyDescent="0.35">
      <c r="A57" s="88" t="s">
        <v>1377</v>
      </c>
      <c r="B57" s="89" t="str">
        <f t="shared" si="4"/>
        <v/>
      </c>
      <c r="C57" s="89" t="str">
        <f>IF(B57="", "", VLOOKUP(B57,'API Data Dictionary'!C:J,8,FALSE))</f>
        <v/>
      </c>
      <c r="D57" s="89" t="str">
        <f>IF(B57="", "", VLOOKUP(B57,'API Data Dictionary'!C:D,2,FALSE))</f>
        <v/>
      </c>
      <c r="E57" s="89" t="str">
        <f>IF(IF(B57="", "", VLOOKUP(B57,'API Data Dictionary'!C:E,3,FALSE))=0, "", IF(B57="", "", VLOOKUP(B57,'API Data Dictionary'!C:E,3,FALSE)))</f>
        <v/>
      </c>
      <c r="F57" s="89" t="str">
        <f>IF(IF(B57="", "", VLOOKUP(B57,'API Data Dictionary'!C:F,4,FALSE))=0, "", IF(B57="", "", VLOOKUP(B57,'API Data Dictionary'!C:F,4,FALSE)))</f>
        <v/>
      </c>
      <c r="G57" s="89" t="str">
        <f>IF(IF(B57="", "", VLOOKUP(B57,'API Data Dictionary'!C:G,5,FALSE))=0, "", IF(B57="", "", VLOOKUP(B57,'API Data Dictionary'!C:G,5,FALSE)))</f>
        <v/>
      </c>
    </row>
    <row r="58" spans="1:7" x14ac:dyDescent="0.35">
      <c r="A58" s="88" t="s">
        <v>1564</v>
      </c>
      <c r="B58" s="89" t="s">
        <v>1589</v>
      </c>
      <c r="C58" s="89" t="s">
        <v>68</v>
      </c>
      <c r="D58" s="89" t="s">
        <v>1593</v>
      </c>
      <c r="E58" s="89"/>
      <c r="F58" s="89"/>
      <c r="G58" s="89"/>
    </row>
    <row r="59" spans="1:7" x14ac:dyDescent="0.35">
      <c r="A59" s="88" t="s">
        <v>1685</v>
      </c>
      <c r="B59" s="89" t="s">
        <v>1590</v>
      </c>
      <c r="C59" s="89" t="s">
        <v>68</v>
      </c>
      <c r="D59" s="89" t="s">
        <v>64</v>
      </c>
      <c r="E59" s="109" t="s">
        <v>1594</v>
      </c>
      <c r="F59" s="89"/>
      <c r="G59" s="89"/>
    </row>
    <row r="60" spans="1:7" x14ac:dyDescent="0.35">
      <c r="A60" s="88" t="s">
        <v>1686</v>
      </c>
      <c r="B60" s="89" t="s">
        <v>1591</v>
      </c>
      <c r="C60" s="89" t="s">
        <v>68</v>
      </c>
      <c r="D60" s="89" t="s">
        <v>64</v>
      </c>
      <c r="E60" s="109" t="s">
        <v>1594</v>
      </c>
      <c r="F60" s="89"/>
      <c r="G60" s="89"/>
    </row>
    <row r="61" spans="1:7" x14ac:dyDescent="0.35">
      <c r="A61" s="88" t="s">
        <v>1566</v>
      </c>
      <c r="B61" s="89"/>
      <c r="C61" s="89"/>
      <c r="D61" s="89"/>
      <c r="E61" s="109"/>
      <c r="F61" s="89"/>
      <c r="G61" s="89"/>
    </row>
    <row r="62" spans="1:7" x14ac:dyDescent="0.35">
      <c r="A62" s="88" t="s">
        <v>1413</v>
      </c>
      <c r="B62" s="89"/>
      <c r="C62" s="89"/>
      <c r="D62" s="89"/>
      <c r="E62" s="109"/>
      <c r="F62" s="89" t="str">
        <f>IF(IF(B62="", "", VLOOKUP(B62,'API Data Dictionary'!C:F,4,FALSE))=0, "", IF(B62="", "", VLOOKUP(B62,'API Data Dictionary'!C:F,4,FALSE)))</f>
        <v/>
      </c>
      <c r="G62" s="89"/>
    </row>
    <row r="63" spans="1:7" x14ac:dyDescent="0.35">
      <c r="A63" s="88" t="s">
        <v>1576</v>
      </c>
      <c r="B63" s="89" t="s">
        <v>1579</v>
      </c>
      <c r="C63" s="89" t="s">
        <v>68</v>
      </c>
      <c r="D63" s="89" t="s">
        <v>64</v>
      </c>
      <c r="E63" s="109" t="s">
        <v>1594</v>
      </c>
      <c r="F63" s="89"/>
      <c r="G63" s="89"/>
    </row>
    <row r="64" spans="1:7" x14ac:dyDescent="0.35">
      <c r="A64" s="88" t="s">
        <v>1577</v>
      </c>
      <c r="B64" s="89" t="s">
        <v>1580</v>
      </c>
      <c r="C64" s="89" t="s">
        <v>68</v>
      </c>
      <c r="D64" s="89" t="s">
        <v>64</v>
      </c>
      <c r="E64" s="109" t="s">
        <v>1594</v>
      </c>
      <c r="F64" s="89"/>
      <c r="G64" s="89"/>
    </row>
    <row r="65" spans="1:7" x14ac:dyDescent="0.35">
      <c r="A65" s="88" t="s">
        <v>1105</v>
      </c>
      <c r="B65" s="89"/>
      <c r="C65" s="89"/>
      <c r="D65" s="89"/>
      <c r="E65" s="109"/>
      <c r="F65" s="89"/>
      <c r="G65" s="89"/>
    </row>
    <row r="66" spans="1:7" x14ac:dyDescent="0.35">
      <c r="A66" s="88" t="s">
        <v>1687</v>
      </c>
      <c r="B66" s="89" t="s">
        <v>1592</v>
      </c>
      <c r="C66" s="89" t="s">
        <v>68</v>
      </c>
      <c r="D66" s="89" t="s">
        <v>64</v>
      </c>
      <c r="E66" s="109" t="s">
        <v>1594</v>
      </c>
      <c r="F66" s="89"/>
      <c r="G66" s="89"/>
    </row>
    <row r="67" spans="1:7" x14ac:dyDescent="0.35">
      <c r="A67" s="88" t="s">
        <v>1120</v>
      </c>
      <c r="B67" s="89"/>
      <c r="C67" s="89"/>
      <c r="D67" s="89"/>
      <c r="E67" s="89"/>
      <c r="F67" s="89"/>
      <c r="G67" s="89"/>
    </row>
    <row r="69" spans="1:7" x14ac:dyDescent="0.35">
      <c r="A69" s="220" t="s">
        <v>1598</v>
      </c>
      <c r="B69" s="220"/>
      <c r="C69" s="220"/>
      <c r="D69" s="220"/>
      <c r="E69" s="220"/>
      <c r="F69" s="220"/>
      <c r="G69" s="220"/>
    </row>
    <row r="70" spans="1:7" x14ac:dyDescent="0.35">
      <c r="A70" s="110" t="s">
        <v>1094</v>
      </c>
      <c r="B70" s="89" t="str">
        <f t="shared" ref="B70:B74" si="5">IF(OR(ISNUMBER(SEARCH("{", A70)),ISNUMBER(SEARCH("[", A70))), "", IFERROR(MID(A70, SEARCH("""", A70) +1, SEARCH("""", A70, SEARCH("""",A70) +1) - SEARCH("""", A70) -1), ""))</f>
        <v/>
      </c>
      <c r="C70" s="89" t="str">
        <f>IF(B70="", "", VLOOKUP(B70,'API Data Dictionary'!C:J,8,FALSE))</f>
        <v/>
      </c>
      <c r="D70" s="89" t="str">
        <f>IF(B70="", "", VLOOKUP(B70,'API Data Dictionary'!C:D,2,FALSE))</f>
        <v/>
      </c>
      <c r="E70" s="89" t="str">
        <f>IF(IF(B70="", "", VLOOKUP(B70,'API Data Dictionary'!C:E,3,FALSE))=0, "", IF(B70="", "", VLOOKUP(B70,'API Data Dictionary'!C:E,3,FALSE)))</f>
        <v/>
      </c>
      <c r="F70" s="89" t="str">
        <f>IF(IF(B70="", "", VLOOKUP(B70,'API Data Dictionary'!C:F,4,FALSE))=0, "", IF(B70="", "", VLOOKUP(B70,'API Data Dictionary'!C:F,4,FALSE)))</f>
        <v/>
      </c>
      <c r="G70" s="89" t="str">
        <f>IF(IF(B70="", "", VLOOKUP(B70,'API Data Dictionary'!C:G,5,FALSE))=0, "", IF(B70="", "", VLOOKUP(B70,'API Data Dictionary'!C:G,5,FALSE)))</f>
        <v/>
      </c>
    </row>
    <row r="71" spans="1:7" x14ac:dyDescent="0.35">
      <c r="A71" s="110" t="s">
        <v>1567</v>
      </c>
      <c r="B71" s="89" t="str">
        <f t="shared" si="5"/>
        <v>success</v>
      </c>
      <c r="C71" s="89" t="s">
        <v>68</v>
      </c>
      <c r="D71" s="89" t="str">
        <f>IF(B71="", "", VLOOKUP(B71,'API Data Dictionary'!C:D,2,FALSE))</f>
        <v>string - Boolean</v>
      </c>
      <c r="E71" s="89">
        <f>IF(IF(B71="", "", VLOOKUP(B71,'API Data Dictionary'!C:E,3,FALSE))=0, "", IF(B71="", "", VLOOKUP(B71,'API Data Dictionary'!C:E,3,FALSE)))</f>
        <v>100</v>
      </c>
      <c r="F71" s="89" t="str">
        <f>IF(IF(B71="", "", VLOOKUP(B71,'API Data Dictionary'!C:F,4,FALSE))=0, "", IF(B71="", "", VLOOKUP(B71,'API Data Dictionary'!C:F,4,FALSE)))</f>
        <v/>
      </c>
      <c r="G71" s="89" t="str">
        <f>IF(IF(B71="", "", VLOOKUP(B71,'API Data Dictionary'!C:G,5,FALSE))=0, "", IF(B71="", "", VLOOKUP(B71,'API Data Dictionary'!C:G,5,FALSE)))</f>
        <v>Returns true when successful call/connection</v>
      </c>
    </row>
    <row r="72" spans="1:7" x14ac:dyDescent="0.35">
      <c r="A72" s="110" t="s">
        <v>1596</v>
      </c>
      <c r="B72" s="89" t="str">
        <f t="shared" si="5"/>
        <v>payload</v>
      </c>
      <c r="C72" s="89" t="s">
        <v>68</v>
      </c>
      <c r="D72" s="89" t="str">
        <f>IF(B72="", "", VLOOKUP(B72,'API Data Dictionary'!C:D,2,FALSE))</f>
        <v>string</v>
      </c>
      <c r="E72" s="89">
        <f>IF(IF(B72="", "", VLOOKUP(B72,'API Data Dictionary'!C:E,3,FALSE))=0, "", IF(B72="", "", VLOOKUP(B72,'API Data Dictionary'!C:E,3,FALSE)))</f>
        <v>100</v>
      </c>
      <c r="F72" s="89" t="str">
        <f>IF(IF(B72="", "", VLOOKUP(B72,'API Data Dictionary'!C:F,4,FALSE))=0, "", IF(B72="", "", VLOOKUP(B72,'API Data Dictionary'!C:F,4,FALSE)))</f>
        <v/>
      </c>
      <c r="G72" s="89" t="str">
        <f>IF(IF(B72="", "", VLOOKUP(B72,'API Data Dictionary'!C:G,5,FALSE))=0, "", IF(B72="", "", VLOOKUP(B72,'API Data Dictionary'!C:G,5,FALSE)))</f>
        <v>Returns healthy when connection has worked properly</v>
      </c>
    </row>
    <row r="73" spans="1:7" x14ac:dyDescent="0.35">
      <c r="A73" s="110" t="s">
        <v>1597</v>
      </c>
      <c r="B73" s="89" t="str">
        <f t="shared" si="5"/>
        <v>message</v>
      </c>
      <c r="C73" s="89" t="s">
        <v>68</v>
      </c>
      <c r="D73" s="89" t="str">
        <f>IF(B73="", "", VLOOKUP(B73,'API Data Dictionary'!C:D,2,FALSE))</f>
        <v>string</v>
      </c>
      <c r="E73" s="89">
        <f>IF(IF(B73="", "", VLOOKUP(B73,'API Data Dictionary'!C:E,3,FALSE))=0, "", IF(B73="", "", VLOOKUP(B73,'API Data Dictionary'!C:E,3,FALSE)))</f>
        <v>100</v>
      </c>
      <c r="F73" s="89" t="str">
        <f>IF(IF(B73="", "", VLOOKUP(B73,'API Data Dictionary'!C:F,4,FALSE))=0, "", IF(B73="", "", VLOOKUP(B73,'API Data Dictionary'!C:F,4,FALSE)))</f>
        <v/>
      </c>
      <c r="G73" s="89" t="str">
        <f>IF(IF(B73="", "", VLOOKUP(B73,'API Data Dictionary'!C:G,5,FALSE))=0, "", IF(B73="", "", VLOOKUP(B73,'API Data Dictionary'!C:G,5,FALSE)))</f>
        <v>return value, null or success, unless there has been error</v>
      </c>
    </row>
    <row r="74" spans="1:7" x14ac:dyDescent="0.35">
      <c r="A74" s="110" t="s">
        <v>1120</v>
      </c>
      <c r="B74" s="89" t="str">
        <f t="shared" si="5"/>
        <v/>
      </c>
      <c r="C74" s="89" t="str">
        <f>IF(B74="", "", VLOOKUP(B74,'API Data Dictionary'!C:J,8,FALSE))</f>
        <v/>
      </c>
      <c r="D74" s="89" t="str">
        <f>IF(B74="", "", VLOOKUP(B74,'API Data Dictionary'!C:D,2,FALSE))</f>
        <v/>
      </c>
      <c r="E74" s="89" t="str">
        <f>IF(IF(B74="", "", VLOOKUP(B74,'API Data Dictionary'!C:E,3,FALSE))=0, "", IF(B74="", "", VLOOKUP(B74,'API Data Dictionary'!C:E,3,FALSE)))</f>
        <v/>
      </c>
      <c r="F74" s="89" t="str">
        <f>IF(IF(B74="", "", VLOOKUP(B74,'API Data Dictionary'!C:F,4,FALSE))=0, "", IF(B74="", "", VLOOKUP(B74,'API Data Dictionary'!C:F,4,FALSE)))</f>
        <v/>
      </c>
      <c r="G74" s="89" t="str">
        <f>IF(IF(B74="", "", VLOOKUP(B74,'API Data Dictionary'!C:G,5,FALSE))=0, "", IF(B74="", "", VLOOKUP(B74,'API Data Dictionary'!C:G,5,FALSE)))</f>
        <v/>
      </c>
    </row>
  </sheetData>
  <mergeCells count="6">
    <mergeCell ref="A31:G31"/>
    <mergeCell ref="A2:G2"/>
    <mergeCell ref="A54:G54"/>
    <mergeCell ref="A69:G69"/>
    <mergeCell ref="A48:G48"/>
    <mergeCell ref="A51:G5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38A15-94D0-47E6-9D84-F428BF0E77CB}">
  <sheetPr>
    <tabColor rgb="FF4472C4"/>
  </sheetPr>
  <dimension ref="A1:G172"/>
  <sheetViews>
    <sheetView topLeftCell="A119" zoomScale="110" zoomScaleNormal="110" workbookViewId="0"/>
  </sheetViews>
  <sheetFormatPr defaultRowHeight="14.5" x14ac:dyDescent="0.35"/>
  <cols>
    <col min="1" max="1" width="56.54296875" bestFit="1" customWidth="1"/>
    <col min="2" max="2" width="22.1796875" bestFit="1" customWidth="1"/>
    <col min="3" max="3" width="16" bestFit="1" customWidth="1"/>
    <col min="4" max="4" width="15.6328125" customWidth="1"/>
    <col min="5" max="5" width="10.54296875" customWidth="1"/>
    <col min="6" max="6" width="14.453125" customWidth="1"/>
    <col min="7" max="7" width="255.6328125" bestFit="1" customWidth="1"/>
  </cols>
  <sheetData>
    <row r="1" spans="1:7" ht="43.5" x14ac:dyDescent="0.35">
      <c r="A1" s="63" t="s">
        <v>1290</v>
      </c>
      <c r="B1" s="63" t="s">
        <v>1090</v>
      </c>
      <c r="C1" s="63" t="s">
        <v>1091</v>
      </c>
      <c r="D1" s="63" t="s">
        <v>1092</v>
      </c>
      <c r="E1" s="63" t="s">
        <v>57</v>
      </c>
      <c r="F1" s="63" t="s">
        <v>58</v>
      </c>
      <c r="G1" s="63" t="s">
        <v>1093</v>
      </c>
    </row>
    <row r="2" spans="1:7" x14ac:dyDescent="0.35">
      <c r="A2" s="221" t="s">
        <v>1705</v>
      </c>
      <c r="B2" s="221"/>
      <c r="C2" s="221"/>
      <c r="D2" s="221"/>
      <c r="E2" s="221"/>
      <c r="F2" s="221"/>
      <c r="G2" s="221"/>
    </row>
    <row r="3" spans="1:7" x14ac:dyDescent="0.35">
      <c r="A3" s="64" t="s">
        <v>1094</v>
      </c>
      <c r="B3" s="62" t="str">
        <f t="shared" ref="B3:B9" si="0">IF(OR(ISNUMBER(SEARCH("{", A3)),ISNUMBER(SEARCH("[", A3))), "", IFERROR(MID(A3, SEARCH("""", A3) +1, SEARCH("""", A3, SEARCH("""",A3) +1) - SEARCH("""", A3) -1), ""))</f>
        <v/>
      </c>
      <c r="C3" s="62" t="str">
        <f>IF(B3="", "", VLOOKUP(B3,'API Data Dictionary'!C:X,22,FALSE))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1689</v>
      </c>
      <c r="B4" s="62" t="str">
        <f t="shared" si="0"/>
        <v>agentCode</v>
      </c>
      <c r="C4" s="62" t="s">
        <v>68</v>
      </c>
      <c r="D4" s="62" t="str">
        <f>IF(B4="", "", VLOOKUP(B4,'API Data Dictionary'!C:D,2,FALSE))</f>
        <v>string</v>
      </c>
      <c r="E4" s="62">
        <f>IF(IF(B4="", "", VLOOKUP(B4,'API Data Dictionary'!C:E,3,FALSE))=0, "", IF(B4="", "", VLOOKUP(B4,'API Data Dictionary'!C:E,3,FALSE)))</f>
        <v>50</v>
      </c>
      <c r="F4" s="62" t="str">
        <f>IF(IF(B4="", "", VLOOKUP(B4,'API Data Dictionary'!C:F,4,FALSE))=0, "", IF(B4="", "", VLOOKUP(B4,'API Data Dictionary'!C:F,4,FALSE)))</f>
        <v/>
      </c>
      <c r="G4" s="62"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x14ac:dyDescent="0.35">
      <c r="A5" s="64" t="s">
        <v>1692</v>
      </c>
      <c r="B5" s="62" t="str">
        <f t="shared" si="0"/>
        <v>applicantID</v>
      </c>
      <c r="C5" s="62" t="str">
        <f>IF(B5="", "", VLOOKUP(B5,'API Data Dictionary'!C:X,22,FALSE))</f>
        <v>M</v>
      </c>
      <c r="D5" s="62" t="str">
        <f>IF(B5="", "", VLOOKUP(B5,'API Data Dictionary'!C:D,2,FALSE))</f>
        <v>integer</v>
      </c>
      <c r="E5" s="62" t="str">
        <f>IF(IF(B5="", "", VLOOKUP(B5,'API Data Dictionary'!C:E,3,FALSE))=0, "", IF(B5="", "", VLOOKUP(B5,'API Data Dictionary'!C:E,3,FALSE)))</f>
        <v/>
      </c>
      <c r="F5" s="62" t="str">
        <f>IF(IF(B5="", "", VLOOKUP(B5,'API Data Dictionary'!C:F,4,FALSE))=0, "", IF(B5="", "", VLOOKUP(B5,'API Data Dictionary'!C:F,4,FALSE)))</f>
        <v/>
      </c>
      <c r="G5" s="62" t="str">
        <f>IF(IF(B5="", "", VLOOKUP(B5,'API Data Dictionary'!C:G,5,FALSE))=0, "", IF(B5="", "", VLOOKUP(B5,'API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6" spans="1:7" x14ac:dyDescent="0.35">
      <c r="A6" s="64" t="s">
        <v>1703</v>
      </c>
      <c r="B6" s="62" t="str">
        <f t="shared" si="0"/>
        <v>referenceType</v>
      </c>
      <c r="C6" s="62" t="s">
        <v>68</v>
      </c>
      <c r="D6" s="62" t="str">
        <f>IF(B6="", "", VLOOKUP(B6,'API Data Dictionary'!C:D,2,FALSE))</f>
        <v>enum - Reference Type</v>
      </c>
      <c r="E6" s="62" t="str">
        <f>IF(IF(B6="", "", VLOOKUP(B6,'API Data Dictionary'!C:E,3,FALSE))=0, "", IF(B6="", "", VLOOKUP(B6,'API Data Dictionary'!C:E,3,FALSE)))</f>
        <v/>
      </c>
      <c r="F6" s="62" t="str">
        <f>IF(IF(B6="", "", VLOOKUP(B6,'API Data Dictionary'!C:F,4,FALSE))=0, "", IF(B6="", "", VLOOKUP(B6,'API Data Dictionary'!C:F,4,FALSE)))</f>
        <v>Valid Values 1-2 (See enum definition)</v>
      </c>
      <c r="G6" s="62" t="str">
        <f>IF(IF(B6="", "", VLOOKUP(B6,'API Data Dictionary'!C:G,5,FALSE))=0, "", IF(B6="", "", VLOOKUP(B6,'API Data Dictionary'!C:G,5,FALSE)))</f>
        <v>The Type of reference, e.g Full or Express</v>
      </c>
    </row>
    <row r="7" spans="1:7" x14ac:dyDescent="0.35">
      <c r="A7" s="64" t="s">
        <v>1143</v>
      </c>
      <c r="B7" s="62" t="str">
        <f t="shared" si="0"/>
        <v>rightToRent</v>
      </c>
      <c r="C7" s="62" t="s">
        <v>68</v>
      </c>
      <c r="D7" s="62" t="str">
        <f>IF(B7="", "", VLOOKUP(B7,'API Data Dictionary'!C:D,2,FALSE))</f>
        <v>boolean</v>
      </c>
      <c r="E7" s="62" t="str">
        <f>IF(IF(B7="", "", VLOOKUP(B7,'API Data Dictionary'!C:E,3,FALSE))=0, "", IF(B7="", "", VLOOKUP(B7,'API Data Dictionary'!C:E,3,FALSE)))</f>
        <v/>
      </c>
      <c r="F7" s="62" t="str">
        <f>IF(IF(B7="", "", VLOOKUP(B7,'API Data Dictionary'!C:F,4,FALSE))=0, "", IF(B7="", "", VLOOKUP(B7,'API Data Dictionary'!C:F,4,FALSE)))</f>
        <v/>
      </c>
      <c r="G7" s="62" t="str">
        <f>IF(IF(B7="", "", VLOOKUP(B7,'API Data Dictionary'!C:G,5,FALSE))=0, "", IF(B7="", "", VLOOKUP(B7,'API Data Dictionary'!C:G,5,FALSE)))</f>
        <v>Use Right to rent product for this reference</v>
      </c>
    </row>
    <row r="8" spans="1:7" x14ac:dyDescent="0.35">
      <c r="A8" s="64" t="s">
        <v>1704</v>
      </c>
      <c r="B8" s="62" t="str">
        <f t="shared" si="0"/>
        <v>isTenantFillDetails</v>
      </c>
      <c r="C8" s="62" t="s">
        <v>68</v>
      </c>
      <c r="D8" s="62" t="s">
        <v>134</v>
      </c>
      <c r="E8" s="62"/>
      <c r="F8" s="62"/>
      <c r="G8" s="62" t="s">
        <v>1706</v>
      </c>
    </row>
    <row r="9" spans="1:7" x14ac:dyDescent="0.35">
      <c r="A9" s="64" t="s">
        <v>1120</v>
      </c>
      <c r="B9" s="62" t="str">
        <f t="shared" si="0"/>
        <v/>
      </c>
      <c r="C9" s="62" t="str">
        <f>IF(B9="", "", VLOOKUP(B9,'API Data Dictionary'!C:X,22,FALSE))</f>
        <v/>
      </c>
      <c r="D9" s="62" t="str">
        <f>IF(B9="", "", VLOOKUP(B9,'API Data Dictionary'!C:D,2,FALSE))</f>
        <v/>
      </c>
      <c r="E9" s="62" t="str">
        <f>IF(IF(B9="", "", VLOOKUP(B9,'API Data Dictionary'!C:E,3,FALSE))=0, "", IF(B9="", "", VLOOKUP(B9,'API Data Dictionary'!C:E,3,FALSE)))</f>
        <v/>
      </c>
      <c r="F9" s="62" t="str">
        <f>IF(IF(B9="", "", VLOOKUP(B9,'API Data Dictionary'!C:F,4,FALSE))=0, "", IF(B9="", "", VLOOKUP(B9,'API Data Dictionary'!C:F,4,FALSE)))</f>
        <v/>
      </c>
      <c r="G9" s="62" t="str">
        <f>IF(IF(B9="", "", VLOOKUP(B9,'API Data Dictionary'!C:G,5,FALSE))=0, "", IF(B9="", "", VLOOKUP(B9,'API Data Dictionary'!C:G,5,FALSE)))</f>
        <v/>
      </c>
    </row>
    <row r="10" spans="1:7" s="119" customFormat="1" x14ac:dyDescent="0.35">
      <c r="A10" s="120"/>
      <c r="B10" s="118"/>
      <c r="C10" s="118"/>
      <c r="D10" s="118"/>
      <c r="E10" s="118"/>
      <c r="F10" s="118"/>
      <c r="G10" s="118"/>
    </row>
    <row r="11" spans="1:7" x14ac:dyDescent="0.35">
      <c r="A11" s="225" t="s">
        <v>1702</v>
      </c>
      <c r="B11" s="225"/>
      <c r="C11" s="225"/>
      <c r="D11" s="225"/>
      <c r="E11" s="225"/>
      <c r="F11" s="225"/>
      <c r="G11" s="225"/>
    </row>
    <row r="12" spans="1:7" x14ac:dyDescent="0.35">
      <c r="A12" s="86" t="s">
        <v>1094</v>
      </c>
      <c r="B12" s="87" t="str">
        <f t="shared" ref="B12:B16" si="1">IF(OR(ISNUMBER(SEARCH("{", A12)),ISNUMBER(SEARCH("[", A12))), "", IFERROR(MID(A12, SEARCH("""", A12) +1, SEARCH("""", A12, SEARCH("""",A12) +1) - SEARCH("""", A12) -1), ""))</f>
        <v/>
      </c>
      <c r="C12" s="87" t="str">
        <f>IF(B12="", "", VLOOKUP(B12,'API Data Dictionary'!C:X,22,FALSE))</f>
        <v/>
      </c>
      <c r="D12" s="87" t="str">
        <f>IF(B12="", "", VLOOKUP(B12,'API Data Dictionary'!C:D,2,FALSE))</f>
        <v/>
      </c>
      <c r="E12" s="87" t="str">
        <f>IF(IF(B12="", "", VLOOKUP(B12,'API Data Dictionary'!C:E,3,FALSE))=0, "", IF(B12="", "", VLOOKUP(B12,'API Data Dictionary'!C:E,3,FALSE)))</f>
        <v/>
      </c>
      <c r="F12" s="87" t="str">
        <f>IF(IF(B12="", "", VLOOKUP(B12,'API Data Dictionary'!C:F,4,FALSE))=0, "", IF(B12="", "", VLOOKUP(B12,'API Data Dictionary'!C:F,4,FALSE)))</f>
        <v/>
      </c>
      <c r="G12" s="87" t="str">
        <f>IF(IF(B12="", "", VLOOKUP(B12,'API Data Dictionary'!C:G,5,FALSE))=0, "", IF(B12="", "", VLOOKUP(B12,'API Data Dictionary'!C:G,5,FALSE)))</f>
        <v/>
      </c>
    </row>
    <row r="13" spans="1:7" x14ac:dyDescent="0.35">
      <c r="A13" s="64" t="s">
        <v>1689</v>
      </c>
      <c r="B13" s="62" t="str">
        <f t="shared" si="1"/>
        <v>agentCode</v>
      </c>
      <c r="C13" s="62" t="s">
        <v>68</v>
      </c>
      <c r="D13" s="62" t="str">
        <f>IF(B13="", "", VLOOKUP(B13,'API Data Dictionary'!C:D,2,FALSE))</f>
        <v>string</v>
      </c>
      <c r="E13" s="62">
        <f>IF(IF(B13="", "", VLOOKUP(B13,'API Data Dictionary'!C:E,3,FALSE))=0, "", IF(B13="", "", VLOOKUP(B13,'API Data Dictionary'!C:E,3,FALSE)))</f>
        <v>50</v>
      </c>
      <c r="F13" s="62" t="str">
        <f>IF(IF(B13="", "", VLOOKUP(B13,'API Data Dictionary'!C:F,4,FALSE))=0, "", IF(B13="", "", VLOOKUP(B13,'API Data Dictionary'!C:F,4,FALSE)))</f>
        <v/>
      </c>
      <c r="G13" s="62" t="str">
        <f>IF(IF(B13="", "", VLOOKUP(B13,'API Data Dictionary'!C:G,5,FALSE))=0, "", IF(B13="", "", VLOOKUP(B13,'API Data Dictionary'!C:G,5,FALSE)))</f>
        <v>AgentCode is the Unique Key provided to the Agent when onboarding as a Barbon Customer.
An AgentID may be linked to many Properties being managed by that Agent and Each property may be linked to 1 or more TenancyID's.</v>
      </c>
    </row>
    <row r="14" spans="1:7" x14ac:dyDescent="0.35">
      <c r="A14" s="64" t="s">
        <v>1692</v>
      </c>
      <c r="B14" s="62" t="str">
        <f t="shared" si="1"/>
        <v>applicantID</v>
      </c>
      <c r="C14" s="62" t="str">
        <f>IF(B14="", "", VLOOKUP(B14,'API Data Dictionary'!C:X,22,FALSE))</f>
        <v>M</v>
      </c>
      <c r="D14" s="62" t="str">
        <f>IF(B14="", "", VLOOKUP(B14,'API Data Dictionary'!C:D,2,FALSE))</f>
        <v>integer</v>
      </c>
      <c r="E14" s="62" t="str">
        <f>IF(IF(B14="", "", VLOOKUP(B14,'API Data Dictionary'!C:E,3,FALSE))=0, "", IF(B14="", "", VLOOKUP(B14,'API Data Dictionary'!C:E,3,FALSE)))</f>
        <v/>
      </c>
      <c r="F14" s="62" t="str">
        <f>IF(IF(B14="", "", VLOOKUP(B14,'API Data Dictionary'!C:F,4,FALSE))=0, "", IF(B14="", "", VLOOKUP(B14,'API Data Dictionary'!C:F,4,FALSE)))</f>
        <v/>
      </c>
      <c r="G14" s="62" t="str">
        <f>IF(IF(B14="", "", VLOOKUP(B14,'API Data Dictionary'!C:G,5,FALSE))=0, "", IF(B14="", "", VLOOKUP(B14,'API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15" spans="1:7" x14ac:dyDescent="0.35">
      <c r="A15" s="64" t="s">
        <v>1142</v>
      </c>
      <c r="B15" s="62" t="str">
        <f t="shared" si="1"/>
        <v>referenceType</v>
      </c>
      <c r="C15" s="62" t="s">
        <v>68</v>
      </c>
      <c r="D15" s="62" t="str">
        <f>IF(B15="", "", VLOOKUP(B15,'API Data Dictionary'!C:D,2,FALSE))</f>
        <v>enum - Reference Type</v>
      </c>
      <c r="E15" s="62" t="str">
        <f>IF(IF(B15="", "", VLOOKUP(B15,'API Data Dictionary'!C:E,3,FALSE))=0, "", IF(B15="", "", VLOOKUP(B15,'API Data Dictionary'!C:E,3,FALSE)))</f>
        <v/>
      </c>
      <c r="F15" s="62" t="str">
        <f>IF(IF(B15="", "", VLOOKUP(B15,'API Data Dictionary'!C:F,4,FALSE))=0, "", IF(B15="", "", VLOOKUP(B15,'API Data Dictionary'!C:F,4,FALSE)))</f>
        <v>Valid Values 1-2 (See enum definition)</v>
      </c>
      <c r="G15" s="62" t="str">
        <f>IF(IF(B15="", "", VLOOKUP(B15,'API Data Dictionary'!C:G,5,FALSE))=0, "", IF(B15="", "", VLOOKUP(B15,'API Data Dictionary'!C:G,5,FALSE)))</f>
        <v>The Type of reference, e.g Full or Express</v>
      </c>
    </row>
    <row r="16" spans="1:7" x14ac:dyDescent="0.35">
      <c r="A16" s="64" t="s">
        <v>1143</v>
      </c>
      <c r="B16" s="62" t="str">
        <f t="shared" si="1"/>
        <v>rightToRent</v>
      </c>
      <c r="C16" s="62" t="s">
        <v>68</v>
      </c>
      <c r="D16" s="62" t="str">
        <f>IF(B16="", "", VLOOKUP(B16,'API Data Dictionary'!C:D,2,FALSE))</f>
        <v>boolean</v>
      </c>
      <c r="E16" s="62" t="str">
        <f>IF(IF(B16="", "", VLOOKUP(B16,'API Data Dictionary'!C:E,3,FALSE))=0, "", IF(B16="", "", VLOOKUP(B16,'API Data Dictionary'!C:E,3,FALSE)))</f>
        <v/>
      </c>
      <c r="F16" s="62" t="str">
        <f>IF(IF(B16="", "", VLOOKUP(B16,'API Data Dictionary'!C:F,4,FALSE))=0, "", IF(B16="", "", VLOOKUP(B16,'API Data Dictionary'!C:F,4,FALSE)))</f>
        <v/>
      </c>
      <c r="G16" s="62" t="str">
        <f>IF(IF(B16="", "", VLOOKUP(B16,'API Data Dictionary'!C:G,5,FALSE))=0, "", IF(B16="", "", VLOOKUP(B16,'API Data Dictionary'!C:G,5,FALSE)))</f>
        <v>Use Right to rent product for this reference</v>
      </c>
    </row>
    <row r="17" spans="1:7" x14ac:dyDescent="0.35">
      <c r="A17" s="64" t="s">
        <v>1442</v>
      </c>
      <c r="B17" s="62" t="str">
        <f t="shared" ref="B17:B80" si="2">IF(OR(ISNUMBER(SEARCH("{", A17)),ISNUMBER(SEARCH("[", A17))), "", IFERROR(MID(A17, SEARCH("""", A17) +1, SEARCH("""", A17, SEARCH("""",A17) +1) - SEARCH("""", A17) -1), ""))</f>
        <v>isTenantFillDetails</v>
      </c>
      <c r="C17" s="62" t="s">
        <v>68</v>
      </c>
      <c r="D17" s="62" t="s">
        <v>134</v>
      </c>
      <c r="E17" s="62"/>
      <c r="F17" s="62"/>
      <c r="G17" s="62" t="s">
        <v>1706</v>
      </c>
    </row>
    <row r="18" spans="1:7" x14ac:dyDescent="0.35">
      <c r="A18" s="64" t="s">
        <v>1443</v>
      </c>
      <c r="B18" s="62" t="str">
        <f t="shared" si="2"/>
        <v/>
      </c>
      <c r="C18" s="62" t="str">
        <f>IF(B18="", "", VLOOKUP(B18,'API Data Dictionary'!C:X,22,FALSE))</f>
        <v/>
      </c>
      <c r="D18" s="62" t="str">
        <f>IF(B18="", "", VLOOKUP(B18,'API Data Dictionary'!C:D,2,FALSE))</f>
        <v/>
      </c>
      <c r="E18" s="62" t="str">
        <f>IF(IF(B18="", "", VLOOKUP(B18,'API Data Dictionary'!C:E,3,FALSE))=0, "", IF(B18="", "", VLOOKUP(B18,'API Data Dictionary'!C:E,3,FALSE)))</f>
        <v/>
      </c>
      <c r="F18" s="62" t="str">
        <f>IF(IF(B18="", "", VLOOKUP(B18,'API Data Dictionary'!C:F,4,FALSE))=0, "", IF(B18="", "", VLOOKUP(B18,'API Data Dictionary'!C:F,4,FALSE)))</f>
        <v/>
      </c>
      <c r="G18" s="62" t="str">
        <f>IF(IF(B18="", "", VLOOKUP(B18,'API Data Dictionary'!C:G,5,FALSE))=0, "", IF(B18="", "", VLOOKUP(B18,'API Data Dictionary'!C:G,5,FALSE)))</f>
        <v/>
      </c>
    </row>
    <row r="19" spans="1:7" x14ac:dyDescent="0.35">
      <c r="A19" s="64" t="s">
        <v>1444</v>
      </c>
      <c r="B19" s="62" t="str">
        <f t="shared" si="2"/>
        <v>currentResidentialStatus</v>
      </c>
      <c r="C19" s="62" t="s">
        <v>68</v>
      </c>
      <c r="D19" s="62" t="str">
        <f>IF(B19="", "", VLOOKUP(B19,'API Data Dictionary'!C:D,2,FALSE))</f>
        <v>enum - residentStatus</v>
      </c>
      <c r="E19" s="62" t="str">
        <f>IF(IF(B19="", "", VLOOKUP(B19,'API Data Dictionary'!C:E,3,FALSE))=0, "", IF(B19="", "", VLOOKUP(B19,'API Data Dictionary'!C:E,3,FALSE)))</f>
        <v/>
      </c>
      <c r="F19" s="62" t="str">
        <f>IF(IF(B19="", "", VLOOKUP(B19,'API Data Dictionary'!C:F,4,FALSE))=0, "", IF(B19="", "", VLOOKUP(B19,'API Data Dictionary'!C:F,4,FALSE)))</f>
        <v>Valid Values 1-3 (See enum definition)</v>
      </c>
      <c r="G19" s="62" t="str">
        <f>IF(IF(B19="", "", VLOOKUP(B19,'API Data Dictionary'!C:G,5,FALSE))=0, "", IF(B19="", "", VLOOKUP(B19,'API Data Dictionary'!C:G,5,FALSE)))</f>
        <v>The current residential status, e.g. UK Resident</v>
      </c>
    </row>
    <row r="20" spans="1:7" x14ac:dyDescent="0.35">
      <c r="A20" s="64" t="s">
        <v>1445</v>
      </c>
      <c r="B20" s="62" t="str">
        <f t="shared" si="2"/>
        <v>currentRentAmount</v>
      </c>
      <c r="C20" s="62" t="s">
        <v>68</v>
      </c>
      <c r="D20" s="62" t="str">
        <f>IF(B20="", "", VLOOKUP(B20,'API Data Dictionary'!C:D,2,FALSE))</f>
        <v>number (double)</v>
      </c>
      <c r="E20" s="62" t="str">
        <f>IF(IF(B20="", "", VLOOKUP(B20,'API Data Dictionary'!C:E,3,FALSE))=0, "", IF(B20="", "", VLOOKUP(B20,'API Data Dictionary'!C:E,3,FALSE)))</f>
        <v/>
      </c>
      <c r="F20" s="62" t="str">
        <f>IF(IF(B20="", "", VLOOKUP(B20,'API Data Dictionary'!C:F,4,FALSE))=0, "", IF(B20="", "", VLOOKUP(B20,'API Data Dictionary'!C:F,4,FALSE)))</f>
        <v>pattern: ^\d*.\d{0,2}$</v>
      </c>
      <c r="G20" s="62" t="str">
        <f>IF(IF(B20="", "", VLOOKUP(B20,'API Data Dictionary'!C:G,5,FALSE))=0, "", IF(B20="", "", VLOOKUP(B20,'API Data Dictionary'!C:G,5,FALSE)))</f>
        <v>The current rent amount in GBP</v>
      </c>
    </row>
    <row r="21" spans="1:7" x14ac:dyDescent="0.35">
      <c r="A21" s="64" t="s">
        <v>1693</v>
      </c>
      <c r="B21" s="62" t="str">
        <f t="shared" si="2"/>
        <v>landlordName</v>
      </c>
      <c r="C21" s="62" t="s">
        <v>68</v>
      </c>
      <c r="D21" s="62" t="str">
        <f>IF(B21="", "", VLOOKUP(B21,'API Data Dictionary'!C:D,2,FALSE))</f>
        <v>string</v>
      </c>
      <c r="E21" s="62">
        <f>IF(IF(B21="", "", VLOOKUP(B21,'API Data Dictionary'!C:E,3,FALSE))=0, "", IF(B21="", "", VLOOKUP(B21,'API Data Dictionary'!C:E,3,FALSE)))</f>
        <v>500</v>
      </c>
      <c r="F21" s="62" t="str">
        <f>IF(IF(B21="", "", VLOOKUP(B21,'API Data Dictionary'!C:F,4,FALSE))=0, "", IF(B21="", "", VLOOKUP(B21,'API Data Dictionary'!C:F,4,FALSE)))</f>
        <v/>
      </c>
      <c r="G21" s="62" t="str">
        <f>IF(IF(B21="", "", VLOOKUP(B21,'API Data Dictionary'!C:G,5,FALSE))=0, "", IF(B21="", "", VLOOKUP(B21,'API Data Dictionary'!C:G,5,FALSE)))</f>
        <v>Full name of the Landlord</v>
      </c>
    </row>
    <row r="22" spans="1:7" x14ac:dyDescent="0.35">
      <c r="A22" s="64" t="s">
        <v>1446</v>
      </c>
      <c r="B22" s="62" t="str">
        <f t="shared" si="2"/>
        <v>landlordContactCountryId</v>
      </c>
      <c r="C22" s="62" t="s">
        <v>68</v>
      </c>
      <c r="D22" s="62" t="str">
        <f>IF(B22="", "", VLOOKUP(B22,'API Data Dictionary'!C:D,2,FALSE))</f>
        <v>enum -Country/Location Code</v>
      </c>
      <c r="E22" s="62" t="str">
        <f>IF(IF(B22="", "", VLOOKUP(B22,'API Data Dictionary'!C:E,3,FALSE))=0, "", IF(B22="", "", VLOOKUP(B22,'API Data Dictionary'!C:E,3,FALSE)))</f>
        <v/>
      </c>
      <c r="F22" s="62" t="str">
        <f>IF(IF(B22="", "", VLOOKUP(B22,'API Data Dictionary'!C:F,4,FALSE))=0, "", IF(B22="", "", VLOOKUP(B22,'API Data Dictionary'!C:F,4,FALSE)))</f>
        <v>Valid Values 1-239 (See enum definition)</v>
      </c>
      <c r="G22" s="62" t="str">
        <f>IF(IF(B22="", "", VLOOKUP(B22,'API Data Dictionary'!C:G,5,FALSE))=0, "", IF(B22="", "", VLOOKUP(B22,'API Data Dictionary'!C:G,5,FALSE)))</f>
        <v>The country/location code of the landlord contact phone number</v>
      </c>
    </row>
    <row r="23" spans="1:7" x14ac:dyDescent="0.35">
      <c r="A23" s="64" t="s">
        <v>1447</v>
      </c>
      <c r="B23" s="62" t="str">
        <f t="shared" si="2"/>
        <v>landlordContactNumber</v>
      </c>
      <c r="C23" s="62" t="s">
        <v>68</v>
      </c>
      <c r="D23" s="62" t="str">
        <f>IF(B23="", "", VLOOKUP(B23,'API Data Dictionary'!C:D,2,FALSE))</f>
        <v>string</v>
      </c>
      <c r="E23" s="62">
        <f>IF(IF(B23="", "", VLOOKUP(B23,'API Data Dictionary'!C:E,3,FALSE))=0, "", IF(B23="", "", VLOOKUP(B23,'API Data Dictionary'!C:E,3,FALSE)))</f>
        <v>15</v>
      </c>
      <c r="F23" s="62" t="str">
        <f>IF(IF(B23="", "", VLOOKUP(B23,'API Data Dictionary'!C:F,4,FALSE))=0, "", IF(B23="", "", VLOOKUP(B23,'API Data Dictionary'!C:F,4,FALSE)))</f>
        <v>pattern: ^(\d{11})$</v>
      </c>
      <c r="G23" s="62" t="str">
        <f>IF(IF(B23="", "", VLOOKUP(B23,'API Data Dictionary'!C:G,5,FALSE))=0, "", IF(B23="", "", VLOOKUP(B23,'API Data Dictionary'!C:G,5,FALSE)))</f>
        <v>The Landlords contact Telephone number</v>
      </c>
    </row>
    <row r="24" spans="1:7" x14ac:dyDescent="0.35">
      <c r="A24" s="64" t="s">
        <v>1448</v>
      </c>
      <c r="B24" s="62" t="str">
        <f t="shared" si="2"/>
        <v>landlordEmail</v>
      </c>
      <c r="C24" s="62" t="s">
        <v>68</v>
      </c>
      <c r="D24" s="62" t="str">
        <f>IF(B24="", "", VLOOKUP(B24,'API Data Dictionary'!C:D,2,FALSE))</f>
        <v>string ($email)</v>
      </c>
      <c r="E24" s="62">
        <f>IF(IF(B24="", "", VLOOKUP(B24,'API Data Dictionary'!C:E,3,FALSE))=0, "", IF(B24="", "", VLOOKUP(B24,'API Data Dictionary'!C:E,3,FALSE)))</f>
        <v>200</v>
      </c>
      <c r="F24" s="62" t="str">
        <f>IF(IF(B24="", "", VLOOKUP(B24,'API Data Dictionary'!C:F,4,FALSE))=0, "", IF(B24="", "", VLOOKUP(B24,'API Data Dictionary'!C:F,4,FALSE)))</f>
        <v>pattern: ^(?!.*\.\.)(?!.*\\_\\_)(?!.*\-\-)[a-zA-Z0-9][-a-zA-Z0-9._]+[a-zA-Z0-9]@([-a-zA-Z0-9]+.)+[a-zA-Z]{2,5}$</v>
      </c>
      <c r="G24" s="62" t="str">
        <f>IF(IF(B24="", "", VLOOKUP(B24,'API Data Dictionary'!C:G,5,FALSE))=0, "", IF(B24="", "", VLOOKUP(B24,'API Data Dictionary'!C:G,5,FALSE)))</f>
        <v>The landlords email address</v>
      </c>
    </row>
    <row r="25" spans="1:7" x14ac:dyDescent="0.35">
      <c r="A25" s="64" t="s">
        <v>1449</v>
      </c>
      <c r="B25" s="62" t="str">
        <f t="shared" si="2"/>
        <v/>
      </c>
      <c r="C25" s="62" t="str">
        <f>IF(B25="", "", VLOOKUP(B25,'API Data Dictionary'!C:X,22,FALSE))</f>
        <v/>
      </c>
      <c r="D25" s="62" t="str">
        <f>IF(B25="", "", VLOOKUP(B25,'API Data Dictionary'!C:D,2,FALSE))</f>
        <v/>
      </c>
      <c r="E25" s="62" t="str">
        <f>IF(IF(B25="", "", VLOOKUP(B25,'API Data Dictionary'!C:E,3,FALSE))=0, "", IF(B25="", "", VLOOKUP(B25,'API Data Dictionary'!C:E,3,FALSE)))</f>
        <v/>
      </c>
      <c r="F25" s="62" t="str">
        <f>IF(IF(B25="", "", VLOOKUP(B25,'API Data Dictionary'!C:F,4,FALSE))=0, "", IF(B25="", "", VLOOKUP(B25,'API Data Dictionary'!C:F,4,FALSE)))</f>
        <v/>
      </c>
      <c r="G25" s="62" t="str">
        <f>IF(IF(B25="", "", VLOOKUP(B25,'API Data Dictionary'!C:G,5,FALSE))=0, "", IF(B25="", "", VLOOKUP(B25,'API Data Dictionary'!C:G,5,FALSE)))</f>
        <v/>
      </c>
    </row>
    <row r="26" spans="1:7" x14ac:dyDescent="0.35">
      <c r="A26" s="64" t="s">
        <v>1450</v>
      </c>
      <c r="B26" s="62" t="str">
        <f t="shared" si="2"/>
        <v>houseNumber</v>
      </c>
      <c r="C26" s="62" t="s">
        <v>66</v>
      </c>
      <c r="D26" s="62" t="str">
        <f>IF(B26="", "", VLOOKUP(B26,'API Data Dictionary'!C:D,2,FALSE))</f>
        <v>string</v>
      </c>
      <c r="E26" s="62">
        <f>IF(IF(B26="", "", VLOOKUP(B26,'API Data Dictionary'!C:E,3,FALSE))=0, "", IF(B26="", "", VLOOKUP(B26,'API Data Dictionary'!C:E,3,FALSE)))</f>
        <v>100</v>
      </c>
      <c r="F26" s="62" t="str">
        <f>IF(IF(B26="", "", VLOOKUP(B26,'API Data Dictionary'!C:F,4,FALSE))=0, "", IF(B26="", "", VLOOKUP(B26,'API Data Dictionary'!C:F,4,FALSE)))</f>
        <v/>
      </c>
      <c r="G26" s="62" t="str">
        <f>IF(IF(B26="", "", VLOOKUP(B26,'API Data Dictionary'!C:G,5,FALSE))=0, "", IF(B26="", "", VLOOKUP(B26,'API Data Dictionary'!C:G,5,FALSE)))</f>
        <v xml:space="preserve">The number of the property, mandatory OR pair with House name field </v>
      </c>
    </row>
    <row r="27" spans="1:7" x14ac:dyDescent="0.35">
      <c r="A27" s="64" t="s">
        <v>1451</v>
      </c>
      <c r="B27" s="62" t="str">
        <f t="shared" si="2"/>
        <v>houseName</v>
      </c>
      <c r="C27" s="62" t="s">
        <v>66</v>
      </c>
      <c r="D27" s="62" t="str">
        <f>IF(B27="", "", VLOOKUP(B27,'API Data Dictionary'!C:D,2,FALSE))</f>
        <v>string</v>
      </c>
      <c r="E27" s="62">
        <f>IF(IF(B27="", "", VLOOKUP(B27,'API Data Dictionary'!C:E,3,FALSE))=0, "", IF(B27="", "", VLOOKUP(B27,'API Data Dictionary'!C:E,3,FALSE)))</f>
        <v>100</v>
      </c>
      <c r="F27" s="62" t="str">
        <f>IF(IF(B27="", "", VLOOKUP(B27,'API Data Dictionary'!C:F,4,FALSE))=0, "", IF(B27="", "", VLOOKUP(B27,'API Data Dictionary'!C:F,4,FALSE)))</f>
        <v/>
      </c>
      <c r="G27" s="62" t="str">
        <f>IF(IF(B27="", "", VLOOKUP(B27,'API Data Dictionary'!C:G,5,FALSE))=0, "", IF(B27="", "", VLOOKUP(B27,'API Data Dictionary'!C:G,5,FALSE)))</f>
        <v xml:space="preserve">The name of the property, mandatory OR pair with House number field </v>
      </c>
    </row>
    <row r="28" spans="1:7" x14ac:dyDescent="0.35">
      <c r="A28" s="64" t="s">
        <v>1452</v>
      </c>
      <c r="B28" s="62" t="str">
        <f t="shared" si="2"/>
        <v>addressLine1</v>
      </c>
      <c r="C28" s="62" t="s">
        <v>68</v>
      </c>
      <c r="D28" s="62" t="str">
        <f>IF(B28="", "", VLOOKUP(B28,'API Data Dictionary'!C:D,2,FALSE))</f>
        <v>string</v>
      </c>
      <c r="E28" s="62">
        <f>IF(IF(B28="", "", VLOOKUP(B28,'API Data Dictionary'!C:E,3,FALSE))=0, "", IF(B28="", "", VLOOKUP(B28,'API Data Dictionary'!C:E,3,FALSE)))</f>
        <v>100</v>
      </c>
      <c r="F28" s="62" t="str">
        <f>IF(IF(B28="", "", VLOOKUP(B28,'API Data Dictionary'!C:F,4,FALSE))=0, "", IF(B28="", "", VLOOKUP(B28,'API Data Dictionary'!C:F,4,FALSE)))</f>
        <v/>
      </c>
      <c r="G28" s="62" t="str">
        <f>IF(IF(B28="", "", VLOOKUP(B28,'API Data Dictionary'!C:G,5,FALSE))=0, "", IF(B28="", "", VLOOKUP(B28,'API Data Dictionary'!C:G,5,FALSE)))</f>
        <v>The first line of the property address</v>
      </c>
    </row>
    <row r="29" spans="1:7" x14ac:dyDescent="0.35">
      <c r="A29" s="64" t="s">
        <v>1453</v>
      </c>
      <c r="B29" s="62" t="str">
        <f t="shared" si="2"/>
        <v>addressLine2</v>
      </c>
      <c r="C29" s="62" t="s">
        <v>66</v>
      </c>
      <c r="D29" s="62" t="str">
        <f>IF(B29="", "", VLOOKUP(B29,'API Data Dictionary'!C:D,2,FALSE))</f>
        <v>string</v>
      </c>
      <c r="E29" s="62">
        <f>IF(IF(B29="", "", VLOOKUP(B29,'API Data Dictionary'!C:E,3,FALSE))=0, "", IF(B29="", "", VLOOKUP(B29,'API Data Dictionary'!C:E,3,FALSE)))</f>
        <v>100</v>
      </c>
      <c r="F29" s="62" t="str">
        <f>IF(IF(B29="", "", VLOOKUP(B29,'API Data Dictionary'!C:F,4,FALSE))=0, "", IF(B29="", "", VLOOKUP(B29,'API Data Dictionary'!C:F,4,FALSE)))</f>
        <v/>
      </c>
      <c r="G29" s="62" t="str">
        <f>IF(IF(B29="", "", VLOOKUP(B29,'API Data Dictionary'!C:G,5,FALSE))=0, "", IF(B29="", "", VLOOKUP(B29,'API Data Dictionary'!C:G,5,FALSE)))</f>
        <v>The second line of the property address</v>
      </c>
    </row>
    <row r="30" spans="1:7" x14ac:dyDescent="0.35">
      <c r="A30" s="64" t="s">
        <v>1454</v>
      </c>
      <c r="B30" s="62" t="str">
        <f t="shared" si="2"/>
        <v>town</v>
      </c>
      <c r="C30" s="62" t="s">
        <v>68</v>
      </c>
      <c r="D30" s="62" t="str">
        <f>IF(B30="", "", VLOOKUP(B30,'API Data Dictionary'!C:D,2,FALSE))</f>
        <v>string</v>
      </c>
      <c r="E30" s="62">
        <f>IF(IF(B30="", "", VLOOKUP(B30,'API Data Dictionary'!C:E,3,FALSE))=0, "", IF(B30="", "", VLOOKUP(B30,'API Data Dictionary'!C:E,3,FALSE)))</f>
        <v>50</v>
      </c>
      <c r="F30" s="62" t="str">
        <f>IF(IF(B30="", "", VLOOKUP(B30,'API Data Dictionary'!C:F,4,FALSE))=0, "", IF(B30="", "", VLOOKUP(B30,'API Data Dictionary'!C:F,4,FALSE)))</f>
        <v/>
      </c>
      <c r="G30" s="62" t="str">
        <f>IF(IF(B30="", "", VLOOKUP(B30,'API Data Dictionary'!C:G,5,FALSE))=0, "", IF(B30="", "", VLOOKUP(B30,'API Data Dictionary'!C:G,5,FALSE)))</f>
        <v>The town in which the property exists</v>
      </c>
    </row>
    <row r="31" spans="1:7" x14ac:dyDescent="0.35">
      <c r="A31" s="64" t="s">
        <v>1455</v>
      </c>
      <c r="B31" s="62" t="str">
        <f t="shared" si="2"/>
        <v>country</v>
      </c>
      <c r="C31" s="62" t="s">
        <v>68</v>
      </c>
      <c r="D31" s="62" t="str">
        <f>IF(B31="", "", VLOOKUP(B31,'API Data Dictionary'!C:D,2,FALSE))</f>
        <v>enum -Country/Location Code</v>
      </c>
      <c r="E31" s="62" t="str">
        <f>IF(IF(B31="", "", VLOOKUP(B31,'API Data Dictionary'!C:E,3,FALSE))=0, "", IF(B31="", "", VLOOKUP(B31,'API Data Dictionary'!C:E,3,FALSE)))</f>
        <v/>
      </c>
      <c r="F31" s="62" t="str">
        <f>IF(IF(B31="", "", VLOOKUP(B31,'API Data Dictionary'!C:F,4,FALSE))=0, "", IF(B31="", "", VLOOKUP(B31,'API Data Dictionary'!C:F,4,FALSE)))</f>
        <v>Valid Values 1-239 (See enum definition)</v>
      </c>
      <c r="G31" s="62" t="str">
        <f>IF(IF(B31="", "", VLOOKUP(B31,'API Data Dictionary'!C:G,5,FALSE))=0, "", IF(B31="", "", VLOOKUP(B31,'API Data Dictionary'!C:G,5,FALSE)))</f>
        <v>The Country code from the enum list, e.g. France</v>
      </c>
    </row>
    <row r="32" spans="1:7" x14ac:dyDescent="0.35">
      <c r="A32" s="64" t="s">
        <v>1456</v>
      </c>
      <c r="B32" s="62" t="str">
        <f t="shared" si="2"/>
        <v>postcode</v>
      </c>
      <c r="C32" s="62" t="s">
        <v>68</v>
      </c>
      <c r="D32" s="62" t="str">
        <f>IF(B32="", "", VLOOKUP(B32,'API Data Dictionary'!C:D,2,FALSE))</f>
        <v>string</v>
      </c>
      <c r="E32" s="62">
        <f>IF(IF(B32="", "", VLOOKUP(B32,'API Data Dictionary'!C:E,3,FALSE))=0, "", IF(B32="", "", VLOOKUP(B32,'API Data Dictionary'!C:E,3,FALSE)))</f>
        <v>50</v>
      </c>
      <c r="F32" s="62" t="str">
        <f>IF(IF(B32="", "", VLOOKUP(B32,'API Data Dictionary'!C:F,4,FALSE))=0, "", IF(B32="", "", VLOOKUP(B32,'API Data Dictionary'!C:F,4,FALSE)))</f>
        <v/>
      </c>
      <c r="G32" s="62" t="str">
        <f>IF(IF(B32="", "", VLOOKUP(B32,'API Data Dictionary'!C:G,5,FALSE))=0, "", IF(B32="", "", VLOOKUP(B32,'API Data Dictionary'!C:G,5,FALSE)))</f>
        <v>the postcode of the property</v>
      </c>
    </row>
    <row r="33" spans="1:7" x14ac:dyDescent="0.35">
      <c r="A33" s="64" t="s">
        <v>1118</v>
      </c>
      <c r="B33" s="62" t="str">
        <f t="shared" si="2"/>
        <v/>
      </c>
      <c r="C33" s="62" t="str">
        <f>IF(B33="", "", VLOOKUP(B33,'API Data Dictionary'!C:X,22,FALSE))</f>
        <v/>
      </c>
      <c r="D33" s="62" t="str">
        <f>IF(B33="", "", VLOOKUP(B33,'API Data Dictionary'!C:D,2,FALSE))</f>
        <v/>
      </c>
      <c r="E33" s="62" t="str">
        <f>IF(IF(B33="", "", VLOOKUP(B33,'API Data Dictionary'!C:E,3,FALSE))=0, "", IF(B33="", "", VLOOKUP(B33,'API Data Dictionary'!C:E,3,FALSE)))</f>
        <v/>
      </c>
      <c r="F33" s="62" t="str">
        <f>IF(IF(B33="", "", VLOOKUP(B33,'API Data Dictionary'!C:F,4,FALSE))=0, "", IF(B33="", "", VLOOKUP(B33,'API Data Dictionary'!C:F,4,FALSE)))</f>
        <v/>
      </c>
      <c r="G33" s="62" t="str">
        <f>IF(IF(B33="", "", VLOOKUP(B33,'API Data Dictionary'!C:G,5,FALSE))=0, "", IF(B33="", "", VLOOKUP(B33,'API Data Dictionary'!C:G,5,FALSE)))</f>
        <v/>
      </c>
    </row>
    <row r="34" spans="1:7" x14ac:dyDescent="0.35">
      <c r="A34" s="64" t="s">
        <v>1105</v>
      </c>
      <c r="B34" s="62" t="str">
        <f t="shared" si="2"/>
        <v/>
      </c>
      <c r="C34" s="62" t="str">
        <f>IF(B34="", "", VLOOKUP(B34,'API Data Dictionary'!C:X,22,FALSE))</f>
        <v/>
      </c>
      <c r="D34" s="62" t="str">
        <f>IF(B34="", "", VLOOKUP(B34,'API Data Dictionary'!C:D,2,FALSE))</f>
        <v/>
      </c>
      <c r="E34" s="62" t="str">
        <f>IF(IF(B34="", "", VLOOKUP(B34,'API Data Dictionary'!C:E,3,FALSE))=0, "", IF(B34="", "", VLOOKUP(B34,'API Data Dictionary'!C:E,3,FALSE)))</f>
        <v/>
      </c>
      <c r="F34" s="62" t="str">
        <f>IF(IF(B34="", "", VLOOKUP(B34,'API Data Dictionary'!C:F,4,FALSE))=0, "", IF(B34="", "", VLOOKUP(B34,'API Data Dictionary'!C:F,4,FALSE)))</f>
        <v/>
      </c>
      <c r="G34" s="62" t="str">
        <f>IF(IF(B34="", "", VLOOKUP(B34,'API Data Dictionary'!C:G,5,FALSE))=0, "", IF(B34="", "", VLOOKUP(B34,'API Data Dictionary'!C:G,5,FALSE)))</f>
        <v/>
      </c>
    </row>
    <row r="35" spans="1:7" x14ac:dyDescent="0.35">
      <c r="A35" s="64" t="s">
        <v>1196</v>
      </c>
      <c r="B35" s="62" t="str">
        <f t="shared" si="2"/>
        <v/>
      </c>
      <c r="C35" s="62" t="str">
        <f>IF(B35="", "", VLOOKUP(B35,'API Data Dictionary'!C:X,22,FALSE))</f>
        <v/>
      </c>
      <c r="D35" s="62" t="str">
        <f>IF(B35="", "", VLOOKUP(B35,'API Data Dictionary'!C:D,2,FALSE))</f>
        <v/>
      </c>
      <c r="E35" s="62" t="str">
        <f>IF(IF(B35="", "", VLOOKUP(B35,'API Data Dictionary'!C:E,3,FALSE))=0, "", IF(B35="", "", VLOOKUP(B35,'API Data Dictionary'!C:E,3,FALSE)))</f>
        <v/>
      </c>
      <c r="F35" s="62" t="str">
        <f>IF(IF(B35="", "", VLOOKUP(B35,'API Data Dictionary'!C:F,4,FALSE))=0, "", IF(B35="", "", VLOOKUP(B35,'API Data Dictionary'!C:F,4,FALSE)))</f>
        <v/>
      </c>
      <c r="G35" s="62" t="str">
        <f>IF(IF(B35="", "", VLOOKUP(B35,'API Data Dictionary'!C:G,5,FALSE))=0, "", IF(B35="", "", VLOOKUP(B35,'API Data Dictionary'!C:G,5,FALSE)))</f>
        <v/>
      </c>
    </row>
    <row r="36" spans="1:7" x14ac:dyDescent="0.35">
      <c r="A36" s="64" t="s">
        <v>1107</v>
      </c>
      <c r="B36" s="62" t="str">
        <f t="shared" si="2"/>
        <v/>
      </c>
      <c r="C36" s="62" t="str">
        <f>IF(B36="", "", VLOOKUP(B36,'API Data Dictionary'!C:X,22,FALSE))</f>
        <v/>
      </c>
      <c r="D36" s="62" t="str">
        <f>IF(B36="", "", VLOOKUP(B36,'API Data Dictionary'!C:D,2,FALSE))</f>
        <v/>
      </c>
      <c r="E36" s="62" t="str">
        <f>IF(IF(B36="", "", VLOOKUP(B36,'API Data Dictionary'!C:E,3,FALSE))=0, "", IF(B36="", "", VLOOKUP(B36,'API Data Dictionary'!C:E,3,FALSE)))</f>
        <v/>
      </c>
      <c r="F36" s="62" t="str">
        <f>IF(IF(B36="", "", VLOOKUP(B36,'API Data Dictionary'!C:F,4,FALSE))=0, "", IF(B36="", "", VLOOKUP(B36,'API Data Dictionary'!C:F,4,FALSE)))</f>
        <v/>
      </c>
      <c r="G36" s="62" t="str">
        <f>IF(IF(B36="", "", VLOOKUP(B36,'API Data Dictionary'!C:G,5,FALSE))=0, "", IF(B36="", "", VLOOKUP(B36,'API Data Dictionary'!C:G,5,FALSE)))</f>
        <v/>
      </c>
    </row>
    <row r="37" spans="1:7" x14ac:dyDescent="0.35">
      <c r="A37" s="64" t="s">
        <v>1197</v>
      </c>
      <c r="B37" s="62" t="str">
        <f t="shared" si="2"/>
        <v>incomeTypeID</v>
      </c>
      <c r="C37" s="62" t="s">
        <v>68</v>
      </c>
      <c r="D37" s="62" t="str">
        <f>IF(B37="", "", VLOOKUP(B37,'API Data Dictionary'!C:D,2,FALSE))</f>
        <v>enum - Income Type</v>
      </c>
      <c r="E37" s="62" t="str">
        <f>IF(IF(B37="", "", VLOOKUP(B37,'API Data Dictionary'!C:E,3,FALSE))=0, "", IF(B37="", "", VLOOKUP(B37,'API Data Dictionary'!C:E,3,FALSE)))</f>
        <v/>
      </c>
      <c r="F37" s="62" t="str">
        <f>IF(IF(B37="", "", VLOOKUP(B37,'API Data Dictionary'!C:F,4,FALSE))=0, "", IF(B37="", "", VLOOKUP(B37,'API Data Dictionary'!C:F,4,FALSE)))</f>
        <v>Valid Values 1,2,3,5,6,7,8 (See enum definition)</v>
      </c>
      <c r="G37" s="62" t="str">
        <f>IF(IF(B37="", "", VLOOKUP(B37,'API Data Dictionary'!C:G,5,FALSE))=0, "", IF(B37="", "", VLOOKUP(B37,'API Data Dictionary'!C:G,5,FALSE)))</f>
        <v>The Income Type, e.g savings or employed</v>
      </c>
    </row>
    <row r="38" spans="1:7" x14ac:dyDescent="0.35">
      <c r="A38" s="64" t="s">
        <v>1198</v>
      </c>
      <c r="B38" s="62" t="str">
        <f t="shared" si="2"/>
        <v>incomeTermID</v>
      </c>
      <c r="C38" s="62" t="s">
        <v>68</v>
      </c>
      <c r="D38" s="62" t="str">
        <f>IF(B38="", "", VLOOKUP(B38,'API Data Dictionary'!C:D,2,FALSE))</f>
        <v>enum - Income Term</v>
      </c>
      <c r="E38" s="62" t="str">
        <f>IF(IF(B38="", "", VLOOKUP(B38,'API Data Dictionary'!C:E,3,FALSE))=0, "", IF(B38="", "", VLOOKUP(B38,'API Data Dictionary'!C:E,3,FALSE)))</f>
        <v/>
      </c>
      <c r="F38" s="62" t="str">
        <f>IF(IF(B38="", "", VLOOKUP(B38,'API Data Dictionary'!C:F,4,FALSE))=0, "", IF(B38="", "", VLOOKUP(B38,'API Data Dictionary'!C:F,4,FALSE)))</f>
        <v>Valid Values 1-4 (See enum definition)</v>
      </c>
      <c r="G38" s="62" t="str">
        <f>IF(IF(B38="", "", VLOOKUP(B38,'API Data Dictionary'!C:G,5,FALSE))=0, "", IF(B38="", "", VLOOKUP(B38,'API Data Dictionary'!C:G,5,FALSE)))</f>
        <v>Income term, e.g monthly or weekly</v>
      </c>
    </row>
    <row r="39" spans="1:7" x14ac:dyDescent="0.35">
      <c r="A39" s="64" t="s">
        <v>1199</v>
      </c>
      <c r="B39" s="62" t="str">
        <f t="shared" si="2"/>
        <v/>
      </c>
      <c r="C39" s="62" t="str">
        <f>IF(B39="", "", VLOOKUP(B39,'API Data Dictionary'!C:X,22,FALSE))</f>
        <v/>
      </c>
      <c r="D39" s="62" t="str">
        <f>IF(B39="", "", VLOOKUP(B39,'API Data Dictionary'!C:D,2,FALSE))</f>
        <v/>
      </c>
      <c r="E39" s="62" t="str">
        <f>IF(IF(B39="", "", VLOOKUP(B39,'API Data Dictionary'!C:E,3,FALSE))=0, "", IF(B39="", "", VLOOKUP(B39,'API Data Dictionary'!C:E,3,FALSE)))</f>
        <v/>
      </c>
      <c r="F39" s="62" t="str">
        <f>IF(IF(B39="", "", VLOOKUP(B39,'API Data Dictionary'!C:F,4,FALSE))=0, "", IF(B39="", "", VLOOKUP(B39,'API Data Dictionary'!C:F,4,FALSE)))</f>
        <v/>
      </c>
      <c r="G39" s="62" t="str">
        <f>IF(IF(B39="", "", VLOOKUP(B39,'API Data Dictionary'!C:G,5,FALSE))=0, "", IF(B39="", "", VLOOKUP(B39,'API Data Dictionary'!C:G,5,FALSE)))</f>
        <v/>
      </c>
    </row>
    <row r="40" spans="1:7" x14ac:dyDescent="0.35">
      <c r="A40" s="64" t="s">
        <v>1200</v>
      </c>
      <c r="B40" s="62" t="str">
        <f t="shared" si="2"/>
        <v>countryOfEmployment</v>
      </c>
      <c r="C40" s="62" t="s">
        <v>68</v>
      </c>
      <c r="D40" s="62" t="str">
        <f>IF(B40="", "", VLOOKUP(B40,'API Data Dictionary'!C:D,2,FALSE))</f>
        <v>enum -Country/Location Code</v>
      </c>
      <c r="E40" s="62" t="str">
        <f>IF(IF(B40="", "", VLOOKUP(B40,'API Data Dictionary'!C:E,3,FALSE))=0, "", IF(B40="", "", VLOOKUP(B40,'API Data Dictionary'!C:E,3,FALSE)))</f>
        <v/>
      </c>
      <c r="F40" s="62" t="str">
        <f>IF(IF(B40="", "", VLOOKUP(B40,'API Data Dictionary'!C:F,4,FALSE))=0, "", IF(B40="", "", VLOOKUP(B40,'API Data Dictionary'!C:F,4,FALSE)))</f>
        <v>Valid Values 1-239 (See enum definition)</v>
      </c>
      <c r="G40" s="62" t="str">
        <f>IF(IF(B40="", "", VLOOKUP(B40,'API Data Dictionary'!C:G,5,FALSE))=0, "", IF(B40="", "", VLOOKUP(B40,'API Data Dictionary'!C:G,5,FALSE)))</f>
        <v>The Country of employment, from the enum list, e.g. France</v>
      </c>
    </row>
    <row r="41" spans="1:7" x14ac:dyDescent="0.35">
      <c r="A41" s="64" t="s">
        <v>1457</v>
      </c>
      <c r="B41" s="62" t="str">
        <f t="shared" si="2"/>
        <v>employersName</v>
      </c>
      <c r="C41" s="62" t="s">
        <v>68</v>
      </c>
      <c r="D41" s="62" t="str">
        <f>IF(B41="", "", VLOOKUP(B41,'API Data Dictionary'!C:D,2,FALSE))</f>
        <v>string</v>
      </c>
      <c r="E41" s="62">
        <f>IF(IF(B41="", "", VLOOKUP(B41,'API Data Dictionary'!C:E,3,FALSE))=0, "", IF(B41="", "", VLOOKUP(B41,'API Data Dictionary'!C:E,3,FALSE)))</f>
        <v>100</v>
      </c>
      <c r="F41" s="62" t="str">
        <f>IF(IF(B41="", "", VLOOKUP(B41,'API Data Dictionary'!C:F,4,FALSE))=0, "", IF(B41="", "", VLOOKUP(B41,'API Data Dictionary'!C:F,4,FALSE)))</f>
        <v>pattern: ^[a-zA-Z0-9\-' ]*$</v>
      </c>
      <c r="G41" s="62" t="str">
        <f>IF(IF(B41="", "", VLOOKUP(B41,'API Data Dictionary'!C:G,5,FALSE))=0, "", IF(B41="", "", VLOOKUP(B41,'API Data Dictionary'!C:G,5,FALSE)))</f>
        <v>Name of the company the person is employed by</v>
      </c>
    </row>
    <row r="42" spans="1:7" x14ac:dyDescent="0.35">
      <c r="A42" s="64" t="s">
        <v>1458</v>
      </c>
      <c r="B42" s="62" t="str">
        <f t="shared" si="2"/>
        <v>jobTitle</v>
      </c>
      <c r="C42" s="62" t="s">
        <v>68</v>
      </c>
      <c r="D42" s="62" t="str">
        <f>IF(B42="", "", VLOOKUP(B42,'API Data Dictionary'!C:D,2,FALSE))</f>
        <v>string</v>
      </c>
      <c r="E42" s="62">
        <f>IF(IF(B42="", "", VLOOKUP(B42,'API Data Dictionary'!C:E,3,FALSE))=0, "", IF(B42="", "", VLOOKUP(B42,'API Data Dictionary'!C:E,3,FALSE)))</f>
        <v>100</v>
      </c>
      <c r="F42" s="62" t="str">
        <f>IF(IF(B42="", "", VLOOKUP(B42,'API Data Dictionary'!C:F,4,FALSE))=0, "", IF(B42="", "", VLOOKUP(B42,'API Data Dictionary'!C:F,4,FALSE)))</f>
        <v>pattern: ^[A-Za-z ']+$</v>
      </c>
      <c r="G42" s="62" t="str">
        <f>IF(IF(B42="", "", VLOOKUP(B42,'API Data Dictionary'!C:G,5,FALSE))=0, "", IF(B42="", "", VLOOKUP(B42,'API Data Dictionary'!C:G,5,FALSE)))</f>
        <v>Job title at the company the person is employed by</v>
      </c>
    </row>
    <row r="43" spans="1:7" x14ac:dyDescent="0.35">
      <c r="A43" s="64" t="s">
        <v>1459</v>
      </c>
      <c r="B43" s="62" t="str">
        <f t="shared" si="2"/>
        <v>startDateofEmployment</v>
      </c>
      <c r="C43" s="62" t="s">
        <v>68</v>
      </c>
      <c r="D43" s="62" t="str">
        <f>IF(B43="", "", VLOOKUP(B43,'API Data Dictionary'!C:D,2,FALSE))</f>
        <v>string ($date-time)</v>
      </c>
      <c r="E43" s="62" t="str">
        <f>IF(IF(B43="", "", VLOOKUP(B43,'API Data Dictionary'!C:E,3,FALSE))=0, "", IF(B43="", "", VLOOKUP(B43,'API Data Dictionary'!C:E,3,FALSE)))</f>
        <v/>
      </c>
      <c r="F43" s="62" t="str">
        <f>IF(IF(B43="", "", VLOOKUP(B43,'API Data Dictionary'!C:F,4,FALSE))=0, "", IF(B43="", "", VLOOKUP(B43,'API Data Dictionary'!C:F,4,FALSE)))</f>
        <v xml:space="preserve"> DD/MM/YYYY</v>
      </c>
      <c r="G43" s="62" t="str">
        <f>IF(IF(B43="", "", VLOOKUP(B43,'API Data Dictionary'!C:G,5,FALSE))=0, "", IF(B43="", "", VLOOKUP(B43,'API Data Dictionary'!C:G,5,FALSE)))</f>
        <v>Start date of employment, formatted DD/MM/YYYY</v>
      </c>
    </row>
    <row r="44" spans="1:7" x14ac:dyDescent="0.35">
      <c r="A44" s="64" t="s">
        <v>1460</v>
      </c>
      <c r="B44" s="62" t="str">
        <f t="shared" si="2"/>
        <v>employmentGrossAnnualIncome</v>
      </c>
      <c r="C44" s="62" t="s">
        <v>68</v>
      </c>
      <c r="D44" s="62" t="str">
        <f>IF(B44="", "", VLOOKUP(B44,'API Data Dictionary'!C:D,2,FALSE))</f>
        <v>number (double)</v>
      </c>
      <c r="E44" s="62" t="str">
        <f>IF(IF(B44="", "", VLOOKUP(B44,'API Data Dictionary'!C:E,3,FALSE))=0, "", IF(B44="", "", VLOOKUP(B44,'API Data Dictionary'!C:E,3,FALSE)))</f>
        <v/>
      </c>
      <c r="F44" s="62" t="str">
        <f>IF(IF(B44="", "", VLOOKUP(B44,'API Data Dictionary'!C:F,4,FALSE))=0, "", IF(B44="", "", VLOOKUP(B44,'API Data Dictionary'!C:F,4,FALSE)))</f>
        <v>pattern: ^\d*.\d{0,2}$</v>
      </c>
      <c r="G44" s="62" t="str">
        <f>IF(IF(B44="", "", VLOOKUP(B44,'API Data Dictionary'!C:G,5,FALSE))=0, "", IF(B44="", "", VLOOKUP(B44,'API Data Dictionary'!C:G,5,FALSE)))</f>
        <v>Gross annual income in GBP</v>
      </c>
    </row>
    <row r="45" spans="1:7" x14ac:dyDescent="0.35">
      <c r="A45" s="64" t="s">
        <v>1694</v>
      </c>
      <c r="B45" s="62" t="str">
        <f t="shared" si="2"/>
        <v>netMonthlyIncome</v>
      </c>
      <c r="C45" s="62" t="s">
        <v>68</v>
      </c>
      <c r="D45" s="62" t="str">
        <f>IF(B45="", "", VLOOKUP(B45,'API Data Dictionary'!C:D,2,FALSE))</f>
        <v>number ($double)</v>
      </c>
      <c r="E45" s="62" t="str">
        <f>IF(IF(B45="", "", VLOOKUP(B45,'API Data Dictionary'!C:E,3,FALSE))=0, "", IF(B45="", "", VLOOKUP(B45,'API Data Dictionary'!C:E,3,FALSE)))</f>
        <v/>
      </c>
      <c r="F45" s="62" t="str">
        <f>IF(IF(B45="", "", VLOOKUP(B45,'API Data Dictionary'!C:F,4,FALSE))=0, "", IF(B45="", "", VLOOKUP(B45,'API Data Dictionary'!C:F,4,FALSE)))</f>
        <v>pattern: ^\d*.\d{0,2}$</v>
      </c>
      <c r="G45" s="62" t="str">
        <f>IF(IF(B45="", "", VLOOKUP(B45,'API Data Dictionary'!C:G,5,FALSE))=0, "", IF(B45="", "", VLOOKUP(B45,'API Data Dictionary'!C:G,5,FALSE)))</f>
        <v>Amount of Net monthly income in GBP</v>
      </c>
    </row>
    <row r="46" spans="1:7" x14ac:dyDescent="0.35">
      <c r="A46" s="64" t="s">
        <v>1205</v>
      </c>
      <c r="B46" s="62" t="str">
        <f t="shared" si="2"/>
        <v>employmentBonuses</v>
      </c>
      <c r="C46" s="62" t="s">
        <v>68</v>
      </c>
      <c r="D46" s="62" t="str">
        <f>IF(B46="", "", VLOOKUP(B46,'API Data Dictionary'!C:D,2,FALSE))</f>
        <v>boolean</v>
      </c>
      <c r="E46" s="62" t="str">
        <f>IF(IF(B46="", "", VLOOKUP(B46,'API Data Dictionary'!C:E,3,FALSE))=0, "", IF(B46="", "", VLOOKUP(B46,'API Data Dictionary'!C:E,3,FALSE)))</f>
        <v/>
      </c>
      <c r="F46" s="62" t="str">
        <f>IF(IF(B46="", "", VLOOKUP(B46,'API Data Dictionary'!C:F,4,FALSE))=0, "", IF(B46="", "", VLOOKUP(B46,'API Data Dictionary'!C:F,4,FALSE)))</f>
        <v/>
      </c>
      <c r="G46" s="62" t="str">
        <f>IF(IF(B46="", "", VLOOKUP(B46,'API Data Dictionary'!C:G,5,FALSE))=0, "", IF(B46="", "", VLOOKUP(B46,'API Data Dictionary'!C:G,5,FALSE)))</f>
        <v>Denotes if bonuses are recieved from the company the person is employed by</v>
      </c>
    </row>
    <row r="47" spans="1:7" x14ac:dyDescent="0.35">
      <c r="A47" s="64" t="s">
        <v>1206</v>
      </c>
      <c r="B47" s="62" t="str">
        <f t="shared" si="2"/>
        <v>employmentOvertimeReceived</v>
      </c>
      <c r="C47" s="62" t="s">
        <v>68</v>
      </c>
      <c r="D47" s="62" t="str">
        <f>IF(B47="", "", VLOOKUP(B47,'API Data Dictionary'!C:D,2,FALSE))</f>
        <v>boolean</v>
      </c>
      <c r="E47" s="62" t="str">
        <f>IF(IF(B47="", "", VLOOKUP(B47,'API Data Dictionary'!C:E,3,FALSE))=0, "", IF(B47="", "", VLOOKUP(B47,'API Data Dictionary'!C:E,3,FALSE)))</f>
        <v/>
      </c>
      <c r="F47" s="62" t="str">
        <f>IF(IF(B47="", "", VLOOKUP(B47,'API Data Dictionary'!C:F,4,FALSE))=0, "", IF(B47="", "", VLOOKUP(B47,'API Data Dictionary'!C:F,4,FALSE)))</f>
        <v/>
      </c>
      <c r="G47" s="62" t="str">
        <f>IF(IF(B47="", "", VLOOKUP(B47,'API Data Dictionary'!C:G,5,FALSE))=0, "", IF(B47="", "", VLOOKUP(B47,'API Data Dictionary'!C:G,5,FALSE)))</f>
        <v>Denotes if overtime is recieved from the company the person is employed by</v>
      </c>
    </row>
    <row r="48" spans="1:7" x14ac:dyDescent="0.35">
      <c r="A48" s="64" t="s">
        <v>1207</v>
      </c>
      <c r="B48" s="62" t="str">
        <f t="shared" si="2"/>
        <v>employmentBonusTerm</v>
      </c>
      <c r="C48" s="62" t="s">
        <v>68</v>
      </c>
      <c r="D48" s="62" t="str">
        <f>IF(B48="", "", VLOOKUP(B48,'API Data Dictionary'!C:D,2,FALSE))</f>
        <v>enum - Income Term</v>
      </c>
      <c r="E48" s="62" t="str">
        <f>IF(IF(B48="", "", VLOOKUP(B48,'API Data Dictionary'!C:E,3,FALSE))=0, "", IF(B48="", "", VLOOKUP(B48,'API Data Dictionary'!C:E,3,FALSE)))</f>
        <v/>
      </c>
      <c r="F48" s="62" t="str">
        <f>IF(IF(B48="", "", VLOOKUP(B48,'API Data Dictionary'!C:F,4,FALSE))=0, "", IF(B48="", "", VLOOKUP(B48,'API Data Dictionary'!C:F,4,FALSE)))</f>
        <v>Valid Values 1-4 (See enum definition)</v>
      </c>
      <c r="G48" s="62" t="str">
        <f>IF(IF(B48="", "", VLOOKUP(B48,'API Data Dictionary'!C:G,5,FALSE))=0, "", IF(B48="", "", VLOOKUP(B48,'API Data Dictionary'!C:G,5,FALSE)))</f>
        <v>Income term, e.g monthly or weekly</v>
      </c>
    </row>
    <row r="49" spans="1:7" x14ac:dyDescent="0.35">
      <c r="A49" s="64" t="s">
        <v>1461</v>
      </c>
      <c r="B49" s="62" t="str">
        <f t="shared" si="2"/>
        <v>employmentAvgBonusIncome</v>
      </c>
      <c r="C49" s="62" t="s">
        <v>68</v>
      </c>
      <c r="D49" s="62" t="str">
        <f>IF(B49="", "", VLOOKUP(B49,'API Data Dictionary'!C:D,2,FALSE))</f>
        <v>number (double)</v>
      </c>
      <c r="E49" s="62" t="str">
        <f>IF(IF(B49="", "", VLOOKUP(B49,'API Data Dictionary'!C:E,3,FALSE))=0, "", IF(B49="", "", VLOOKUP(B49,'API Data Dictionary'!C:E,3,FALSE)))</f>
        <v/>
      </c>
      <c r="F49" s="62" t="str">
        <f>IF(IF(B49="", "", VLOOKUP(B49,'API Data Dictionary'!C:F,4,FALSE))=0, "", IF(B49="", "", VLOOKUP(B49,'API Data Dictionary'!C:F,4,FALSE)))</f>
        <v>pattern: ^\d*.\d{0,2}$</v>
      </c>
      <c r="G49" s="62" t="str">
        <f>IF(IF(B49="", "", VLOOKUP(B49,'API Data Dictionary'!C:G,5,FALSE))=0, "", IF(B49="", "", VLOOKUP(B49,'API Data Dictionary'!C:G,5,FALSE)))</f>
        <v>Average bonus income in GBP</v>
      </c>
    </row>
    <row r="50" spans="1:7" x14ac:dyDescent="0.35">
      <c r="A50" s="64" t="s">
        <v>1209</v>
      </c>
      <c r="B50" s="62" t="str">
        <f t="shared" si="2"/>
        <v>employmentOvertimeTerm</v>
      </c>
      <c r="C50" s="62" t="s">
        <v>68</v>
      </c>
      <c r="D50" s="62" t="str">
        <f>IF(B50="", "", VLOOKUP(B50,'API Data Dictionary'!C:D,2,FALSE))</f>
        <v>enum - Income Term</v>
      </c>
      <c r="E50" s="62" t="str">
        <f>IF(IF(B50="", "", VLOOKUP(B50,'API Data Dictionary'!C:E,3,FALSE))=0, "", IF(B50="", "", VLOOKUP(B50,'API Data Dictionary'!C:E,3,FALSE)))</f>
        <v/>
      </c>
      <c r="F50" s="62" t="str">
        <f>IF(IF(B50="", "", VLOOKUP(B50,'API Data Dictionary'!C:F,4,FALSE))=0, "", IF(B50="", "", VLOOKUP(B50,'API Data Dictionary'!C:F,4,FALSE)))</f>
        <v>Valid Values 1-4 (See enum definition)</v>
      </c>
      <c r="G50" s="62" t="str">
        <f>IF(IF(B50="", "", VLOOKUP(B50,'API Data Dictionary'!C:G,5,FALSE))=0, "", IF(B50="", "", VLOOKUP(B50,'API Data Dictionary'!C:G,5,FALSE)))</f>
        <v>Income term, e.g monthly or weekly</v>
      </c>
    </row>
    <row r="51" spans="1:7" x14ac:dyDescent="0.35">
      <c r="A51" s="64" t="s">
        <v>1210</v>
      </c>
      <c r="B51" s="62" t="str">
        <f t="shared" si="2"/>
        <v>employmentOvertimeAvgIncome</v>
      </c>
      <c r="C51" s="62" t="s">
        <v>68</v>
      </c>
      <c r="D51" s="62" t="str">
        <f>IF(B51="", "", VLOOKUP(B51,'API Data Dictionary'!C:D,2,FALSE))</f>
        <v>number (double)</v>
      </c>
      <c r="E51" s="62" t="str">
        <f>IF(IF(B51="", "", VLOOKUP(B51,'API Data Dictionary'!C:E,3,FALSE))=0, "", IF(B51="", "", VLOOKUP(B51,'API Data Dictionary'!C:E,3,FALSE)))</f>
        <v/>
      </c>
      <c r="F51" s="62" t="str">
        <f>IF(IF(B51="", "", VLOOKUP(B51,'API Data Dictionary'!C:F,4,FALSE))=0, "", IF(B51="", "", VLOOKUP(B51,'API Data Dictionary'!C:F,4,FALSE)))</f>
        <v>pattern: ^\d*.\d{0,2}$</v>
      </c>
      <c r="G51" s="62" t="str">
        <f>IF(IF(B51="", "", VLOOKUP(B51,'API Data Dictionary'!C:G,5,FALSE))=0, "", IF(B51="", "", VLOOKUP(B51,'API Data Dictionary'!C:G,5,FALSE)))</f>
        <v>Average overtime income in GBP</v>
      </c>
    </row>
    <row r="52" spans="1:7" x14ac:dyDescent="0.35">
      <c r="A52" s="64" t="s">
        <v>1462</v>
      </c>
      <c r="B52" s="62" t="str">
        <f t="shared" si="2"/>
        <v>employmentEmployeeNumber</v>
      </c>
      <c r="C52" s="62" t="s">
        <v>68</v>
      </c>
      <c r="D52" s="62" t="str">
        <f>IF(B52="", "", VLOOKUP(B52,'API Data Dictionary'!C:D,2,FALSE))</f>
        <v>string</v>
      </c>
      <c r="E52" s="62">
        <f>IF(IF(B52="", "", VLOOKUP(B52,'API Data Dictionary'!C:E,3,FALSE))=0, "", IF(B52="", "", VLOOKUP(B52,'API Data Dictionary'!C:E,3,FALSE)))</f>
        <v>100</v>
      </c>
      <c r="F52" s="62" t="str">
        <f>IF(IF(B52="", "", VLOOKUP(B52,'API Data Dictionary'!C:F,4,FALSE))=0, "", IF(B52="", "", VLOOKUP(B52,'API Data Dictionary'!C:F,4,FALSE)))</f>
        <v/>
      </c>
      <c r="G52" s="62" t="str">
        <f>IF(IF(B52="", "", VLOOKUP(B52,'API Data Dictionary'!C:G,5,FALSE))=0, "", IF(B52="", "", VLOOKUP(B52,'API Data Dictionary'!C:G,5,FALSE)))</f>
        <v>Employee number from the company the person is employed by</v>
      </c>
    </row>
    <row r="53" spans="1:7" x14ac:dyDescent="0.35">
      <c r="A53" s="64" t="s">
        <v>1212</v>
      </c>
      <c r="B53" s="62" t="str">
        <f t="shared" si="2"/>
        <v>paymentScheduleId</v>
      </c>
      <c r="C53" s="62" t="s">
        <v>68</v>
      </c>
      <c r="D53" s="62" t="str">
        <f>IF(B53="", "", VLOOKUP(B53,'API Data Dictionary'!C:D,2,FALSE))</f>
        <v>enum - Income Term</v>
      </c>
      <c r="E53" s="62" t="str">
        <f>IF(IF(B53="", "", VLOOKUP(B53,'API Data Dictionary'!C:E,3,FALSE))=0, "", IF(B53="", "", VLOOKUP(B53,'API Data Dictionary'!C:E,3,FALSE)))</f>
        <v/>
      </c>
      <c r="F53" s="62" t="str">
        <f>IF(IF(B53="", "", VLOOKUP(B53,'API Data Dictionary'!C:F,4,FALSE))=0, "", IF(B53="", "", VLOOKUP(B53,'API Data Dictionary'!C:F,4,FALSE)))</f>
        <v>Valid Values 1-4 (See enum definition)</v>
      </c>
      <c r="G53" s="62" t="str">
        <f>IF(IF(B53="", "", VLOOKUP(B53,'API Data Dictionary'!C:G,5,FALSE))=0, "", IF(B53="", "", VLOOKUP(B53,'API Data Dictionary'!C:G,5,FALSE)))</f>
        <v xml:space="preserve">The schedule of the payments </v>
      </c>
    </row>
    <row r="54" spans="1:7" x14ac:dyDescent="0.35">
      <c r="A54" s="64" t="s">
        <v>1463</v>
      </c>
      <c r="B54" s="62" t="str">
        <f t="shared" si="2"/>
        <v>employmentRefereeName</v>
      </c>
      <c r="C54" s="62" t="s">
        <v>68</v>
      </c>
      <c r="D54" s="62" t="str">
        <f>IF(B54="", "", VLOOKUP(B54,'API Data Dictionary'!C:D,2,FALSE))</f>
        <v>string</v>
      </c>
      <c r="E54" s="62">
        <f>IF(IF(B54="", "", VLOOKUP(B54,'API Data Dictionary'!C:E,3,FALSE))=0, "", IF(B54="", "", VLOOKUP(B54,'API Data Dictionary'!C:E,3,FALSE)))</f>
        <v>100</v>
      </c>
      <c r="F54" s="62" t="str">
        <f>IF(IF(B54="", "", VLOOKUP(B54,'API Data Dictionary'!C:F,4,FALSE))=0, "", IF(B54="", "", VLOOKUP(B54,'API Data Dictionary'!C:F,4,FALSE)))</f>
        <v/>
      </c>
      <c r="G54" s="62" t="str">
        <f>IF(IF(B54="", "", VLOOKUP(B54,'API Data Dictionary'!C:G,5,FALSE))=0, "", IF(B54="", "", VLOOKUP(B54,'API Data Dictionary'!C:G,5,FALSE)))</f>
        <v>The fulll name of the employment referee</v>
      </c>
    </row>
    <row r="55" spans="1:7" x14ac:dyDescent="0.35">
      <c r="A55" s="64" t="s">
        <v>1214</v>
      </c>
      <c r="B55" s="62" t="str">
        <f t="shared" si="2"/>
        <v>employmentRefereeContactCountryID</v>
      </c>
      <c r="C55" s="62" t="s">
        <v>68</v>
      </c>
      <c r="D55" s="62" t="str">
        <f>IF(B55="", "", VLOOKUP(B55,'API Data Dictionary'!C:D,2,FALSE))</f>
        <v>enum -Country/Location Code</v>
      </c>
      <c r="E55" s="62" t="str">
        <f>IF(IF(B55="", "", VLOOKUP(B55,'API Data Dictionary'!C:E,3,FALSE))=0, "", IF(B55="", "", VLOOKUP(B55,'API Data Dictionary'!C:E,3,FALSE)))</f>
        <v/>
      </c>
      <c r="F55" s="62" t="str">
        <f>IF(IF(B55="", "", VLOOKUP(B55,'API Data Dictionary'!C:F,4,FALSE))=0, "", IF(B55="", "", VLOOKUP(B55,'API Data Dictionary'!C:F,4,FALSE)))</f>
        <v>Valid Values 1-239 (See enum definition)</v>
      </c>
      <c r="G55" s="62" t="str">
        <f>IF(IF(B55="", "", VLOOKUP(B55,'API Data Dictionary'!C:G,5,FALSE))=0, "", IF(B55="", "", VLOOKUP(B55,'API Data Dictionary'!C:G,5,FALSE)))</f>
        <v>The country/location code of the employment referee contact phone number</v>
      </c>
    </row>
    <row r="56" spans="1:7" x14ac:dyDescent="0.35">
      <c r="A56" s="64" t="s">
        <v>1464</v>
      </c>
      <c r="B56" s="62" t="str">
        <f t="shared" si="2"/>
        <v>employmentRefereeContactNumber</v>
      </c>
      <c r="C56" s="62" t="s">
        <v>68</v>
      </c>
      <c r="D56" s="62" t="str">
        <f>IF(B56="", "", VLOOKUP(B56,'API Data Dictionary'!C:D,2,FALSE))</f>
        <v>string</v>
      </c>
      <c r="E56" s="62">
        <f>IF(IF(B56="", "", VLOOKUP(B56,'API Data Dictionary'!C:E,3,FALSE))=0, "", IF(B56="", "", VLOOKUP(B56,'API Data Dictionary'!C:E,3,FALSE)))</f>
        <v>15</v>
      </c>
      <c r="F56" s="62" t="str">
        <f>IF(IF(B56="", "", VLOOKUP(B56,'API Data Dictionary'!C:F,4,FALSE))=0, "", IF(B56="", "", VLOOKUP(B56,'API Data Dictionary'!C:F,4,FALSE)))</f>
        <v>pattern: ^(\d{11})$</v>
      </c>
      <c r="G56" s="62" t="str">
        <f>IF(IF(B56="", "", VLOOKUP(B56,'API Data Dictionary'!C:G,5,FALSE))=0, "", IF(B56="", "", VLOOKUP(B56,'API Data Dictionary'!C:G,5,FALSE)))</f>
        <v>The emplyment referee contact phone number</v>
      </c>
    </row>
    <row r="57" spans="1:7" x14ac:dyDescent="0.35">
      <c r="A57" s="64" t="s">
        <v>1465</v>
      </c>
      <c r="B57" s="62" t="str">
        <f t="shared" si="2"/>
        <v>employmentRefereeEmail</v>
      </c>
      <c r="C57" s="62" t="s">
        <v>68</v>
      </c>
      <c r="D57" s="62" t="str">
        <f>IF(B57="", "", VLOOKUP(B57,'API Data Dictionary'!C:D,2,FALSE))</f>
        <v>string ($email)</v>
      </c>
      <c r="E57" s="62">
        <f>IF(IF(B57="", "", VLOOKUP(B57,'API Data Dictionary'!C:E,3,FALSE))=0, "", IF(B57="", "", VLOOKUP(B57,'API Data Dictionary'!C:E,3,FALSE)))</f>
        <v>200</v>
      </c>
      <c r="F57" s="62" t="str">
        <f>IF(IF(B57="", "", VLOOKUP(B57,'API Data Dictionary'!C:F,4,FALSE))=0, "", IF(B57="", "", VLOOKUP(B57,'API Data Dictionary'!C:F,4,FALSE)))</f>
        <v>pattern: ^(?!.*\.\.)(?!.*\\_\\_)(?!.*\-\-)[a-zA-Z0-9][-a-zA-Z0-9._]+[a-zA-Z0-9]@([-a-zA-Z0-9]+.)+[a-zA-Z]{2,5}$</v>
      </c>
      <c r="G57" s="62" t="str">
        <f>IF(IF(B57="", "", VLOOKUP(B57,'API Data Dictionary'!C:G,5,FALSE))=0, "", IF(B57="", "", VLOOKUP(B57,'API Data Dictionary'!C:G,5,FALSE)))</f>
        <v>The email address of the referee</v>
      </c>
    </row>
    <row r="58" spans="1:7" x14ac:dyDescent="0.35">
      <c r="A58" s="64" t="s">
        <v>1466</v>
      </c>
      <c r="B58" s="62" t="str">
        <f t="shared" si="2"/>
        <v>employmentRefereePosition</v>
      </c>
      <c r="C58" s="62" t="s">
        <v>68</v>
      </c>
      <c r="D58" s="62" t="str">
        <f>IF(B58="", "", VLOOKUP(B58,'API Data Dictionary'!C:D,2,FALSE))</f>
        <v>string</v>
      </c>
      <c r="E58" s="62">
        <f>IF(IF(B58="", "", VLOOKUP(B58,'API Data Dictionary'!C:E,3,FALSE))=0, "", IF(B58="", "", VLOOKUP(B58,'API Data Dictionary'!C:E,3,FALSE)))</f>
        <v>100</v>
      </c>
      <c r="F58" s="62" t="str">
        <f>IF(IF(B58="", "", VLOOKUP(B58,'API Data Dictionary'!C:F,4,FALSE))=0, "", IF(B58="", "", VLOOKUP(B58,'API Data Dictionary'!C:F,4,FALSE)))</f>
        <v/>
      </c>
      <c r="G58" s="62" t="str">
        <f>IF(IF(B58="", "", VLOOKUP(B58,'API Data Dictionary'!C:G,5,FALSE))=0, "", IF(B58="", "", VLOOKUP(B58,'API Data Dictionary'!C:G,5,FALSE)))</f>
        <v>The position of the employment referee in the company</v>
      </c>
    </row>
    <row r="59" spans="1:7" x14ac:dyDescent="0.35">
      <c r="A59" s="64" t="s">
        <v>1467</v>
      </c>
      <c r="B59" s="62" t="str">
        <f t="shared" si="2"/>
        <v>addressLine1</v>
      </c>
      <c r="C59" s="62" t="s">
        <v>68</v>
      </c>
      <c r="D59" s="62" t="str">
        <f>IF(B59="", "", VLOOKUP(B59,'API Data Dictionary'!C:D,2,FALSE))</f>
        <v>string</v>
      </c>
      <c r="E59" s="62">
        <f>IF(IF(B59="", "", VLOOKUP(B59,'API Data Dictionary'!C:E,3,FALSE))=0, "", IF(B59="", "", VLOOKUP(B59,'API Data Dictionary'!C:E,3,FALSE)))</f>
        <v>100</v>
      </c>
      <c r="F59" s="62" t="str">
        <f>IF(IF(B59="", "", VLOOKUP(B59,'API Data Dictionary'!C:F,4,FALSE))=0, "", IF(B59="", "", VLOOKUP(B59,'API Data Dictionary'!C:F,4,FALSE)))</f>
        <v/>
      </c>
      <c r="G59" s="62" t="str">
        <f>IF(IF(B59="", "", VLOOKUP(B59,'API Data Dictionary'!C:G,5,FALSE))=0, "", IF(B59="", "", VLOOKUP(B59,'API Data Dictionary'!C:G,5,FALSE)))</f>
        <v>The first line of the property address</v>
      </c>
    </row>
    <row r="60" spans="1:7" x14ac:dyDescent="0.35">
      <c r="A60" s="64" t="s">
        <v>1468</v>
      </c>
      <c r="B60" s="62" t="str">
        <f t="shared" si="2"/>
        <v>addressLine2</v>
      </c>
      <c r="C60" s="62" t="s">
        <v>68</v>
      </c>
      <c r="D60" s="62" t="str">
        <f>IF(B60="", "", VLOOKUP(B60,'API Data Dictionary'!C:D,2,FALSE))</f>
        <v>string</v>
      </c>
      <c r="E60" s="62">
        <f>IF(IF(B60="", "", VLOOKUP(B60,'API Data Dictionary'!C:E,3,FALSE))=0, "", IF(B60="", "", VLOOKUP(B60,'API Data Dictionary'!C:E,3,FALSE)))</f>
        <v>100</v>
      </c>
      <c r="F60" s="62" t="str">
        <f>IF(IF(B60="", "", VLOOKUP(B60,'API Data Dictionary'!C:F,4,FALSE))=0, "", IF(B60="", "", VLOOKUP(B60,'API Data Dictionary'!C:F,4,FALSE)))</f>
        <v/>
      </c>
      <c r="G60" s="62" t="str">
        <f>IF(IF(B60="", "", VLOOKUP(B60,'API Data Dictionary'!C:G,5,FALSE))=0, "", IF(B60="", "", VLOOKUP(B60,'API Data Dictionary'!C:G,5,FALSE)))</f>
        <v>The second line of the property address</v>
      </c>
    </row>
    <row r="61" spans="1:7" x14ac:dyDescent="0.35">
      <c r="A61" s="64" t="s">
        <v>1469</v>
      </c>
      <c r="B61" s="62" t="str">
        <f t="shared" si="2"/>
        <v>city</v>
      </c>
      <c r="C61" s="62" t="s">
        <v>68</v>
      </c>
      <c r="D61" s="62" t="str">
        <f>IF(B61="", "", VLOOKUP(B61,'API Data Dictionary'!C:D,2,FALSE))</f>
        <v>string</v>
      </c>
      <c r="E61" s="62">
        <f>IF(IF(B61="", "", VLOOKUP(B61,'API Data Dictionary'!C:E,3,FALSE))=0, "", IF(B61="", "", VLOOKUP(B61,'API Data Dictionary'!C:E,3,FALSE)))</f>
        <v>100</v>
      </c>
      <c r="F61" s="62" t="str">
        <f>IF(IF(B61="", "", VLOOKUP(B61,'API Data Dictionary'!C:F,4,FALSE))=0, "", IF(B61="", "", VLOOKUP(B61,'API Data Dictionary'!C:F,4,FALSE)))</f>
        <v/>
      </c>
      <c r="G61" s="62" t="str">
        <f>IF(IF(B61="", "", VLOOKUP(B61,'API Data Dictionary'!C:G,5,FALSE))=0, "", IF(B61="", "", VLOOKUP(B61,'API Data Dictionary'!C:G,5,FALSE)))</f>
        <v>The town in which the property exists</v>
      </c>
    </row>
    <row r="62" spans="1:7" x14ac:dyDescent="0.35">
      <c r="A62" s="64" t="s">
        <v>1470</v>
      </c>
      <c r="B62" s="62" t="str">
        <f t="shared" si="2"/>
        <v>postCode</v>
      </c>
      <c r="C62" s="62" t="s">
        <v>68</v>
      </c>
      <c r="D62" s="62" t="str">
        <f>IF(B62="", "", VLOOKUP(B62,'API Data Dictionary'!C:D,2,FALSE))</f>
        <v>string</v>
      </c>
      <c r="E62" s="62">
        <f>IF(IF(B62="", "", VLOOKUP(B62,'API Data Dictionary'!C:E,3,FALSE))=0, "", IF(B62="", "", VLOOKUP(B62,'API Data Dictionary'!C:E,3,FALSE)))</f>
        <v>50</v>
      </c>
      <c r="F62" s="62" t="str">
        <f>IF(IF(B62="", "", VLOOKUP(B62,'API Data Dictionary'!C:F,4,FALSE))=0, "", IF(B62="", "", VLOOKUP(B62,'API Data Dictionary'!C:F,4,FALSE)))</f>
        <v/>
      </c>
      <c r="G62" s="62" t="str">
        <f>IF(IF(B62="", "", VLOOKUP(B62,'API Data Dictionary'!C:G,5,FALSE))=0, "", IF(B62="", "", VLOOKUP(B62,'API Data Dictionary'!C:G,5,FALSE)))</f>
        <v>the postcode of the property</v>
      </c>
    </row>
    <row r="63" spans="1:7" x14ac:dyDescent="0.35">
      <c r="A63" s="64" t="s">
        <v>1224</v>
      </c>
      <c r="B63" s="62" t="str">
        <f t="shared" si="2"/>
        <v>employmentTypeId</v>
      </c>
      <c r="C63" s="62" t="s">
        <v>68</v>
      </c>
      <c r="D63" s="62" t="str">
        <f>IF(B63="", "", VLOOKUP(B63,'API Data Dictionary'!C:D,2,FALSE))</f>
        <v xml:space="preserve">enum - employmentTypeId	</v>
      </c>
      <c r="E63" s="62" t="str">
        <f>IF(IF(B63="", "", VLOOKUP(B63,'API Data Dictionary'!C:E,3,FALSE))=0, "", IF(B63="", "", VLOOKUP(B63,'API Data Dictionary'!C:E,3,FALSE)))</f>
        <v/>
      </c>
      <c r="F63" s="62" t="str">
        <f>IF(IF(B63="", "", VLOOKUP(B63,'API Data Dictionary'!C:F,4,FALSE))=0, "", IF(B63="", "", VLOOKUP(B63,'API Data Dictionary'!C:F,4,FALSE)))</f>
        <v>Valid Values 1-4 (See enum definition)</v>
      </c>
      <c r="G63" s="62" t="str">
        <f>IF(IF(B63="", "", VLOOKUP(B63,'API Data Dictionary'!C:G,5,FALSE))=0, "", IF(B63="", "", VLOOKUP(B63,'API Data Dictionary'!C:G,5,FALSE)))</f>
        <v>Employment Type from the enum lists, e.g. permenant full time</v>
      </c>
    </row>
    <row r="64" spans="1:7" x14ac:dyDescent="0.35">
      <c r="A64" s="64" t="s">
        <v>1695</v>
      </c>
      <c r="B64" s="62" t="str">
        <f t="shared" si="2"/>
        <v>employmentZeroHourContract</v>
      </c>
      <c r="C64" s="62" t="s">
        <v>68</v>
      </c>
      <c r="D64" s="62" t="str">
        <f>IF(B64="", "", VLOOKUP(B64,'API Data Dictionary'!C:D,2,FALSE))</f>
        <v>boolean</v>
      </c>
      <c r="E64" s="62" t="str">
        <f>IF(IF(B64="", "", VLOOKUP(B64,'API Data Dictionary'!C:E,3,FALSE))=0, "", IF(B64="", "", VLOOKUP(B64,'API Data Dictionary'!C:E,3,FALSE)))</f>
        <v/>
      </c>
      <c r="F64" s="62" t="str">
        <f>IF(IF(B64="", "", VLOOKUP(B64,'API Data Dictionary'!C:F,4,FALSE))=0, "", IF(B64="", "", VLOOKUP(B64,'API Data Dictionary'!C:F,4,FALSE)))</f>
        <v/>
      </c>
      <c r="G64" s="62" t="str">
        <f>IF(IF(B64="", "", VLOOKUP(B64,'API Data Dictionary'!C:G,5,FALSE))=0, "", IF(B64="", "", VLOOKUP(B64,'API Data Dictionary'!C:G,5,FALSE)))</f>
        <v>Denotes if emplyed on a zero hour contract</v>
      </c>
    </row>
    <row r="65" spans="1:7" x14ac:dyDescent="0.35">
      <c r="A65" s="64" t="s">
        <v>1696</v>
      </c>
      <c r="B65" s="62" t="str">
        <f t="shared" si="2"/>
        <v>industryType</v>
      </c>
      <c r="C65" s="62" t="s">
        <v>68</v>
      </c>
      <c r="D65" s="62" t="s">
        <v>1707</v>
      </c>
      <c r="E65" s="62"/>
      <c r="F65" s="62"/>
      <c r="G65" s="62" t="s">
        <v>1708</v>
      </c>
    </row>
    <row r="66" spans="1:7" x14ac:dyDescent="0.35">
      <c r="A66" s="64" t="s">
        <v>1188</v>
      </c>
      <c r="B66" s="62" t="str">
        <f t="shared" si="2"/>
        <v/>
      </c>
      <c r="C66" s="62" t="str">
        <f>IF(B66="", "", VLOOKUP(B66,'API Data Dictionary'!C:X,22,FALSE))</f>
        <v/>
      </c>
      <c r="D66" s="62" t="str">
        <f>IF(B66="", "", VLOOKUP(B66,'API Data Dictionary'!C:D,2,FALSE))</f>
        <v/>
      </c>
      <c r="E66" s="62" t="str">
        <f>IF(IF(B66="", "", VLOOKUP(B66,'API Data Dictionary'!C:E,3,FALSE))=0, "", IF(B66="", "", VLOOKUP(B66,'API Data Dictionary'!C:E,3,FALSE)))</f>
        <v/>
      </c>
      <c r="F66" s="62" t="str">
        <f>IF(IF(B66="", "", VLOOKUP(B66,'API Data Dictionary'!C:F,4,FALSE))=0, "", IF(B66="", "", VLOOKUP(B66,'API Data Dictionary'!C:F,4,FALSE)))</f>
        <v/>
      </c>
      <c r="G66" s="62" t="str">
        <f>IF(IF(B66="", "", VLOOKUP(B66,'API Data Dictionary'!C:G,5,FALSE))=0, "", IF(B66="", "", VLOOKUP(B66,'API Data Dictionary'!C:G,5,FALSE)))</f>
        <v/>
      </c>
    </row>
    <row r="67" spans="1:7" x14ac:dyDescent="0.35">
      <c r="A67" s="64" t="s">
        <v>1226</v>
      </c>
      <c r="B67" s="62" t="str">
        <f t="shared" si="2"/>
        <v/>
      </c>
      <c r="C67" s="62" t="str">
        <f>IF(B67="", "", VLOOKUP(B67,'API Data Dictionary'!C:X,22,FALSE))</f>
        <v/>
      </c>
      <c r="D67" s="62" t="str">
        <f>IF(B67="", "", VLOOKUP(B67,'API Data Dictionary'!C:D,2,FALSE))</f>
        <v/>
      </c>
      <c r="E67" s="62" t="str">
        <f>IF(IF(B67="", "", VLOOKUP(B67,'API Data Dictionary'!C:E,3,FALSE))=0, "", IF(B67="", "", VLOOKUP(B67,'API Data Dictionary'!C:E,3,FALSE)))</f>
        <v/>
      </c>
      <c r="F67" s="62" t="str">
        <f>IF(IF(B67="", "", VLOOKUP(B67,'API Data Dictionary'!C:F,4,FALSE))=0, "", IF(B67="", "", VLOOKUP(B67,'API Data Dictionary'!C:F,4,FALSE)))</f>
        <v/>
      </c>
      <c r="G67" s="62" t="str">
        <f>IF(IF(B67="", "", VLOOKUP(B67,'API Data Dictionary'!C:G,5,FALSE))=0, "", IF(B67="", "", VLOOKUP(B67,'API Data Dictionary'!C:G,5,FALSE)))</f>
        <v/>
      </c>
    </row>
    <row r="68" spans="1:7" x14ac:dyDescent="0.35">
      <c r="A68" s="64" t="s">
        <v>1227</v>
      </c>
      <c r="B68" s="62" t="str">
        <f t="shared" si="2"/>
        <v>tradingTypeId</v>
      </c>
      <c r="C68" s="62" t="s">
        <v>68</v>
      </c>
      <c r="D68" s="62" t="str">
        <f>IF(B68="", "", VLOOKUP(B68,'API Data Dictionary'!C:D,2,FALSE))</f>
        <v>enum - tradingTypeId</v>
      </c>
      <c r="E68" s="62" t="str">
        <f>IF(IF(B68="", "", VLOOKUP(B68,'API Data Dictionary'!C:E,3,FALSE))=0, "", IF(B68="", "", VLOOKUP(B68,'API Data Dictionary'!C:E,3,FALSE)))</f>
        <v/>
      </c>
      <c r="F68" s="62" t="str">
        <f>IF(IF(B68="", "", VLOOKUP(B68,'API Data Dictionary'!C:F,4,FALSE))=0, "", IF(B68="", "", VLOOKUP(B68,'API Data Dictionary'!C:F,4,FALSE)))</f>
        <v>Valid Values  (See enum definition)</v>
      </c>
      <c r="G68" s="62" t="str">
        <f>IF(IF(B68="", "", VLOOKUP(B68,'API Data Dictionary'!C:G,5,FALSE))=0, "", IF(B68="", "", VLOOKUP(B68,'API Data Dictionary'!C:G,5,FALSE)))</f>
        <v>The trading type of the self employed person</v>
      </c>
    </row>
    <row r="69" spans="1:7" x14ac:dyDescent="0.35">
      <c r="A69" s="64" t="s">
        <v>1471</v>
      </c>
      <c r="B69" s="62" t="str">
        <f t="shared" si="2"/>
        <v>startDateOfSelfEmployment</v>
      </c>
      <c r="C69" s="62" t="s">
        <v>68</v>
      </c>
      <c r="D69" s="62" t="str">
        <f>IF(B69="", "", VLOOKUP(B69,'API Data Dictionary'!C:D,2,FALSE))</f>
        <v>string ($date-time)</v>
      </c>
      <c r="E69" s="62" t="str">
        <f>IF(IF(B69="", "", VLOOKUP(B69,'API Data Dictionary'!C:E,3,FALSE))=0, "", IF(B69="", "", VLOOKUP(B69,'API Data Dictionary'!C:E,3,FALSE)))</f>
        <v/>
      </c>
      <c r="F69" s="62" t="str">
        <f>IF(IF(B69="", "", VLOOKUP(B69,'API Data Dictionary'!C:F,4,FALSE))=0, "", IF(B69="", "", VLOOKUP(B69,'API Data Dictionary'!C:F,4,FALSE)))</f>
        <v xml:space="preserve"> DD/MM/YYYY</v>
      </c>
      <c r="G69" s="62" t="str">
        <f>IF(IF(B69="", "", VLOOKUP(B69,'API Data Dictionary'!C:G,5,FALSE))=0, "", IF(B69="", "", VLOOKUP(B69,'API Data Dictionary'!C:G,5,FALSE)))</f>
        <v>Start date of self employment, formatted DD/MM/YYYY</v>
      </c>
    </row>
    <row r="70" spans="1:7" x14ac:dyDescent="0.35">
      <c r="A70" s="64" t="s">
        <v>1472</v>
      </c>
      <c r="B70" s="62" t="str">
        <f t="shared" si="2"/>
        <v>selfEmployedAnnualIncome</v>
      </c>
      <c r="C70" s="62" t="s">
        <v>68</v>
      </c>
      <c r="D70" s="62" t="str">
        <f>IF(B70="", "", VLOOKUP(B70,'API Data Dictionary'!C:D,2,FALSE))</f>
        <v>number (double)</v>
      </c>
      <c r="E70" s="62" t="str">
        <f>IF(IF(B70="", "", VLOOKUP(B70,'API Data Dictionary'!C:E,3,FALSE))=0, "", IF(B70="", "", VLOOKUP(B70,'API Data Dictionary'!C:E,3,FALSE)))</f>
        <v/>
      </c>
      <c r="F70" s="62" t="str">
        <f>IF(IF(B70="", "", VLOOKUP(B70,'API Data Dictionary'!C:F,4,FALSE))=0, "", IF(B70="", "", VLOOKUP(B70,'API Data Dictionary'!C:F,4,FALSE)))</f>
        <v>pattern: ^\d*.\d{0,2}$</v>
      </c>
      <c r="G70" s="62" t="str">
        <f>IF(IF(B70="", "", VLOOKUP(B70,'API Data Dictionary'!C:G,5,FALSE))=0, "", IF(B70="", "", VLOOKUP(B70,'API Data Dictionary'!C:G,5,FALSE)))</f>
        <v>The self employed annual income in GBP</v>
      </c>
    </row>
    <row r="71" spans="1:7" x14ac:dyDescent="0.35">
      <c r="A71" s="64" t="s">
        <v>1694</v>
      </c>
      <c r="B71" s="62" t="str">
        <f t="shared" si="2"/>
        <v>netMonthlyIncome</v>
      </c>
      <c r="C71" s="62" t="s">
        <v>68</v>
      </c>
      <c r="D71" s="62" t="str">
        <f>IF(B71="", "", VLOOKUP(B71,'API Data Dictionary'!C:D,2,FALSE))</f>
        <v>number ($double)</v>
      </c>
      <c r="E71" s="62" t="str">
        <f>IF(IF(B71="", "", VLOOKUP(B71,'API Data Dictionary'!C:E,3,FALSE))=0, "", IF(B71="", "", VLOOKUP(B71,'API Data Dictionary'!C:E,3,FALSE)))</f>
        <v/>
      </c>
      <c r="F71" s="62" t="str">
        <f>IF(IF(B71="", "", VLOOKUP(B71,'API Data Dictionary'!C:F,4,FALSE))=0, "", IF(B71="", "", VLOOKUP(B71,'API Data Dictionary'!C:F,4,FALSE)))</f>
        <v>pattern: ^\d*.\d{0,2}$</v>
      </c>
      <c r="G71" s="62" t="str">
        <f>IF(IF(B71="", "", VLOOKUP(B71,'API Data Dictionary'!C:G,5,FALSE))=0, "", IF(B71="", "", VLOOKUP(B71,'API Data Dictionary'!C:G,5,FALSE)))</f>
        <v>Amount of Net monthly income in GBP</v>
      </c>
    </row>
    <row r="72" spans="1:7" x14ac:dyDescent="0.35">
      <c r="A72" s="64" t="s">
        <v>1473</v>
      </c>
      <c r="B72" s="62" t="str">
        <f t="shared" si="2"/>
        <v>taxReturnSubmitted</v>
      </c>
      <c r="C72" s="62" t="s">
        <v>68</v>
      </c>
      <c r="D72" s="62" t="str">
        <f>IF(B72="", "", VLOOKUP(B72,'API Data Dictionary'!C:D,2,FALSE))</f>
        <v>boolean</v>
      </c>
      <c r="E72" s="62" t="str">
        <f>IF(IF(B72="", "", VLOOKUP(B72,'API Data Dictionary'!C:E,3,FALSE))=0, "", IF(B72="", "", VLOOKUP(B72,'API Data Dictionary'!C:E,3,FALSE)))</f>
        <v/>
      </c>
      <c r="F72" s="62" t="str">
        <f>IF(IF(B72="", "", VLOOKUP(B72,'API Data Dictionary'!C:F,4,FALSE))=0, "", IF(B72="", "", VLOOKUP(B72,'API Data Dictionary'!C:F,4,FALSE)))</f>
        <v/>
      </c>
      <c r="G72" s="62" t="str">
        <f>IF(IF(B72="", "", VLOOKUP(B72,'API Data Dictionary'!C:G,5,FALSE))=0, "", IF(B72="", "", VLOOKUP(B72,'API Data Dictionary'!C:G,5,FALSE)))</f>
        <v>Denotes whether a tax return is submitted</v>
      </c>
    </row>
    <row r="73" spans="1:7" x14ac:dyDescent="0.35">
      <c r="A73" s="64" t="s">
        <v>1231</v>
      </c>
      <c r="B73" s="62" t="str">
        <f t="shared" si="2"/>
        <v>doesApplicantUseAccountant</v>
      </c>
      <c r="C73" s="62" t="s">
        <v>68</v>
      </c>
      <c r="D73" s="62" t="str">
        <f>IF(B73="", "", VLOOKUP(B73,'API Data Dictionary'!C:D,2,FALSE))</f>
        <v>boolean</v>
      </c>
      <c r="E73" s="62" t="str">
        <f>IF(IF(B73="", "", VLOOKUP(B73,'API Data Dictionary'!C:E,3,FALSE))=0, "", IF(B73="", "", VLOOKUP(B73,'API Data Dictionary'!C:E,3,FALSE)))</f>
        <v/>
      </c>
      <c r="F73" s="62" t="str">
        <f>IF(IF(B73="", "", VLOOKUP(B73,'API Data Dictionary'!C:F,4,FALSE))=0, "", IF(B73="", "", VLOOKUP(B73,'API Data Dictionary'!C:F,4,FALSE)))</f>
        <v/>
      </c>
      <c r="G73" s="62" t="str">
        <f>IF(IF(B73="", "", VLOOKUP(B73,'API Data Dictionary'!C:G,5,FALSE))=0, "", IF(B73="", "", VLOOKUP(B73,'API Data Dictionary'!C:G,5,FALSE)))</f>
        <v>Denotes whether an accountacy firm is used</v>
      </c>
    </row>
    <row r="74" spans="1:7" x14ac:dyDescent="0.35">
      <c r="A74" s="64" t="s">
        <v>1474</v>
      </c>
      <c r="B74" s="62" t="str">
        <f t="shared" si="2"/>
        <v>accountantCompanyName</v>
      </c>
      <c r="C74" s="62" t="s">
        <v>68</v>
      </c>
      <c r="D74" s="62" t="str">
        <f>IF(B74="", "", VLOOKUP(B74,'API Data Dictionary'!C:D,2,FALSE))</f>
        <v>string</v>
      </c>
      <c r="E74" s="62">
        <f>IF(IF(B74="", "", VLOOKUP(B74,'API Data Dictionary'!C:E,3,FALSE))=0, "", IF(B74="", "", VLOOKUP(B74,'API Data Dictionary'!C:E,3,FALSE)))</f>
        <v>500</v>
      </c>
      <c r="F74" s="62" t="str">
        <f>IF(IF(B74="", "", VLOOKUP(B74,'API Data Dictionary'!C:F,4,FALSE))=0, "", IF(B74="", "", VLOOKUP(B74,'API Data Dictionary'!C:F,4,FALSE)))</f>
        <v/>
      </c>
      <c r="G74" s="62" t="str">
        <f>IF(IF(B74="", "", VLOOKUP(B74,'API Data Dictionary'!C:G,5,FALSE))=0, "", IF(B74="", "", VLOOKUP(B74,'API Data Dictionary'!C:G,5,FALSE)))</f>
        <v>The name of the accountancy company</v>
      </c>
    </row>
    <row r="75" spans="1:7" x14ac:dyDescent="0.35">
      <c r="A75" s="64" t="s">
        <v>1475</v>
      </c>
      <c r="B75" s="62" t="str">
        <f t="shared" si="2"/>
        <v>accountantContactName</v>
      </c>
      <c r="C75" s="62" t="s">
        <v>68</v>
      </c>
      <c r="D75" s="62" t="str">
        <f>IF(B75="", "", VLOOKUP(B75,'API Data Dictionary'!C:D,2,FALSE))</f>
        <v>string</v>
      </c>
      <c r="E75" s="62">
        <f>IF(IF(B75="", "", VLOOKUP(B75,'API Data Dictionary'!C:E,3,FALSE))=0, "", IF(B75="", "", VLOOKUP(B75,'API Data Dictionary'!C:E,3,FALSE)))</f>
        <v>100</v>
      </c>
      <c r="F75" s="62" t="str">
        <f>IF(IF(B75="", "", VLOOKUP(B75,'API Data Dictionary'!C:F,4,FALSE))=0, "", IF(B75="", "", VLOOKUP(B75,'API Data Dictionary'!C:F,4,FALSE)))</f>
        <v>pattern: ^[a-zA-Z0-9\-' ]*$</v>
      </c>
      <c r="G75" s="62" t="str">
        <f>IF(IF(B75="", "", VLOOKUP(B75,'API Data Dictionary'!C:G,5,FALSE))=0, "", IF(B75="", "", VLOOKUP(B75,'API Data Dictionary'!C:G,5,FALSE)))</f>
        <v>The Fulll name of the accountant company's contact</v>
      </c>
    </row>
    <row r="76" spans="1:7" x14ac:dyDescent="0.35">
      <c r="A76" s="64" t="s">
        <v>1234</v>
      </c>
      <c r="B76" s="62" t="str">
        <f t="shared" si="2"/>
        <v>accountantContactNoCountryId</v>
      </c>
      <c r="C76" s="62" t="s">
        <v>68</v>
      </c>
      <c r="D76" s="62" t="str">
        <f>IF(B76="", "", VLOOKUP(B76,'API Data Dictionary'!C:D,2,FALSE))</f>
        <v>enum -Country/Location Code</v>
      </c>
      <c r="E76" s="62" t="str">
        <f>IF(IF(B76="", "", VLOOKUP(B76,'API Data Dictionary'!C:E,3,FALSE))=0, "", IF(B76="", "", VLOOKUP(B76,'API Data Dictionary'!C:E,3,FALSE)))</f>
        <v/>
      </c>
      <c r="F76" s="62" t="str">
        <f>IF(IF(B76="", "", VLOOKUP(B76,'API Data Dictionary'!C:F,4,FALSE))=0, "", IF(B76="", "", VLOOKUP(B76,'API Data Dictionary'!C:F,4,FALSE)))</f>
        <v>Valid Values 1-239 (See enum definition)</v>
      </c>
      <c r="G76" s="62" t="str">
        <f>IF(IF(B76="", "", VLOOKUP(B76,'API Data Dictionary'!C:G,5,FALSE))=0, "", IF(B76="", "", VLOOKUP(B76,'API Data Dictionary'!C:G,5,FALSE)))</f>
        <v>The country/location code of the Accountant contact phone number</v>
      </c>
    </row>
    <row r="77" spans="1:7" x14ac:dyDescent="0.35">
      <c r="A77" s="64" t="s">
        <v>1476</v>
      </c>
      <c r="B77" s="62" t="str">
        <f t="shared" si="2"/>
        <v>accountantContactNumber</v>
      </c>
      <c r="C77" s="62" t="s">
        <v>68</v>
      </c>
      <c r="D77" s="62" t="str">
        <f>IF(B77="", "", VLOOKUP(B77,'API Data Dictionary'!C:D,2,FALSE))</f>
        <v>string</v>
      </c>
      <c r="E77" s="62">
        <f>IF(IF(B77="", "", VLOOKUP(B77,'API Data Dictionary'!C:E,3,FALSE))=0, "", IF(B77="", "", VLOOKUP(B77,'API Data Dictionary'!C:E,3,FALSE)))</f>
        <v>15</v>
      </c>
      <c r="F77" s="62" t="str">
        <f>IF(IF(B77="", "", VLOOKUP(B77,'API Data Dictionary'!C:F,4,FALSE))=0, "", IF(B77="", "", VLOOKUP(B77,'API Data Dictionary'!C:F,4,FALSE)))</f>
        <v>pattern: ^(\d{11})$</v>
      </c>
      <c r="G77" s="62" t="str">
        <f>IF(IF(B77="", "", VLOOKUP(B77,'API Data Dictionary'!C:G,5,FALSE))=0, "", IF(B77="", "", VLOOKUP(B77,'API Data Dictionary'!C:G,5,FALSE)))</f>
        <v>The Accountant contact phone number</v>
      </c>
    </row>
    <row r="78" spans="1:7" x14ac:dyDescent="0.35">
      <c r="A78" s="64" t="s">
        <v>1477</v>
      </c>
      <c r="B78" s="62" t="str">
        <f t="shared" si="2"/>
        <v>accountantEmailAddress</v>
      </c>
      <c r="C78" s="62" t="s">
        <v>68</v>
      </c>
      <c r="D78" s="62" t="str">
        <f>IF(B78="", "", VLOOKUP(B78,'API Data Dictionary'!C:D,2,FALSE))</f>
        <v>string ($email)</v>
      </c>
      <c r="E78" s="62">
        <f>IF(IF(B78="", "", VLOOKUP(B78,'API Data Dictionary'!C:E,3,FALSE))=0, "", IF(B78="", "", VLOOKUP(B78,'API Data Dictionary'!C:E,3,FALSE)))</f>
        <v>200</v>
      </c>
      <c r="F78" s="62" t="str">
        <f>IF(IF(B78="", "", VLOOKUP(B78,'API Data Dictionary'!C:F,4,FALSE))=0, "", IF(B78="", "", VLOOKUP(B78,'API Data Dictionary'!C:F,4,FALSE)))</f>
        <v>pattern: ^(?!.*\.\.)(?!.*\\_\\_)(?!.*\-\-)[a-zA-Z0-9][-a-zA-Z0-9._]+[a-zA-Z0-9]@([-a-zA-Z0-9]+.)+[a-zA-Z]{2,5}$</v>
      </c>
      <c r="G78" s="62" t="str">
        <f>IF(IF(B78="", "", VLOOKUP(B78,'API Data Dictionary'!C:G,5,FALSE))=0, "", IF(B78="", "", VLOOKUP(B78,'API Data Dictionary'!C:G,5,FALSE)))</f>
        <v>The Accountant email address</v>
      </c>
    </row>
    <row r="79" spans="1:7" x14ac:dyDescent="0.35">
      <c r="A79" s="64" t="s">
        <v>1478</v>
      </c>
      <c r="B79" s="62" t="str">
        <f t="shared" si="2"/>
        <v>accountantContactPosition</v>
      </c>
      <c r="C79" s="62" t="s">
        <v>68</v>
      </c>
      <c r="D79" s="62" t="str">
        <f>IF(B79="", "", VLOOKUP(B79,'API Data Dictionary'!C:D,2,FALSE))</f>
        <v>string</v>
      </c>
      <c r="E79" s="62">
        <f>IF(IF(B79="", "", VLOOKUP(B79,'API Data Dictionary'!C:E,3,FALSE))=0, "", IF(B79="", "", VLOOKUP(B79,'API Data Dictionary'!C:E,3,FALSE)))</f>
        <v>100</v>
      </c>
      <c r="F79" s="62" t="str">
        <f>IF(IF(B79="", "", VLOOKUP(B79,'API Data Dictionary'!C:F,4,FALSE))=0, "", IF(B79="", "", VLOOKUP(B79,'API Data Dictionary'!C:F,4,FALSE)))</f>
        <v/>
      </c>
      <c r="G79" s="62" t="str">
        <f>IF(IF(B79="", "", VLOOKUP(B79,'API Data Dictionary'!C:G,5,FALSE))=0, "", IF(B79="", "", VLOOKUP(B79,'API Data Dictionary'!C:G,5,FALSE)))</f>
        <v>The account contact's position in the company</v>
      </c>
    </row>
    <row r="80" spans="1:7" x14ac:dyDescent="0.35">
      <c r="A80" s="64" t="s">
        <v>1479</v>
      </c>
      <c r="B80" s="62" t="str">
        <f t="shared" si="2"/>
        <v/>
      </c>
      <c r="C80" s="62" t="str">
        <f>IF(B80="", "", VLOOKUP(B80,'API Data Dictionary'!C:X,22,FALSE))</f>
        <v/>
      </c>
      <c r="D80" s="62" t="str">
        <f>IF(B80="", "", VLOOKUP(B80,'API Data Dictionary'!C:D,2,FALSE))</f>
        <v/>
      </c>
      <c r="E80" s="62" t="str">
        <f>IF(IF(B80="", "", VLOOKUP(B80,'API Data Dictionary'!C:E,3,FALSE))=0, "", IF(B80="", "", VLOOKUP(B80,'API Data Dictionary'!C:E,3,FALSE)))</f>
        <v/>
      </c>
      <c r="F80" s="62" t="str">
        <f>IF(IF(B80="", "", VLOOKUP(B80,'API Data Dictionary'!C:F,4,FALSE))=0, "", IF(B80="", "", VLOOKUP(B80,'API Data Dictionary'!C:F,4,FALSE)))</f>
        <v/>
      </c>
      <c r="G80" s="62" t="str">
        <f>IF(IF(B80="", "", VLOOKUP(B80,'API Data Dictionary'!C:G,5,FALSE))=0, "", IF(B80="", "", VLOOKUP(B80,'API Data Dictionary'!C:G,5,FALSE)))</f>
        <v/>
      </c>
    </row>
    <row r="81" spans="1:7" x14ac:dyDescent="0.35">
      <c r="A81" s="64" t="s">
        <v>1480</v>
      </c>
      <c r="B81" s="62" t="str">
        <f t="shared" ref="B81:B122" si="3">IF(OR(ISNUMBER(SEARCH("{", A81)),ISNUMBER(SEARCH("[", A81))), "", IFERROR(MID(A81, SEARCH("""", A81) +1, SEARCH("""", A81, SEARCH("""",A81) +1) - SEARCH("""", A81) -1), ""))</f>
        <v>houseNumber</v>
      </c>
      <c r="C81" s="62" t="s">
        <v>66</v>
      </c>
      <c r="D81" s="62" t="str">
        <f>IF(B81="", "", VLOOKUP(B81,'API Data Dictionary'!C:D,2,FALSE))</f>
        <v>string</v>
      </c>
      <c r="E81" s="62">
        <f>IF(IF(B81="", "", VLOOKUP(B81,'API Data Dictionary'!C:E,3,FALSE))=0, "", IF(B81="", "", VLOOKUP(B81,'API Data Dictionary'!C:E,3,FALSE)))</f>
        <v>100</v>
      </c>
      <c r="F81" s="62" t="str">
        <f>IF(IF(B81="", "", VLOOKUP(B81,'API Data Dictionary'!C:F,4,FALSE))=0, "", IF(B81="", "", VLOOKUP(B81,'API Data Dictionary'!C:F,4,FALSE)))</f>
        <v/>
      </c>
      <c r="G81" s="62" t="str">
        <f>IF(IF(B81="", "", VLOOKUP(B81,'API Data Dictionary'!C:G,5,FALSE))=0, "", IF(B81="", "", VLOOKUP(B81,'API Data Dictionary'!C:G,5,FALSE)))</f>
        <v xml:space="preserve">The number of the property, mandatory OR pair with House name field </v>
      </c>
    </row>
    <row r="82" spans="1:7" x14ac:dyDescent="0.35">
      <c r="A82" s="64" t="s">
        <v>1481</v>
      </c>
      <c r="B82" s="62" t="str">
        <f t="shared" si="3"/>
        <v>houseName</v>
      </c>
      <c r="C82" s="62" t="s">
        <v>66</v>
      </c>
      <c r="D82" s="62" t="str">
        <f>IF(B82="", "", VLOOKUP(B82,'API Data Dictionary'!C:D,2,FALSE))</f>
        <v>string</v>
      </c>
      <c r="E82" s="62">
        <f>IF(IF(B82="", "", VLOOKUP(B82,'API Data Dictionary'!C:E,3,FALSE))=0, "", IF(B82="", "", VLOOKUP(B82,'API Data Dictionary'!C:E,3,FALSE)))</f>
        <v>100</v>
      </c>
      <c r="F82" s="62" t="str">
        <f>IF(IF(B82="", "", VLOOKUP(B82,'API Data Dictionary'!C:F,4,FALSE))=0, "", IF(B82="", "", VLOOKUP(B82,'API Data Dictionary'!C:F,4,FALSE)))</f>
        <v/>
      </c>
      <c r="G82" s="62" t="str">
        <f>IF(IF(B82="", "", VLOOKUP(B82,'API Data Dictionary'!C:G,5,FALSE))=0, "", IF(B82="", "", VLOOKUP(B82,'API Data Dictionary'!C:G,5,FALSE)))</f>
        <v xml:space="preserve">The name of the property, mandatory OR pair with House number field </v>
      </c>
    </row>
    <row r="83" spans="1:7" x14ac:dyDescent="0.35">
      <c r="A83" s="64" t="s">
        <v>1482</v>
      </c>
      <c r="B83" s="62" t="str">
        <f t="shared" si="3"/>
        <v>addressLine1</v>
      </c>
      <c r="C83" s="62" t="s">
        <v>68</v>
      </c>
      <c r="D83" s="62" t="str">
        <f>IF(B83="", "", VLOOKUP(B83,'API Data Dictionary'!C:D,2,FALSE))</f>
        <v>string</v>
      </c>
      <c r="E83" s="62">
        <f>IF(IF(B83="", "", VLOOKUP(B83,'API Data Dictionary'!C:E,3,FALSE))=0, "", IF(B83="", "", VLOOKUP(B83,'API Data Dictionary'!C:E,3,FALSE)))</f>
        <v>100</v>
      </c>
      <c r="F83" s="62" t="str">
        <f>IF(IF(B83="", "", VLOOKUP(B83,'API Data Dictionary'!C:F,4,FALSE))=0, "", IF(B83="", "", VLOOKUP(B83,'API Data Dictionary'!C:F,4,FALSE)))</f>
        <v/>
      </c>
      <c r="G83" s="62" t="str">
        <f>IF(IF(B83="", "", VLOOKUP(B83,'API Data Dictionary'!C:G,5,FALSE))=0, "", IF(B83="", "", VLOOKUP(B83,'API Data Dictionary'!C:G,5,FALSE)))</f>
        <v>The first line of the property address</v>
      </c>
    </row>
    <row r="84" spans="1:7" x14ac:dyDescent="0.35">
      <c r="A84" s="64" t="s">
        <v>1483</v>
      </c>
      <c r="B84" s="62" t="str">
        <f t="shared" si="3"/>
        <v>addressLine2</v>
      </c>
      <c r="C84" s="62" t="s">
        <v>66</v>
      </c>
      <c r="D84" s="62" t="str">
        <f>IF(B84="", "", VLOOKUP(B84,'API Data Dictionary'!C:D,2,FALSE))</f>
        <v>string</v>
      </c>
      <c r="E84" s="62">
        <f>IF(IF(B84="", "", VLOOKUP(B84,'API Data Dictionary'!C:E,3,FALSE))=0, "", IF(B84="", "", VLOOKUP(B84,'API Data Dictionary'!C:E,3,FALSE)))</f>
        <v>100</v>
      </c>
      <c r="F84" s="62" t="str">
        <f>IF(IF(B84="", "", VLOOKUP(B84,'API Data Dictionary'!C:F,4,FALSE))=0, "", IF(B84="", "", VLOOKUP(B84,'API Data Dictionary'!C:F,4,FALSE)))</f>
        <v/>
      </c>
      <c r="G84" s="62" t="str">
        <f>IF(IF(B84="", "", VLOOKUP(B84,'API Data Dictionary'!C:G,5,FALSE))=0, "", IF(B84="", "", VLOOKUP(B84,'API Data Dictionary'!C:G,5,FALSE)))</f>
        <v>The second line of the property address</v>
      </c>
    </row>
    <row r="85" spans="1:7" x14ac:dyDescent="0.35">
      <c r="A85" s="64" t="s">
        <v>1484</v>
      </c>
      <c r="B85" s="62" t="str">
        <f t="shared" si="3"/>
        <v>town</v>
      </c>
      <c r="C85" s="62" t="s">
        <v>68</v>
      </c>
      <c r="D85" s="62" t="str">
        <f>IF(B85="", "", VLOOKUP(B85,'API Data Dictionary'!C:D,2,FALSE))</f>
        <v>string</v>
      </c>
      <c r="E85" s="62">
        <f>IF(IF(B85="", "", VLOOKUP(B85,'API Data Dictionary'!C:E,3,FALSE))=0, "", IF(B85="", "", VLOOKUP(B85,'API Data Dictionary'!C:E,3,FALSE)))</f>
        <v>50</v>
      </c>
      <c r="F85" s="62" t="str">
        <f>IF(IF(B85="", "", VLOOKUP(B85,'API Data Dictionary'!C:F,4,FALSE))=0, "", IF(B85="", "", VLOOKUP(B85,'API Data Dictionary'!C:F,4,FALSE)))</f>
        <v/>
      </c>
      <c r="G85" s="62" t="str">
        <f>IF(IF(B85="", "", VLOOKUP(B85,'API Data Dictionary'!C:G,5,FALSE))=0, "", IF(B85="", "", VLOOKUP(B85,'API Data Dictionary'!C:G,5,FALSE)))</f>
        <v>The town in which the property exists</v>
      </c>
    </row>
    <row r="86" spans="1:7" x14ac:dyDescent="0.35">
      <c r="A86" s="64" t="s">
        <v>1485</v>
      </c>
      <c r="B86" s="62" t="str">
        <f t="shared" si="3"/>
        <v>postcode</v>
      </c>
      <c r="C86" s="62" t="s">
        <v>68</v>
      </c>
      <c r="D86" s="62" t="str">
        <f>IF(B86="", "", VLOOKUP(B86,'API Data Dictionary'!C:D,2,FALSE))</f>
        <v>string</v>
      </c>
      <c r="E86" s="62">
        <f>IF(IF(B86="", "", VLOOKUP(B86,'API Data Dictionary'!C:E,3,FALSE))=0, "", IF(B86="", "", VLOOKUP(B86,'API Data Dictionary'!C:E,3,FALSE)))</f>
        <v>50</v>
      </c>
      <c r="F86" s="62" t="str">
        <f>IF(IF(B86="", "", VLOOKUP(B86,'API Data Dictionary'!C:F,4,FALSE))=0, "", IF(B86="", "", VLOOKUP(B86,'API Data Dictionary'!C:F,4,FALSE)))</f>
        <v/>
      </c>
      <c r="G86" s="62" t="str">
        <f>IF(IF(B86="", "", VLOOKUP(B86,'API Data Dictionary'!C:G,5,FALSE))=0, "", IF(B86="", "", VLOOKUP(B86,'API Data Dictionary'!C:G,5,FALSE)))</f>
        <v>the postcode of the property</v>
      </c>
    </row>
    <row r="87" spans="1:7" x14ac:dyDescent="0.35">
      <c r="A87" s="64" t="s">
        <v>1486</v>
      </c>
      <c r="B87" s="62" t="str">
        <f t="shared" si="3"/>
        <v>ukCountryCode</v>
      </c>
      <c r="C87" s="62" t="s">
        <v>68</v>
      </c>
      <c r="D87" s="62" t="str">
        <f>IF(B87="", "", VLOOKUP(B87,'API Data Dictionary'!C:D,2,FALSE))</f>
        <v>enum - UK Country List</v>
      </c>
      <c r="E87" s="62" t="str">
        <f>IF(IF(B87="", "", VLOOKUP(B87,'API Data Dictionary'!C:E,3,FALSE))=0, "", IF(B87="", "", VLOOKUP(B87,'API Data Dictionary'!C:E,3,FALSE)))</f>
        <v/>
      </c>
      <c r="F87" s="62" t="str">
        <f>IF(IF(B87="", "", VLOOKUP(B87,'API Data Dictionary'!C:F,4,FALSE))=0, "", IF(B87="", "", VLOOKUP(B87,'API Data Dictionary'!C:F,4,FALSE)))</f>
        <v>Valid Values 1-4 (See enum definition)</v>
      </c>
      <c r="G87" s="62" t="str">
        <f>IF(IF(B87="", "", VLOOKUP(B87,'API Data Dictionary'!C:G,5,FALSE))=0, "", IF(B87="", "", VLOOKUP(B87,'API Data Dictionary'!C:G,5,FALSE)))</f>
        <v xml:space="preserve">The UK country Code </v>
      </c>
    </row>
    <row r="88" spans="1:7" x14ac:dyDescent="0.35">
      <c r="A88" s="64" t="s">
        <v>1697</v>
      </c>
      <c r="B88" s="62" t="str">
        <f t="shared" si="3"/>
        <v/>
      </c>
      <c r="C88" s="62" t="str">
        <f>IF(B88="", "", VLOOKUP(B88,'API Data Dictionary'!C:X,22,FALSE))</f>
        <v/>
      </c>
      <c r="D88" s="62" t="str">
        <f>IF(B88="", "", VLOOKUP(B88,'API Data Dictionary'!C:D,2,FALSE))</f>
        <v/>
      </c>
      <c r="E88" s="62" t="str">
        <f>IF(IF(B88="", "", VLOOKUP(B88,'API Data Dictionary'!C:E,3,FALSE))=0, "", IF(B88="", "", VLOOKUP(B88,'API Data Dictionary'!C:E,3,FALSE)))</f>
        <v/>
      </c>
      <c r="F88" s="62" t="str">
        <f>IF(IF(B88="", "", VLOOKUP(B88,'API Data Dictionary'!C:F,4,FALSE))=0, "", IF(B88="", "", VLOOKUP(B88,'API Data Dictionary'!C:F,4,FALSE)))</f>
        <v/>
      </c>
      <c r="G88" s="62" t="str">
        <f>IF(IF(B88="", "", VLOOKUP(B88,'API Data Dictionary'!C:G,5,FALSE))=0, "", IF(B88="", "", VLOOKUP(B88,'API Data Dictionary'!C:G,5,FALSE)))</f>
        <v/>
      </c>
    </row>
    <row r="89" spans="1:7" x14ac:dyDescent="0.35">
      <c r="A89" s="64" t="s">
        <v>1696</v>
      </c>
      <c r="B89" s="62" t="str">
        <f t="shared" si="3"/>
        <v>industryType</v>
      </c>
      <c r="C89" s="62" t="s">
        <v>68</v>
      </c>
      <c r="D89" s="62" t="s">
        <v>1707</v>
      </c>
      <c r="E89" s="62"/>
      <c r="F89" s="62"/>
      <c r="G89" s="62" t="s">
        <v>1708</v>
      </c>
    </row>
    <row r="90" spans="1:7" x14ac:dyDescent="0.35">
      <c r="A90" s="64" t="s">
        <v>1188</v>
      </c>
      <c r="B90" s="62" t="str">
        <f t="shared" si="3"/>
        <v/>
      </c>
      <c r="C90" s="62" t="str">
        <f>IF(B90="", "", VLOOKUP(B90,'API Data Dictionary'!C:X,22,FALSE))</f>
        <v/>
      </c>
      <c r="D90" s="62" t="str">
        <f>IF(B90="", "", VLOOKUP(B90,'API Data Dictionary'!C:D,2,FALSE))</f>
        <v/>
      </c>
      <c r="E90" s="62" t="str">
        <f>IF(IF(B90="", "", VLOOKUP(B90,'API Data Dictionary'!C:E,3,FALSE))=0, "", IF(B90="", "", VLOOKUP(B90,'API Data Dictionary'!C:E,3,FALSE)))</f>
        <v/>
      </c>
      <c r="F90" s="62" t="str">
        <f>IF(IF(B90="", "", VLOOKUP(B90,'API Data Dictionary'!C:F,4,FALSE))=0, "", IF(B90="", "", VLOOKUP(B90,'API Data Dictionary'!C:F,4,FALSE)))</f>
        <v/>
      </c>
      <c r="G90" s="62" t="str">
        <f>IF(IF(B90="", "", VLOOKUP(B90,'API Data Dictionary'!C:G,5,FALSE))=0, "", IF(B90="", "", VLOOKUP(B90,'API Data Dictionary'!C:G,5,FALSE)))</f>
        <v/>
      </c>
    </row>
    <row r="91" spans="1:7" x14ac:dyDescent="0.35">
      <c r="A91" s="64" t="s">
        <v>1240</v>
      </c>
      <c r="B91" s="62" t="str">
        <f t="shared" si="3"/>
        <v/>
      </c>
      <c r="C91" s="62" t="str">
        <f>IF(B91="", "", VLOOKUP(B91,'API Data Dictionary'!C:X,22,FALSE))</f>
        <v/>
      </c>
      <c r="D91" s="62" t="str">
        <f>IF(B91="", "", VLOOKUP(B91,'API Data Dictionary'!C:D,2,FALSE))</f>
        <v/>
      </c>
      <c r="E91" s="62" t="str">
        <f>IF(IF(B91="", "", VLOOKUP(B91,'API Data Dictionary'!C:E,3,FALSE))=0, "", IF(B91="", "", VLOOKUP(B91,'API Data Dictionary'!C:E,3,FALSE)))</f>
        <v/>
      </c>
      <c r="F91" s="62" t="str">
        <f>IF(IF(B91="", "", VLOOKUP(B91,'API Data Dictionary'!C:F,4,FALSE))=0, "", IF(B91="", "", VLOOKUP(B91,'API Data Dictionary'!C:F,4,FALSE)))</f>
        <v/>
      </c>
      <c r="G91" s="62" t="str">
        <f>IF(IF(B91="", "", VLOOKUP(B91,'API Data Dictionary'!C:G,5,FALSE))=0, "", IF(B91="", "", VLOOKUP(B91,'API Data Dictionary'!C:G,5,FALSE)))</f>
        <v/>
      </c>
    </row>
    <row r="92" spans="1:7" x14ac:dyDescent="0.35">
      <c r="A92" s="64" t="s">
        <v>1487</v>
      </c>
      <c r="B92" s="62" t="str">
        <f t="shared" si="3"/>
        <v>pensionProvider</v>
      </c>
      <c r="C92" s="62" t="s">
        <v>68</v>
      </c>
      <c r="D92" s="62" t="str">
        <f>IF(B92="", "", VLOOKUP(B92,'API Data Dictionary'!C:D,2,FALSE))</f>
        <v>string</v>
      </c>
      <c r="E92" s="62">
        <f>IF(IF(B92="", "", VLOOKUP(B92,'API Data Dictionary'!C:E,3,FALSE))=0, "", IF(B92="", "", VLOOKUP(B92,'API Data Dictionary'!C:E,3,FALSE)))</f>
        <v>500</v>
      </c>
      <c r="F92" s="62" t="str">
        <f>IF(IF(B92="", "", VLOOKUP(B92,'API Data Dictionary'!C:F,4,FALSE))=0, "", IF(B92="", "", VLOOKUP(B92,'API Data Dictionary'!C:F,4,FALSE)))</f>
        <v/>
      </c>
      <c r="G92" s="62" t="str">
        <f>IF(IF(B92="", "", VLOOKUP(B92,'API Data Dictionary'!C:G,5,FALSE))=0, "", IF(B92="", "", VLOOKUP(B92,'API Data Dictionary'!C:G,5,FALSE)))</f>
        <v>Name of Pension Provider</v>
      </c>
    </row>
    <row r="93" spans="1:7" x14ac:dyDescent="0.35">
      <c r="A93" s="64" t="s">
        <v>1488</v>
      </c>
      <c r="B93" s="62" t="str">
        <f t="shared" si="3"/>
        <v>netMonthlyIncome</v>
      </c>
      <c r="C93" s="62" t="s">
        <v>68</v>
      </c>
      <c r="D93" s="62" t="str">
        <f>IF(B93="", "", VLOOKUP(B93,'API Data Dictionary'!C:D,2,FALSE))</f>
        <v>number ($double)</v>
      </c>
      <c r="E93" s="62" t="str">
        <f>IF(IF(B93="", "", VLOOKUP(B93,'API Data Dictionary'!C:E,3,FALSE))=0, "", IF(B93="", "", VLOOKUP(B93,'API Data Dictionary'!C:E,3,FALSE)))</f>
        <v/>
      </c>
      <c r="F93" s="62" t="str">
        <f>IF(IF(B93="", "", VLOOKUP(B93,'API Data Dictionary'!C:F,4,FALSE))=0, "", IF(B93="", "", VLOOKUP(B93,'API Data Dictionary'!C:F,4,FALSE)))</f>
        <v>pattern: ^\d*.\d{0,2}$</v>
      </c>
      <c r="G93" s="62" t="str">
        <f>IF(IF(B93="", "", VLOOKUP(B93,'API Data Dictionary'!C:G,5,FALSE))=0, "", IF(B93="", "", VLOOKUP(B93,'API Data Dictionary'!C:G,5,FALSE)))</f>
        <v>Amount of Net monthly income in GBP</v>
      </c>
    </row>
    <row r="94" spans="1:7" x14ac:dyDescent="0.35">
      <c r="A94" s="64" t="s">
        <v>1698</v>
      </c>
      <c r="B94" s="62" t="str">
        <f t="shared" si="3"/>
        <v>grossAnnualIncome</v>
      </c>
      <c r="C94" s="62" t="s">
        <v>68</v>
      </c>
      <c r="D94" s="62" t="s">
        <v>337</v>
      </c>
      <c r="E94" s="62" t="s">
        <v>1433</v>
      </c>
      <c r="F94" s="62" t="s">
        <v>149</v>
      </c>
      <c r="G94" s="62" t="s">
        <v>1709</v>
      </c>
    </row>
    <row r="95" spans="1:7" x14ac:dyDescent="0.35">
      <c r="A95" s="64" t="s">
        <v>1489</v>
      </c>
      <c r="B95" s="62" t="str">
        <f t="shared" si="3"/>
        <v>startDateOfPension</v>
      </c>
      <c r="C95" s="62" t="s">
        <v>68</v>
      </c>
      <c r="D95" s="62" t="str">
        <f>IF(B95="", "", VLOOKUP(B95,'API Data Dictionary'!C:D,2,FALSE))</f>
        <v>string ($date-time)</v>
      </c>
      <c r="E95" s="62" t="str">
        <f>IF(IF(B95="", "", VLOOKUP(B95,'API Data Dictionary'!C:E,3,FALSE))=0, "", IF(B95="", "", VLOOKUP(B95,'API Data Dictionary'!C:E,3,FALSE)))</f>
        <v/>
      </c>
      <c r="F95" s="62" t="str">
        <f>IF(IF(B95="", "", VLOOKUP(B95,'API Data Dictionary'!C:F,4,FALSE))=0, "", IF(B95="", "", VLOOKUP(B95,'API Data Dictionary'!C:F,4,FALSE)))</f>
        <v>DD/MM/YYYY</v>
      </c>
      <c r="G95" s="62" t="str">
        <f>IF(IF(B95="", "", VLOOKUP(B95,'API Data Dictionary'!C:G,5,FALSE))=0, "", IF(B95="", "", VLOOKUP(B95,'API Data Dictionary'!C:G,5,FALSE)))</f>
        <v>Start date of pension, formated DD/MM/YYYY</v>
      </c>
    </row>
    <row r="96" spans="1:7" x14ac:dyDescent="0.35">
      <c r="A96" s="64" t="s">
        <v>1188</v>
      </c>
      <c r="B96" s="62" t="str">
        <f t="shared" si="3"/>
        <v/>
      </c>
      <c r="C96" s="62" t="str">
        <f>IF(B96="", "", VLOOKUP(B96,'API Data Dictionary'!C:X,22,FALSE))</f>
        <v/>
      </c>
      <c r="D96" s="62" t="str">
        <f>IF(B96="", "", VLOOKUP(B96,'API Data Dictionary'!C:D,2,FALSE))</f>
        <v/>
      </c>
      <c r="E96" s="62" t="str">
        <f>IF(IF(B96="", "", VLOOKUP(B96,'API Data Dictionary'!C:E,3,FALSE))=0, "", IF(B96="", "", VLOOKUP(B96,'API Data Dictionary'!C:E,3,FALSE)))</f>
        <v/>
      </c>
      <c r="F96" s="62" t="str">
        <f>IF(IF(B96="", "", VLOOKUP(B96,'API Data Dictionary'!C:F,4,FALSE))=0, "", IF(B96="", "", VLOOKUP(B96,'API Data Dictionary'!C:F,4,FALSE)))</f>
        <v/>
      </c>
      <c r="G96" s="62" t="str">
        <f>IF(IF(B96="", "", VLOOKUP(B96,'API Data Dictionary'!C:G,5,FALSE))=0, "", IF(B96="", "", VLOOKUP(B96,'API Data Dictionary'!C:G,5,FALSE)))</f>
        <v/>
      </c>
    </row>
    <row r="97" spans="1:7" x14ac:dyDescent="0.35">
      <c r="A97" s="64" t="s">
        <v>1244</v>
      </c>
      <c r="B97" s="62" t="str">
        <f t="shared" si="3"/>
        <v/>
      </c>
      <c r="C97" s="62" t="str">
        <f>IF(B97="", "", VLOOKUP(B97,'API Data Dictionary'!C:X,22,FALSE))</f>
        <v/>
      </c>
      <c r="D97" s="62" t="str">
        <f>IF(B97="", "", VLOOKUP(B97,'API Data Dictionary'!C:D,2,FALSE))</f>
        <v/>
      </c>
      <c r="E97" s="62" t="str">
        <f>IF(IF(B97="", "", VLOOKUP(B97,'API Data Dictionary'!C:E,3,FALSE))=0, "", IF(B97="", "", VLOOKUP(B97,'API Data Dictionary'!C:E,3,FALSE)))</f>
        <v/>
      </c>
      <c r="F97" s="62" t="str">
        <f>IF(IF(B97="", "", VLOOKUP(B97,'API Data Dictionary'!C:F,4,FALSE))=0, "", IF(B97="", "", VLOOKUP(B97,'API Data Dictionary'!C:F,4,FALSE)))</f>
        <v/>
      </c>
      <c r="G97" s="62" t="str">
        <f>IF(IF(B97="", "", VLOOKUP(B97,'API Data Dictionary'!C:G,5,FALSE))=0, "", IF(B97="", "", VLOOKUP(B97,'API Data Dictionary'!C:G,5,FALSE)))</f>
        <v/>
      </c>
    </row>
    <row r="98" spans="1:7" x14ac:dyDescent="0.35">
      <c r="A98" s="64" t="s">
        <v>1490</v>
      </c>
      <c r="B98" s="62" t="str">
        <f t="shared" si="3"/>
        <v>investmentSchemeOrCompany</v>
      </c>
      <c r="C98" s="62" t="s">
        <v>68</v>
      </c>
      <c r="D98" s="62" t="str">
        <f>IF(B98="", "", VLOOKUP(B98,'API Data Dictionary'!C:D,2,FALSE))</f>
        <v>string</v>
      </c>
      <c r="E98" s="62">
        <f>IF(IF(B98="", "", VLOOKUP(B98,'API Data Dictionary'!C:E,3,FALSE))=0, "", IF(B98="", "", VLOOKUP(B98,'API Data Dictionary'!C:E,3,FALSE)))</f>
        <v>100</v>
      </c>
      <c r="F98" s="62" t="str">
        <f>IF(IF(B98="", "", VLOOKUP(B98,'API Data Dictionary'!C:F,4,FALSE))=0, "", IF(B98="", "", VLOOKUP(B98,'API Data Dictionary'!C:F,4,FALSE)))</f>
        <v/>
      </c>
      <c r="G98" s="62" t="str">
        <f>IF(IF(B98="", "", VLOOKUP(B98,'API Data Dictionary'!C:G,5,FALSE))=0, "", IF(B98="", "", VLOOKUP(B98,'API Data Dictionary'!C:G,5,FALSE)))</f>
        <v>Name of the investment scheme or company</v>
      </c>
    </row>
    <row r="99" spans="1:7" x14ac:dyDescent="0.35">
      <c r="A99" s="64" t="s">
        <v>1491</v>
      </c>
      <c r="B99" s="62" t="str">
        <f t="shared" si="3"/>
        <v>investmentAmount</v>
      </c>
      <c r="C99" s="62" t="s">
        <v>68</v>
      </c>
      <c r="D99" s="62" t="str">
        <f>IF(B99="", "", VLOOKUP(B99,'API Data Dictionary'!C:D,2,FALSE))</f>
        <v>number ($double)</v>
      </c>
      <c r="E99" s="62" t="str">
        <f>IF(IF(B99="", "", VLOOKUP(B99,'API Data Dictionary'!C:E,3,FALSE))=0, "", IF(B99="", "", VLOOKUP(B99,'API Data Dictionary'!C:E,3,FALSE)))</f>
        <v/>
      </c>
      <c r="F99" s="62" t="str">
        <f>IF(IF(B99="", "", VLOOKUP(B99,'API Data Dictionary'!C:F,4,FALSE))=0, "", IF(B99="", "", VLOOKUP(B99,'API Data Dictionary'!C:F,4,FALSE)))</f>
        <v>pattern: ^\d*.\d{0,2}$</v>
      </c>
      <c r="G99" s="62" t="str">
        <f>IF(IF(B99="", "", VLOOKUP(B99,'API Data Dictionary'!C:G,5,FALSE))=0, "", IF(B99="", "", VLOOKUP(B99,'API Data Dictionary'!C:G,5,FALSE)))</f>
        <v>Amount of investment in GBP</v>
      </c>
    </row>
    <row r="100" spans="1:7" x14ac:dyDescent="0.35">
      <c r="A100" s="64" t="s">
        <v>1188</v>
      </c>
      <c r="B100" s="62" t="str">
        <f t="shared" si="3"/>
        <v/>
      </c>
      <c r="C100" s="62" t="str">
        <f>IF(B100="", "", VLOOKUP(B100,'API Data Dictionary'!C:X,22,FALSE))</f>
        <v/>
      </c>
      <c r="D100" s="62" t="str">
        <f>IF(B100="", "", VLOOKUP(B100,'API Data Dictionary'!C:D,2,FALSE))</f>
        <v/>
      </c>
      <c r="E100" s="62" t="str">
        <f>IF(IF(B100="", "", VLOOKUP(B100,'API Data Dictionary'!C:E,3,FALSE))=0, "", IF(B100="", "", VLOOKUP(B100,'API Data Dictionary'!C:E,3,FALSE)))</f>
        <v/>
      </c>
      <c r="F100" s="62" t="str">
        <f>IF(IF(B100="", "", VLOOKUP(B100,'API Data Dictionary'!C:F,4,FALSE))=0, "", IF(B100="", "", VLOOKUP(B100,'API Data Dictionary'!C:F,4,FALSE)))</f>
        <v/>
      </c>
      <c r="G100" s="62" t="str">
        <f>IF(IF(B100="", "", VLOOKUP(B100,'API Data Dictionary'!C:G,5,FALSE))=0, "", IF(B100="", "", VLOOKUP(B100,'API Data Dictionary'!C:G,5,FALSE)))</f>
        <v/>
      </c>
    </row>
    <row r="101" spans="1:7" x14ac:dyDescent="0.35">
      <c r="A101" s="64" t="s">
        <v>1247</v>
      </c>
      <c r="B101" s="62" t="str">
        <f t="shared" si="3"/>
        <v/>
      </c>
      <c r="C101" s="62" t="str">
        <f>IF(B101="", "", VLOOKUP(B101,'API Data Dictionary'!C:X,22,FALSE))</f>
        <v/>
      </c>
      <c r="D101" s="62" t="str">
        <f>IF(B101="", "", VLOOKUP(B101,'API Data Dictionary'!C:D,2,FALSE))</f>
        <v/>
      </c>
      <c r="E101" s="62" t="str">
        <f>IF(IF(B101="", "", VLOOKUP(B101,'API Data Dictionary'!C:E,3,FALSE))=0, "", IF(B101="", "", VLOOKUP(B101,'API Data Dictionary'!C:E,3,FALSE)))</f>
        <v/>
      </c>
      <c r="F101" s="62" t="str">
        <f>IF(IF(B101="", "", VLOOKUP(B101,'API Data Dictionary'!C:F,4,FALSE))=0, "", IF(B101="", "", VLOOKUP(B101,'API Data Dictionary'!C:F,4,FALSE)))</f>
        <v/>
      </c>
      <c r="G101" s="62" t="str">
        <f>IF(IF(B101="", "", VLOOKUP(B101,'API Data Dictionary'!C:G,5,FALSE))=0, "", IF(B101="", "", VLOOKUP(B101,'API Data Dictionary'!C:G,5,FALSE)))</f>
        <v/>
      </c>
    </row>
    <row r="102" spans="1:7" x14ac:dyDescent="0.35">
      <c r="A102" s="64" t="s">
        <v>1492</v>
      </c>
      <c r="B102" s="62" t="str">
        <f t="shared" si="3"/>
        <v>savingsAmount</v>
      </c>
      <c r="C102" s="62" t="s">
        <v>68</v>
      </c>
      <c r="D102" s="62" t="str">
        <f>IF(B102="", "", VLOOKUP(B102,'API Data Dictionary'!C:D,2,FALSE))</f>
        <v>integer</v>
      </c>
      <c r="E102" s="62" t="str">
        <f>IF(IF(B102="", "", VLOOKUP(B102,'API Data Dictionary'!C:E,3,FALSE))=0, "", IF(B102="", "", VLOOKUP(B102,'API Data Dictionary'!C:E,3,FALSE)))</f>
        <v/>
      </c>
      <c r="F102" s="62" t="str">
        <f>IF(IF(B102="", "", VLOOKUP(B102,'API Data Dictionary'!C:F,4,FALSE))=0, "", IF(B102="", "", VLOOKUP(B102,'API Data Dictionary'!C:F,4,FALSE)))</f>
        <v/>
      </c>
      <c r="G102" s="62" t="str">
        <f>IF(IF(B102="", "", VLOOKUP(B102,'API Data Dictionary'!C:G,5,FALSE))=0, "", IF(B102="", "", VLOOKUP(B102,'API Data Dictionary'!C:G,5,FALSE)))</f>
        <v>The amount of savings in GBP, to the nearest whole number</v>
      </c>
    </row>
    <row r="103" spans="1:7" x14ac:dyDescent="0.35">
      <c r="A103" s="64" t="s">
        <v>1188</v>
      </c>
      <c r="B103" s="62" t="str">
        <f t="shared" si="3"/>
        <v/>
      </c>
      <c r="C103" s="62" t="str">
        <f>IF(B103="", "", VLOOKUP(B103,'API Data Dictionary'!C:X,22,FALSE))</f>
        <v/>
      </c>
      <c r="D103" s="62" t="str">
        <f>IF(B103="", "", VLOOKUP(B103,'API Data Dictionary'!C:D,2,FALSE))</f>
        <v/>
      </c>
      <c r="E103" s="62" t="str">
        <f>IF(IF(B103="", "", VLOOKUP(B103,'API Data Dictionary'!C:E,3,FALSE))=0, "", IF(B103="", "", VLOOKUP(B103,'API Data Dictionary'!C:E,3,FALSE)))</f>
        <v/>
      </c>
      <c r="F103" s="62" t="str">
        <f>IF(IF(B103="", "", VLOOKUP(B103,'API Data Dictionary'!C:F,4,FALSE))=0, "", IF(B103="", "", VLOOKUP(B103,'API Data Dictionary'!C:F,4,FALSE)))</f>
        <v/>
      </c>
      <c r="G103" s="62" t="str">
        <f>IF(IF(B103="", "", VLOOKUP(B103,'API Data Dictionary'!C:G,5,FALSE))=0, "", IF(B103="", "", VLOOKUP(B103,'API Data Dictionary'!C:G,5,FALSE)))</f>
        <v/>
      </c>
    </row>
    <row r="104" spans="1:7" x14ac:dyDescent="0.35">
      <c r="A104" s="64" t="s">
        <v>1249</v>
      </c>
      <c r="B104" s="62" t="str">
        <f t="shared" si="3"/>
        <v/>
      </c>
      <c r="C104" s="62" t="str">
        <f>IF(B104="", "", VLOOKUP(B104,'API Data Dictionary'!C:X,22,FALSE))</f>
        <v/>
      </c>
      <c r="D104" s="62" t="str">
        <f>IF(B104="", "", VLOOKUP(B104,'API Data Dictionary'!C:D,2,FALSE))</f>
        <v/>
      </c>
      <c r="E104" s="62" t="str">
        <f>IF(IF(B104="", "", VLOOKUP(B104,'API Data Dictionary'!C:E,3,FALSE))=0, "", IF(B104="", "", VLOOKUP(B104,'API Data Dictionary'!C:E,3,FALSE)))</f>
        <v/>
      </c>
      <c r="F104" s="62" t="str">
        <f>IF(IF(B104="", "", VLOOKUP(B104,'API Data Dictionary'!C:F,4,FALSE))=0, "", IF(B104="", "", VLOOKUP(B104,'API Data Dictionary'!C:F,4,FALSE)))</f>
        <v/>
      </c>
      <c r="G104" s="62" t="str">
        <f>IF(IF(B104="", "", VLOOKUP(B104,'API Data Dictionary'!C:G,5,FALSE))=0, "", IF(B104="", "", VLOOKUP(B104,'API Data Dictionary'!C:G,5,FALSE)))</f>
        <v/>
      </c>
    </row>
    <row r="105" spans="1:7" x14ac:dyDescent="0.35">
      <c r="A105" s="64" t="s">
        <v>1493</v>
      </c>
      <c r="B105" s="62" t="str">
        <f t="shared" si="3"/>
        <v>applicantBenefitsReceived</v>
      </c>
      <c r="C105" s="62" t="s">
        <v>68</v>
      </c>
      <c r="D105" s="62" t="str">
        <f>IF(B105="", "", VLOOKUP(B105,'API Data Dictionary'!C:D,2,FALSE))</f>
        <v>boolean</v>
      </c>
      <c r="E105" s="62" t="str">
        <f>IF(IF(B105="", "", VLOOKUP(B105,'API Data Dictionary'!C:E,3,FALSE))=0, "", IF(B105="", "", VLOOKUP(B105,'API Data Dictionary'!C:E,3,FALSE)))</f>
        <v/>
      </c>
      <c r="F105" s="62" t="str">
        <f>IF(IF(B105="", "", VLOOKUP(B105,'API Data Dictionary'!C:F,4,FALSE))=0, "", IF(B105="", "", VLOOKUP(B105,'API Data Dictionary'!C:F,4,FALSE)))</f>
        <v/>
      </c>
      <c r="G105" s="62" t="str">
        <f>IF(IF(B105="", "", VLOOKUP(B105,'API Data Dictionary'!C:G,5,FALSE))=0, "", IF(B105="", "", VLOOKUP(B105,'API Data Dictionary'!C:G,5,FALSE)))</f>
        <v>Denotes if benefits are recieved</v>
      </c>
    </row>
    <row r="106" spans="1:7" x14ac:dyDescent="0.35">
      <c r="A106" s="64" t="s">
        <v>1694</v>
      </c>
      <c r="B106" s="62" t="str">
        <f t="shared" si="3"/>
        <v>netMonthlyIncome</v>
      </c>
      <c r="C106" s="62" t="s">
        <v>68</v>
      </c>
      <c r="D106" s="62" t="str">
        <f>IF(B106="", "", VLOOKUP(B106,'API Data Dictionary'!C:D,2,FALSE))</f>
        <v>number ($double)</v>
      </c>
      <c r="E106" s="62" t="str">
        <f>IF(IF(B106="", "", VLOOKUP(B106,'API Data Dictionary'!C:E,3,FALSE))=0, "", IF(B106="", "", VLOOKUP(B106,'API Data Dictionary'!C:E,3,FALSE)))</f>
        <v/>
      </c>
      <c r="F106" s="62" t="str">
        <f>IF(IF(B106="", "", VLOOKUP(B106,'API Data Dictionary'!C:F,4,FALSE))=0, "", IF(B106="", "", VLOOKUP(B106,'API Data Dictionary'!C:F,4,FALSE)))</f>
        <v>pattern: ^\d*.\d{0,2}$</v>
      </c>
      <c r="G106" s="62" t="str">
        <f>IF(IF(B106="", "", VLOOKUP(B106,'API Data Dictionary'!C:G,5,FALSE))=0, "", IF(B106="", "", VLOOKUP(B106,'API Data Dictionary'!C:G,5,FALSE)))</f>
        <v>Amount of Net monthly income in GBP</v>
      </c>
    </row>
    <row r="107" spans="1:7" x14ac:dyDescent="0.35">
      <c r="A107" s="64" t="s">
        <v>1699</v>
      </c>
      <c r="B107" s="62" t="str">
        <f t="shared" si="3"/>
        <v>grossAnnualIncome</v>
      </c>
      <c r="C107" s="62" t="s">
        <v>68</v>
      </c>
      <c r="D107" s="62" t="s">
        <v>337</v>
      </c>
      <c r="E107" s="62" t="s">
        <v>1433</v>
      </c>
      <c r="F107" s="62" t="s">
        <v>149</v>
      </c>
      <c r="G107" s="62" t="s">
        <v>1709</v>
      </c>
    </row>
    <row r="108" spans="1:7" x14ac:dyDescent="0.35">
      <c r="A108" s="64" t="s">
        <v>1251</v>
      </c>
      <c r="B108" s="62" t="str">
        <f t="shared" si="3"/>
        <v>taxCredit</v>
      </c>
      <c r="C108" s="62" t="s">
        <v>68</v>
      </c>
      <c r="D108" s="62" t="str">
        <f>IF(B108="", "", VLOOKUP(B108,'API Data Dictionary'!C:D,2,FALSE))</f>
        <v>boolean</v>
      </c>
      <c r="E108" s="62" t="str">
        <f>IF(IF(B108="", "", VLOOKUP(B108,'API Data Dictionary'!C:E,3,FALSE))=0, "", IF(B108="", "", VLOOKUP(B108,'API Data Dictionary'!C:E,3,FALSE)))</f>
        <v/>
      </c>
      <c r="F108" s="62" t="str">
        <f>IF(IF(B108="", "", VLOOKUP(B108,'API Data Dictionary'!C:F,4,FALSE))=0, "", IF(B108="", "", VLOOKUP(B108,'API Data Dictionary'!C:F,4,FALSE)))</f>
        <v/>
      </c>
      <c r="G108" s="62" t="str">
        <f>IF(IF(B108="", "", VLOOKUP(B108,'API Data Dictionary'!C:G,5,FALSE))=0, "", IF(B108="", "", VLOOKUP(B108,'API Data Dictionary'!C:G,5,FALSE)))</f>
        <v>Denotes if is tax credit</v>
      </c>
    </row>
    <row r="109" spans="1:7" x14ac:dyDescent="0.35">
      <c r="A109" s="64" t="s">
        <v>1494</v>
      </c>
      <c r="B109" s="62" t="str">
        <f t="shared" si="3"/>
        <v>carerAllowance</v>
      </c>
      <c r="C109" s="62" t="s">
        <v>68</v>
      </c>
      <c r="D109" s="62" t="str">
        <f>IF(B109="", "", VLOOKUP(B109,'API Data Dictionary'!C:D,2,FALSE))</f>
        <v>boolean</v>
      </c>
      <c r="E109" s="62" t="str">
        <f>IF(IF(B109="", "", VLOOKUP(B109,'API Data Dictionary'!C:E,3,FALSE))=0, "", IF(B109="", "", VLOOKUP(B109,'API Data Dictionary'!C:E,3,FALSE)))</f>
        <v/>
      </c>
      <c r="F109" s="62" t="str">
        <f>IF(IF(B109="", "", VLOOKUP(B109,'API Data Dictionary'!C:F,4,FALSE))=0, "", IF(B109="", "", VLOOKUP(B109,'API Data Dictionary'!C:F,4,FALSE)))</f>
        <v/>
      </c>
      <c r="G109" s="62" t="str">
        <f>IF(IF(B109="", "", VLOOKUP(B109,'API Data Dictionary'!C:G,5,FALSE))=0, "", IF(B109="", "", VLOOKUP(B109,'API Data Dictionary'!C:G,5,FALSE)))</f>
        <v>Denotes if carer allowance is received</v>
      </c>
    </row>
    <row r="110" spans="1:7" x14ac:dyDescent="0.35">
      <c r="A110" s="64" t="s">
        <v>1257</v>
      </c>
      <c r="B110" s="62" t="str">
        <f t="shared" si="3"/>
        <v>childBenefit</v>
      </c>
      <c r="C110" s="62" t="s">
        <v>68</v>
      </c>
      <c r="D110" s="62" t="str">
        <f>IF(B110="", "", VLOOKUP(B110,'API Data Dictionary'!C:D,2,FALSE))</f>
        <v>boolean</v>
      </c>
      <c r="E110" s="62" t="str">
        <f>IF(IF(B110="", "", VLOOKUP(B110,'API Data Dictionary'!C:E,3,FALSE))=0, "", IF(B110="", "", VLOOKUP(B110,'API Data Dictionary'!C:E,3,FALSE)))</f>
        <v/>
      </c>
      <c r="F110" s="62" t="str">
        <f>IF(IF(B110="", "", VLOOKUP(B110,'API Data Dictionary'!C:F,4,FALSE))=0, "", IF(B110="", "", VLOOKUP(B110,'API Data Dictionary'!C:F,4,FALSE)))</f>
        <v/>
      </c>
      <c r="G110" s="62" t="str">
        <f>IF(IF(B110="", "", VLOOKUP(B110,'API Data Dictionary'!C:G,5,FALSE))=0, "", IF(B110="", "", VLOOKUP(B110,'API Data Dictionary'!C:G,5,FALSE)))</f>
        <v>Denotes if child benfit is received</v>
      </c>
    </row>
    <row r="111" spans="1:7" x14ac:dyDescent="0.35">
      <c r="A111" s="64" t="s">
        <v>1495</v>
      </c>
      <c r="B111" s="62" t="str">
        <f t="shared" si="3"/>
        <v>disabilityBenefit</v>
      </c>
      <c r="C111" s="62" t="s">
        <v>68</v>
      </c>
      <c r="D111" s="62" t="str">
        <f>IF(B111="", "", VLOOKUP(B111,'API Data Dictionary'!C:D,2,FALSE))</f>
        <v>boolean</v>
      </c>
      <c r="E111" s="62" t="str">
        <f>IF(IF(B111="", "", VLOOKUP(B111,'API Data Dictionary'!C:E,3,FALSE))=0, "", IF(B111="", "", VLOOKUP(B111,'API Data Dictionary'!C:E,3,FALSE)))</f>
        <v/>
      </c>
      <c r="F111" s="62" t="str">
        <f>IF(IF(B111="", "", VLOOKUP(B111,'API Data Dictionary'!C:F,4,FALSE))=0, "", IF(B111="", "", VLOOKUP(B111,'API Data Dictionary'!C:F,4,FALSE)))</f>
        <v/>
      </c>
      <c r="G111" s="62" t="str">
        <f>IF(IF(B111="", "", VLOOKUP(B111,'API Data Dictionary'!C:G,5,FALSE))=0, "", IF(B111="", "", VLOOKUP(B111,'API Data Dictionary'!C:G,5,FALSE)))</f>
        <v>Denotes if disablity Benefit is Recieved</v>
      </c>
    </row>
    <row r="112" spans="1:7" x14ac:dyDescent="0.35">
      <c r="A112" s="64" t="s">
        <v>1263</v>
      </c>
      <c r="B112" s="62" t="str">
        <f t="shared" si="3"/>
        <v>fosterAllowance</v>
      </c>
      <c r="C112" s="62" t="s">
        <v>68</v>
      </c>
      <c r="D112" s="62" t="str">
        <f>IF(B112="", "", VLOOKUP(B112,'API Data Dictionary'!C:D,2,FALSE))</f>
        <v>boolean</v>
      </c>
      <c r="E112" s="62" t="str">
        <f>IF(IF(B112="", "", VLOOKUP(B112,'API Data Dictionary'!C:E,3,FALSE))=0, "", IF(B112="", "", VLOOKUP(B112,'API Data Dictionary'!C:E,3,FALSE)))</f>
        <v/>
      </c>
      <c r="F112" s="62" t="str">
        <f>IF(IF(B112="", "", VLOOKUP(B112,'API Data Dictionary'!C:F,4,FALSE))=0, "", IF(B112="", "", VLOOKUP(B112,'API Data Dictionary'!C:F,4,FALSE)))</f>
        <v/>
      </c>
      <c r="G112" s="62" t="str">
        <f>IF(IF(B112="", "", VLOOKUP(B112,'API Data Dictionary'!C:G,5,FALSE))=0, "", IF(B112="", "", VLOOKUP(B112,'API Data Dictionary'!C:G,5,FALSE)))</f>
        <v>Denotes if foster allowance is recieved</v>
      </c>
    </row>
    <row r="113" spans="1:7" x14ac:dyDescent="0.35">
      <c r="A113" s="64" t="s">
        <v>1266</v>
      </c>
      <c r="B113" s="62" t="str">
        <f t="shared" si="3"/>
        <v>guardianAllowance</v>
      </c>
      <c r="C113" s="62" t="s">
        <v>68</v>
      </c>
      <c r="D113" s="62" t="str">
        <f>IF(B113="", "", VLOOKUP(B113,'API Data Dictionary'!C:D,2,FALSE))</f>
        <v>boolean</v>
      </c>
      <c r="E113" s="62" t="str">
        <f>IF(IF(B113="", "", VLOOKUP(B113,'API Data Dictionary'!C:E,3,FALSE))=0, "", IF(B113="", "", VLOOKUP(B113,'API Data Dictionary'!C:E,3,FALSE)))</f>
        <v/>
      </c>
      <c r="F113" s="62" t="str">
        <f>IF(IF(B113="", "", VLOOKUP(B113,'API Data Dictionary'!C:F,4,FALSE))=0, "", IF(B113="", "", VLOOKUP(B113,'API Data Dictionary'!C:F,4,FALSE)))</f>
        <v/>
      </c>
      <c r="G113" s="62" t="str">
        <f>IF(IF(B113="", "", VLOOKUP(B113,'API Data Dictionary'!C:G,5,FALSE))=0, "", IF(B113="", "", VLOOKUP(B113,'API Data Dictionary'!C:G,5,FALSE)))</f>
        <v>Denotes if guardian allowance is recieved</v>
      </c>
    </row>
    <row r="114" spans="1:7" x14ac:dyDescent="0.35">
      <c r="A114" s="64" t="s">
        <v>1269</v>
      </c>
      <c r="B114" s="62" t="str">
        <f t="shared" si="3"/>
        <v>childMaintenance</v>
      </c>
      <c r="C114" s="62" t="s">
        <v>68</v>
      </c>
      <c r="D114" s="62" t="str">
        <f>IF(B114="", "", VLOOKUP(B114,'API Data Dictionary'!C:D,2,FALSE))</f>
        <v>boolean</v>
      </c>
      <c r="E114" s="62" t="str">
        <f>IF(IF(B114="", "", VLOOKUP(B114,'API Data Dictionary'!C:E,3,FALSE))=0, "", IF(B114="", "", VLOOKUP(B114,'API Data Dictionary'!C:E,3,FALSE)))</f>
        <v/>
      </c>
      <c r="F114" s="62" t="str">
        <f>IF(IF(B114="", "", VLOOKUP(B114,'API Data Dictionary'!C:F,4,FALSE))=0, "", IF(B114="", "", VLOOKUP(B114,'API Data Dictionary'!C:F,4,FALSE)))</f>
        <v/>
      </c>
      <c r="G114" s="62" t="str">
        <f>IF(IF(B114="", "", VLOOKUP(B114,'API Data Dictionary'!C:G,5,FALSE))=0, "", IF(B114="", "", VLOOKUP(B114,'API Data Dictionary'!C:G,5,FALSE)))</f>
        <v>Denotes if Child maintenance is received</v>
      </c>
    </row>
    <row r="115" spans="1:7" x14ac:dyDescent="0.35">
      <c r="A115" s="64" t="s">
        <v>1496</v>
      </c>
      <c r="B115" s="62" t="str">
        <f t="shared" si="3"/>
        <v>housingBenefit</v>
      </c>
      <c r="C115" s="62" t="s">
        <v>68</v>
      </c>
      <c r="D115" s="62" t="str">
        <f>IF(B115="", "", VLOOKUP(B115,'API Data Dictionary'!C:D,2,FALSE))</f>
        <v>boolean</v>
      </c>
      <c r="E115" s="62" t="str">
        <f>IF(IF(B115="", "", VLOOKUP(B115,'API Data Dictionary'!C:E,3,FALSE))=0, "", IF(B115="", "", VLOOKUP(B115,'API Data Dictionary'!C:E,3,FALSE)))</f>
        <v/>
      </c>
      <c r="F115" s="62" t="str">
        <f>IF(IF(B115="", "", VLOOKUP(B115,'API Data Dictionary'!C:F,4,FALSE))=0, "", IF(B115="", "", VLOOKUP(B115,'API Data Dictionary'!C:F,4,FALSE)))</f>
        <v/>
      </c>
      <c r="G115" s="62" t="str">
        <f>IF(IF(B115="", "", VLOOKUP(B115,'API Data Dictionary'!C:G,5,FALSE))=0, "", IF(B115="", "", VLOOKUP(B115,'API Data Dictionary'!C:G,5,FALSE)))</f>
        <v>Denotes if shousing benefit is received</v>
      </c>
    </row>
    <row r="116" spans="1:7" x14ac:dyDescent="0.35">
      <c r="A116" s="64" t="s">
        <v>1275</v>
      </c>
      <c r="B116" s="62" t="str">
        <f t="shared" si="3"/>
        <v>employmentSupport</v>
      </c>
      <c r="C116" s="62" t="s">
        <v>68</v>
      </c>
      <c r="D116" s="62" t="str">
        <f>IF(B116="", "", VLOOKUP(B116,'API Data Dictionary'!C:D,2,FALSE))</f>
        <v>boolean</v>
      </c>
      <c r="E116" s="62" t="str">
        <f>IF(IF(B116="", "", VLOOKUP(B116,'API Data Dictionary'!C:E,3,FALSE))=0, "", IF(B116="", "", VLOOKUP(B116,'API Data Dictionary'!C:E,3,FALSE)))</f>
        <v/>
      </c>
      <c r="F116" s="62" t="str">
        <f>IF(IF(B116="", "", VLOOKUP(B116,'API Data Dictionary'!C:F,4,FALSE))=0, "", IF(B116="", "", VLOOKUP(B116,'API Data Dictionary'!C:F,4,FALSE)))</f>
        <v/>
      </c>
      <c r="G116" s="62" t="str">
        <f>IF(IF(B116="", "", VLOOKUP(B116,'API Data Dictionary'!C:G,5,FALSE))=0, "", IF(B116="", "", VLOOKUP(B116,'API Data Dictionary'!C:G,5,FALSE)))</f>
        <v>Denotes if employment support is received</v>
      </c>
    </row>
    <row r="117" spans="1:7" x14ac:dyDescent="0.35">
      <c r="A117" s="64" t="s">
        <v>1278</v>
      </c>
      <c r="B117" s="62" t="str">
        <f t="shared" si="3"/>
        <v>universalCredit</v>
      </c>
      <c r="C117" s="62" t="s">
        <v>68</v>
      </c>
      <c r="D117" s="62" t="str">
        <f>IF(B117="", "", VLOOKUP(B117,'API Data Dictionary'!C:D,2,FALSE))</f>
        <v>boolean</v>
      </c>
      <c r="E117" s="62" t="str">
        <f>IF(IF(B117="", "", VLOOKUP(B117,'API Data Dictionary'!C:E,3,FALSE))=0, "", IF(B117="", "", VLOOKUP(B117,'API Data Dictionary'!C:E,3,FALSE)))</f>
        <v/>
      </c>
      <c r="F117" s="62" t="str">
        <f>IF(IF(B117="", "", VLOOKUP(B117,'API Data Dictionary'!C:F,4,FALSE))=0, "", IF(B117="", "", VLOOKUP(B117,'API Data Dictionary'!C:F,4,FALSE)))</f>
        <v/>
      </c>
      <c r="G117" s="62" t="str">
        <f>IF(IF(B117="", "", VLOOKUP(B117,'API Data Dictionary'!C:G,5,FALSE))=0, "", IF(B117="", "", VLOOKUP(B117,'API Data Dictionary'!C:G,5,FALSE)))</f>
        <v>Denotes if universal is received</v>
      </c>
    </row>
    <row r="118" spans="1:7" x14ac:dyDescent="0.35">
      <c r="A118" s="64" t="s">
        <v>1700</v>
      </c>
      <c r="B118" s="62" t="str">
        <f t="shared" si="3"/>
        <v>startDate</v>
      </c>
      <c r="C118" s="62" t="s">
        <v>68</v>
      </c>
      <c r="D118" s="62" t="s">
        <v>89</v>
      </c>
      <c r="E118" s="62" t="s">
        <v>1433</v>
      </c>
      <c r="F118" s="62" t="s">
        <v>265</v>
      </c>
      <c r="G118" s="62" t="s">
        <v>310</v>
      </c>
    </row>
    <row r="119" spans="1:7" x14ac:dyDescent="0.35">
      <c r="A119" s="64" t="s">
        <v>1117</v>
      </c>
      <c r="B119" s="62" t="str">
        <f t="shared" si="3"/>
        <v/>
      </c>
      <c r="C119" s="62" t="str">
        <f>IF(B119="", "", VLOOKUP(B119,'API Data Dictionary'!C:X,22,FALSE))</f>
        <v/>
      </c>
      <c r="D119" s="62" t="str">
        <f>IF(B119="", "", VLOOKUP(B119,'API Data Dictionary'!C:D,2,FALSE))</f>
        <v/>
      </c>
      <c r="E119" s="62" t="str">
        <f>IF(IF(B119="", "", VLOOKUP(B119,'API Data Dictionary'!C:E,3,FALSE))=0, "", IF(B119="", "", VLOOKUP(B119,'API Data Dictionary'!C:E,3,FALSE)))</f>
        <v/>
      </c>
      <c r="F119" s="62" t="str">
        <f>IF(IF(B119="", "", VLOOKUP(B119,'API Data Dictionary'!C:F,4,FALSE))=0, "", IF(B119="", "", VLOOKUP(B119,'API Data Dictionary'!C:F,4,FALSE)))</f>
        <v/>
      </c>
      <c r="G119" s="62" t="str">
        <f>IF(IF(B119="", "", VLOOKUP(B119,'API Data Dictionary'!C:G,5,FALSE))=0, "", IF(B119="", "", VLOOKUP(B119,'API Data Dictionary'!C:G,5,FALSE)))</f>
        <v/>
      </c>
    </row>
    <row r="120" spans="1:7" x14ac:dyDescent="0.35">
      <c r="A120" s="64" t="s">
        <v>1118</v>
      </c>
      <c r="B120" s="62" t="str">
        <f t="shared" si="3"/>
        <v/>
      </c>
      <c r="C120" s="62" t="str">
        <f>IF(B120="", "", VLOOKUP(B120,'API Data Dictionary'!C:X,22,FALSE))</f>
        <v/>
      </c>
      <c r="D120" s="62" t="str">
        <f>IF(B120="", "", VLOOKUP(B120,'API Data Dictionary'!C:D,2,FALSE))</f>
        <v/>
      </c>
      <c r="E120" s="62" t="str">
        <f>IF(IF(B120="", "", VLOOKUP(B120,'API Data Dictionary'!C:E,3,FALSE))=0, "", IF(B120="", "", VLOOKUP(B120,'API Data Dictionary'!C:E,3,FALSE)))</f>
        <v/>
      </c>
      <c r="F120" s="62" t="str">
        <f>IF(IF(B120="", "", VLOOKUP(B120,'API Data Dictionary'!C:F,4,FALSE))=0, "", IF(B120="", "", VLOOKUP(B120,'API Data Dictionary'!C:F,4,FALSE)))</f>
        <v/>
      </c>
      <c r="G120" s="62" t="str">
        <f>IF(IF(B120="", "", VLOOKUP(B120,'API Data Dictionary'!C:G,5,FALSE))=0, "", IF(B120="", "", VLOOKUP(B120,'API Data Dictionary'!C:G,5,FALSE)))</f>
        <v/>
      </c>
    </row>
    <row r="121" spans="1:7" x14ac:dyDescent="0.35">
      <c r="A121" s="64" t="s">
        <v>1119</v>
      </c>
      <c r="B121" s="62" t="str">
        <f t="shared" si="3"/>
        <v/>
      </c>
      <c r="C121" s="62" t="str">
        <f>IF(B121="", "", VLOOKUP(B121,'API Data Dictionary'!C:X,22,FALSE))</f>
        <v/>
      </c>
      <c r="D121" s="62" t="str">
        <f>IF(B121="", "", VLOOKUP(B121,'API Data Dictionary'!C:D,2,FALSE))</f>
        <v/>
      </c>
      <c r="E121" s="62" t="str">
        <f>IF(IF(B121="", "", VLOOKUP(B121,'API Data Dictionary'!C:E,3,FALSE))=0, "", IF(B121="", "", VLOOKUP(B121,'API Data Dictionary'!C:E,3,FALSE)))</f>
        <v/>
      </c>
      <c r="F121" s="62" t="str">
        <f>IF(IF(B121="", "", VLOOKUP(B121,'API Data Dictionary'!C:F,4,FALSE))=0, "", IF(B121="", "", VLOOKUP(B121,'API Data Dictionary'!C:F,4,FALSE)))</f>
        <v/>
      </c>
      <c r="G121" s="62" t="str">
        <f>IF(IF(B121="", "", VLOOKUP(B121,'API Data Dictionary'!C:G,5,FALSE))=0, "", IF(B121="", "", VLOOKUP(B121,'API Data Dictionary'!C:G,5,FALSE)))</f>
        <v/>
      </c>
    </row>
    <row r="122" spans="1:7" x14ac:dyDescent="0.35">
      <c r="A122" s="64" t="s">
        <v>1120</v>
      </c>
      <c r="B122" s="62" t="str">
        <f t="shared" si="3"/>
        <v/>
      </c>
      <c r="C122" s="62" t="str">
        <f>IF(B122="", "", VLOOKUP(B122,'API Data Dictionary'!C:X,22,FALSE))</f>
        <v/>
      </c>
      <c r="D122" s="62" t="str">
        <f>IF(B122="", "", VLOOKUP(B122,'API Data Dictionary'!C:D,2,FALSE))</f>
        <v/>
      </c>
      <c r="E122" s="62" t="str">
        <f>IF(IF(B122="", "", VLOOKUP(B122,'API Data Dictionary'!C:E,3,FALSE))=0, "", IF(B122="", "", VLOOKUP(B122,'API Data Dictionary'!C:E,3,FALSE)))</f>
        <v/>
      </c>
      <c r="F122" s="62" t="str">
        <f>IF(IF(B122="", "", VLOOKUP(B122,'API Data Dictionary'!C:F,4,FALSE))=0, "", IF(B122="", "", VLOOKUP(B122,'API Data Dictionary'!C:F,4,FALSE)))</f>
        <v/>
      </c>
      <c r="G122" s="62" t="str">
        <f>IF(IF(B122="", "", VLOOKUP(B122,'API Data Dictionary'!C:G,5,FALSE))=0, "", IF(B122="", "", VLOOKUP(B122,'API Data Dictionary'!C:G,5,FALSE)))</f>
        <v/>
      </c>
    </row>
    <row r="124" spans="1:7" x14ac:dyDescent="0.35">
      <c r="A124" s="222" t="s">
        <v>1751</v>
      </c>
      <c r="B124" s="222"/>
      <c r="C124" s="222"/>
      <c r="D124" s="222"/>
      <c r="E124" s="222"/>
      <c r="F124" s="222"/>
      <c r="G124" s="222"/>
    </row>
    <row r="125" spans="1:7" x14ac:dyDescent="0.35">
      <c r="A125" s="96" t="s">
        <v>1094</v>
      </c>
      <c r="B125" s="89" t="str">
        <f t="shared" ref="B125:B126" si="4">IF(OR(ISNUMBER(SEARCH("{", A125)),ISNUMBER(SEARCH("[", A125))), "", IFERROR(MID(A125, SEARCH("""", A125) +1, SEARCH("""", A125, SEARCH("""",A125) +1) - SEARCH("""", A125) -1), ""))</f>
        <v/>
      </c>
      <c r="C125" s="89" t="str">
        <f>IF(B125="", "", VLOOKUP(B125,'API Data Dictionary'!C:X,22,FALSE))</f>
        <v/>
      </c>
      <c r="D125" s="89" t="str">
        <f>IF(B125="", "", VLOOKUP(B125,'API Data Dictionary'!C:D,2,FALSE))</f>
        <v/>
      </c>
      <c r="E125" s="89" t="str">
        <f>IF(IF(B125="", "", VLOOKUP(B125,'API Data Dictionary'!C:E,3,FALSE))=0, "", IF(B125="", "", VLOOKUP(B125,'API Data Dictionary'!C:E,3,FALSE)))</f>
        <v/>
      </c>
      <c r="F125" s="89" t="str">
        <f>IF(IF(B125="", "", VLOOKUP(B125,'API Data Dictionary'!C:F,4,FALSE))=0, "", IF(B125="", "", VLOOKUP(B125,'API Data Dictionary'!C:F,4,FALSE)))</f>
        <v/>
      </c>
      <c r="G125" s="89" t="str">
        <f>IF(IF(B125="", "", VLOOKUP(B125,'API Data Dictionary'!C:G,5,FALSE))=0, "", IF(B125="", "", VLOOKUP(B125,'API Data Dictionary'!C:G,5,FALSE)))</f>
        <v/>
      </c>
    </row>
    <row r="126" spans="1:7" x14ac:dyDescent="0.35">
      <c r="A126" s="96" t="s">
        <v>1350</v>
      </c>
      <c r="B126" s="89" t="str">
        <f t="shared" si="4"/>
        <v>success</v>
      </c>
      <c r="C126" s="89" t="s">
        <v>68</v>
      </c>
      <c r="D126" s="89" t="str">
        <f>IF(B126="", "", VLOOKUP(B126,'API Data Dictionary'!C:D,2,FALSE))</f>
        <v>string - Boolean</v>
      </c>
      <c r="E126" s="89">
        <f>IF(IF(B126="", "", VLOOKUP(B126,'API Data Dictionary'!C:E,3,FALSE))=0, "", IF(B126="", "", VLOOKUP(B126,'API Data Dictionary'!C:E,3,FALSE)))</f>
        <v>100</v>
      </c>
      <c r="F126" s="89" t="str">
        <f>IF(IF(B126="", "", VLOOKUP(B126,'API Data Dictionary'!C:F,4,FALSE))=0, "", IF(B126="", "", VLOOKUP(B126,'API Data Dictionary'!C:F,4,FALSE)))</f>
        <v/>
      </c>
      <c r="G126" s="89" t="str">
        <f>IF(IF(B126="", "", VLOOKUP(B126,'API Data Dictionary'!C:G,5,FALSE))=0, "", IF(B126="", "", VLOOKUP(B126,'API Data Dictionary'!C:G,5,FALSE)))</f>
        <v>Returns true when successful call/connection</v>
      </c>
    </row>
    <row r="127" spans="1:7" x14ac:dyDescent="0.35">
      <c r="A127" s="117" t="s">
        <v>1377</v>
      </c>
      <c r="B127" s="89"/>
      <c r="C127" s="89"/>
      <c r="D127" s="89"/>
      <c r="E127" s="89"/>
      <c r="F127" s="89"/>
      <c r="G127" s="89"/>
    </row>
    <row r="128" spans="1:7" x14ac:dyDescent="0.35">
      <c r="A128" s="117" t="s">
        <v>1715</v>
      </c>
      <c r="B128" s="89" t="s">
        <v>67</v>
      </c>
      <c r="C128" s="89" t="s">
        <v>68</v>
      </c>
      <c r="D128" s="89" t="s">
        <v>64</v>
      </c>
      <c r="E128" s="89" t="s">
        <v>1594</v>
      </c>
      <c r="F128" s="89"/>
      <c r="G128" s="89"/>
    </row>
    <row r="129" spans="1:7" x14ac:dyDescent="0.35">
      <c r="A129" s="117" t="s">
        <v>1725</v>
      </c>
      <c r="B129" s="89" t="s">
        <v>69</v>
      </c>
      <c r="C129" s="89" t="s">
        <v>68</v>
      </c>
      <c r="D129" s="89" t="s">
        <v>64</v>
      </c>
      <c r="E129" s="89" t="s">
        <v>1594</v>
      </c>
      <c r="F129" s="89"/>
      <c r="G129" s="89"/>
    </row>
    <row r="130" spans="1:7" x14ac:dyDescent="0.35">
      <c r="A130" s="117" t="s">
        <v>1716</v>
      </c>
      <c r="B130" s="89" t="s">
        <v>1710</v>
      </c>
      <c r="C130" s="89" t="s">
        <v>68</v>
      </c>
      <c r="D130" s="89" t="s">
        <v>64</v>
      </c>
      <c r="E130" s="89" t="s">
        <v>1594</v>
      </c>
      <c r="F130" s="89"/>
      <c r="G130" s="89"/>
    </row>
    <row r="131" spans="1:7" x14ac:dyDescent="0.35">
      <c r="A131" s="117" t="s">
        <v>1717</v>
      </c>
      <c r="B131" s="89" t="s">
        <v>1711</v>
      </c>
      <c r="C131" s="89" t="s">
        <v>68</v>
      </c>
      <c r="D131" s="89" t="s">
        <v>64</v>
      </c>
      <c r="E131" s="89" t="s">
        <v>1594</v>
      </c>
      <c r="F131" s="89"/>
      <c r="G131" s="89"/>
    </row>
    <row r="132" spans="1:7" x14ac:dyDescent="0.35">
      <c r="A132" s="117" t="s">
        <v>1718</v>
      </c>
      <c r="B132" s="89" t="s">
        <v>1712</v>
      </c>
      <c r="C132" s="89" t="s">
        <v>68</v>
      </c>
      <c r="D132" s="89" t="s">
        <v>64</v>
      </c>
      <c r="E132" s="89" t="s">
        <v>1594</v>
      </c>
      <c r="F132" s="89"/>
      <c r="G132" s="89"/>
    </row>
    <row r="133" spans="1:7" x14ac:dyDescent="0.35">
      <c r="A133" s="117" t="s">
        <v>1719</v>
      </c>
      <c r="B133" s="89" t="s">
        <v>1713</v>
      </c>
      <c r="C133" s="89" t="s">
        <v>68</v>
      </c>
      <c r="D133" s="89" t="s">
        <v>64</v>
      </c>
      <c r="E133" s="89" t="s">
        <v>1594</v>
      </c>
      <c r="F133" s="89"/>
      <c r="G133" s="89"/>
    </row>
    <row r="134" spans="1:7" x14ac:dyDescent="0.35">
      <c r="A134" s="117" t="s">
        <v>1720</v>
      </c>
      <c r="B134" s="89" t="s">
        <v>1714</v>
      </c>
      <c r="C134" s="89" t="s">
        <v>68</v>
      </c>
      <c r="D134" s="89" t="s">
        <v>64</v>
      </c>
      <c r="E134" s="89" t="s">
        <v>1594</v>
      </c>
      <c r="F134" s="89"/>
      <c r="G134" s="89"/>
    </row>
    <row r="135" spans="1:7" x14ac:dyDescent="0.35">
      <c r="A135" s="117" t="s">
        <v>1105</v>
      </c>
      <c r="B135" s="89"/>
      <c r="C135" s="89"/>
      <c r="D135" s="89"/>
      <c r="E135" s="89"/>
      <c r="F135" s="89"/>
      <c r="G135" s="89"/>
    </row>
    <row r="136" spans="1:7" x14ac:dyDescent="0.35">
      <c r="A136" s="117" t="s">
        <v>1721</v>
      </c>
      <c r="B136" s="89" t="s">
        <v>1356</v>
      </c>
      <c r="C136" s="89" t="s">
        <v>68</v>
      </c>
      <c r="D136" s="89" t="s">
        <v>64</v>
      </c>
      <c r="E136" s="89" t="s">
        <v>1594</v>
      </c>
      <c r="F136" s="89"/>
      <c r="G136" s="89"/>
    </row>
    <row r="137" spans="1:7" x14ac:dyDescent="0.35">
      <c r="A137" s="117" t="s">
        <v>1120</v>
      </c>
      <c r="B137" s="89"/>
      <c r="C137" s="89"/>
      <c r="D137" s="89"/>
      <c r="E137" s="89"/>
      <c r="F137" s="89"/>
      <c r="G137" s="89"/>
    </row>
    <row r="139" spans="1:7" x14ac:dyDescent="0.35">
      <c r="A139" s="219" t="s">
        <v>1625</v>
      </c>
      <c r="B139" s="220"/>
      <c r="C139" s="220"/>
      <c r="D139" s="220"/>
      <c r="E139" s="220"/>
      <c r="F139" s="220"/>
      <c r="G139" s="220"/>
    </row>
    <row r="140" spans="1:7" x14ac:dyDescent="0.35">
      <c r="A140" s="88" t="s">
        <v>1561</v>
      </c>
      <c r="B140" s="62" t="s">
        <v>1359</v>
      </c>
      <c r="C140" s="89" t="s">
        <v>1359</v>
      </c>
      <c r="D140" s="62" t="s">
        <v>64</v>
      </c>
      <c r="E140" s="89">
        <v>100</v>
      </c>
      <c r="F140" s="89"/>
      <c r="G140" s="89" t="s">
        <v>1562</v>
      </c>
    </row>
    <row r="142" spans="1:7" x14ac:dyDescent="0.35">
      <c r="A142" s="219" t="s">
        <v>1764</v>
      </c>
      <c r="B142" s="220"/>
      <c r="C142" s="220"/>
      <c r="D142" s="220"/>
      <c r="E142" s="220"/>
      <c r="F142" s="220"/>
      <c r="G142" s="220"/>
    </row>
    <row r="143" spans="1:7" x14ac:dyDescent="0.35">
      <c r="A143" s="88" t="s">
        <v>1763</v>
      </c>
      <c r="B143" s="62" t="s">
        <v>1359</v>
      </c>
      <c r="C143" s="89" t="s">
        <v>1359</v>
      </c>
      <c r="D143" s="62" t="s">
        <v>64</v>
      </c>
      <c r="E143" s="89">
        <v>100</v>
      </c>
      <c r="F143" s="89"/>
      <c r="G143" s="89" t="s">
        <v>1765</v>
      </c>
    </row>
    <row r="145" spans="1:7" x14ac:dyDescent="0.35">
      <c r="A145" s="220" t="s">
        <v>1747</v>
      </c>
      <c r="B145" s="220"/>
      <c r="C145" s="220"/>
      <c r="D145" s="220"/>
      <c r="E145" s="220"/>
      <c r="F145" s="220"/>
      <c r="G145" s="220"/>
    </row>
    <row r="146" spans="1:7" x14ac:dyDescent="0.35">
      <c r="A146" s="88" t="s">
        <v>1094</v>
      </c>
      <c r="B146" s="89"/>
      <c r="C146" s="89"/>
      <c r="D146" s="89"/>
      <c r="E146" s="89"/>
      <c r="F146" s="89"/>
      <c r="G146" s="89"/>
    </row>
    <row r="147" spans="1:7" x14ac:dyDescent="0.35">
      <c r="A147" s="88" t="s">
        <v>1574</v>
      </c>
      <c r="B147" s="89" t="str">
        <f t="shared" ref="B147:B148" si="5">IF(OR(ISNUMBER(SEARCH("{", A147)),ISNUMBER(SEARCH("[", A147))), "", IFERROR(MID(A147, SEARCH("""", A147) +1, SEARCH("""", A147, SEARCH("""",A147) +1) - SEARCH("""", A147) -1), ""))</f>
        <v>success</v>
      </c>
      <c r="C147" s="89" t="s">
        <v>68</v>
      </c>
      <c r="D147" s="89" t="str">
        <f>IF(B147="", "", VLOOKUP(B147,'API Data Dictionary'!C:D,2,FALSE))</f>
        <v>string - Boolean</v>
      </c>
      <c r="E147" s="89">
        <f>IF(IF(B147="", "", VLOOKUP(B147,'API Data Dictionary'!C:E,3,FALSE))=0, "", IF(B147="", "", VLOOKUP(B147,'API Data Dictionary'!C:E,3,FALSE)))</f>
        <v>100</v>
      </c>
      <c r="F147" s="89" t="str">
        <f>IF(IF(B147="", "", VLOOKUP(B147,'API Data Dictionary'!C:F,4,FALSE))=0, "", IF(B147="", "", VLOOKUP(B147,'API Data Dictionary'!C:F,4,FALSE)))</f>
        <v/>
      </c>
      <c r="G147" s="89" t="str">
        <f>IF(IF(B147="", "", VLOOKUP(B147,'API Data Dictionary'!C:G,5,FALSE))=0, "", IF(B147="", "", VLOOKUP(B147,'API Data Dictionary'!C:G,5,FALSE)))</f>
        <v>Returns true when successful call/connection</v>
      </c>
    </row>
    <row r="148" spans="1:7" x14ac:dyDescent="0.35">
      <c r="A148" s="88" t="s">
        <v>1377</v>
      </c>
      <c r="B148" s="89" t="str">
        <f t="shared" si="5"/>
        <v/>
      </c>
      <c r="C148" s="89" t="str">
        <f>IF(B148="", "", VLOOKUP(B148,'API Data Dictionary'!C:J,8,FALSE))</f>
        <v/>
      </c>
      <c r="D148" s="89" t="str">
        <f>IF(B148="", "", VLOOKUP(B148,'API Data Dictionary'!C:D,2,FALSE))</f>
        <v/>
      </c>
      <c r="E148" s="89" t="str">
        <f>IF(IF(B148="", "", VLOOKUP(B148,'API Data Dictionary'!C:E,3,FALSE))=0, "", IF(B148="", "", VLOOKUP(B148,'API Data Dictionary'!C:E,3,FALSE)))</f>
        <v/>
      </c>
      <c r="F148" s="89" t="str">
        <f>IF(IF(B148="", "", VLOOKUP(B148,'API Data Dictionary'!C:F,4,FALSE))=0, "", IF(B148="", "", VLOOKUP(B148,'API Data Dictionary'!C:F,4,FALSE)))</f>
        <v/>
      </c>
      <c r="G148" s="89" t="str">
        <f>IF(IF(B148="", "", VLOOKUP(B148,'API Data Dictionary'!C:G,5,FALSE))=0, "", IF(B148="", "", VLOOKUP(B148,'API Data Dictionary'!C:G,5,FALSE)))</f>
        <v/>
      </c>
    </row>
    <row r="149" spans="1:7" x14ac:dyDescent="0.35">
      <c r="A149" s="88" t="s">
        <v>1564</v>
      </c>
      <c r="B149" s="89" t="s">
        <v>1589</v>
      </c>
      <c r="C149" s="89" t="s">
        <v>68</v>
      </c>
      <c r="D149" s="89" t="s">
        <v>1593</v>
      </c>
      <c r="E149" s="89"/>
      <c r="F149" s="89"/>
      <c r="G149" s="89"/>
    </row>
    <row r="150" spans="1:7" x14ac:dyDescent="0.35">
      <c r="A150" s="88" t="s">
        <v>1573</v>
      </c>
      <c r="B150" s="89" t="s">
        <v>1590</v>
      </c>
      <c r="C150" s="89" t="s">
        <v>68</v>
      </c>
      <c r="D150" s="89" t="s">
        <v>64</v>
      </c>
      <c r="E150" s="109" t="s">
        <v>1594</v>
      </c>
      <c r="F150" s="89"/>
      <c r="G150" s="89"/>
    </row>
    <row r="151" spans="1:7" x14ac:dyDescent="0.35">
      <c r="A151" s="88" t="s">
        <v>1633</v>
      </c>
      <c r="B151" s="89" t="s">
        <v>1591</v>
      </c>
      <c r="C151" s="89" t="s">
        <v>68</v>
      </c>
      <c r="D151" s="89" t="s">
        <v>64</v>
      </c>
      <c r="E151" s="109" t="s">
        <v>1594</v>
      </c>
      <c r="F151" s="89"/>
      <c r="G151" s="89"/>
    </row>
    <row r="152" spans="1:7" x14ac:dyDescent="0.35">
      <c r="A152" s="88" t="s">
        <v>1566</v>
      </c>
      <c r="B152" s="89"/>
      <c r="C152" s="89"/>
      <c r="D152" s="89"/>
      <c r="E152" s="109"/>
      <c r="F152" s="89"/>
      <c r="G152" s="89"/>
    </row>
    <row r="153" spans="1:7" x14ac:dyDescent="0.35">
      <c r="A153" s="88" t="s">
        <v>1413</v>
      </c>
      <c r="B153" s="89"/>
      <c r="C153" s="89"/>
      <c r="D153" s="89"/>
      <c r="E153" s="109"/>
      <c r="F153" s="89" t="str">
        <f>IF(IF(B153="", "", VLOOKUP(B153,'API Data Dictionary'!C:F,4,FALSE))=0, "", IF(B153="", "", VLOOKUP(B153,'API Data Dictionary'!C:F,4,FALSE)))</f>
        <v/>
      </c>
      <c r="G153" s="89"/>
    </row>
    <row r="154" spans="1:7" x14ac:dyDescent="0.35">
      <c r="A154" s="88" t="s">
        <v>1576</v>
      </c>
      <c r="B154" s="89" t="s">
        <v>1579</v>
      </c>
      <c r="C154" s="89" t="s">
        <v>68</v>
      </c>
      <c r="D154" s="89" t="s">
        <v>64</v>
      </c>
      <c r="E154" s="109" t="s">
        <v>1594</v>
      </c>
      <c r="F154" s="89"/>
      <c r="G154" s="89"/>
    </row>
    <row r="155" spans="1:7" x14ac:dyDescent="0.35">
      <c r="A155" s="88" t="s">
        <v>1577</v>
      </c>
      <c r="B155" s="89" t="s">
        <v>1580</v>
      </c>
      <c r="C155" s="89" t="s">
        <v>68</v>
      </c>
      <c r="D155" s="89" t="s">
        <v>64</v>
      </c>
      <c r="E155" s="109" t="s">
        <v>1594</v>
      </c>
      <c r="F155" s="89"/>
      <c r="G155" s="89"/>
    </row>
    <row r="156" spans="1:7" x14ac:dyDescent="0.35">
      <c r="A156" s="88" t="s">
        <v>1105</v>
      </c>
      <c r="B156" s="89"/>
      <c r="C156" s="89"/>
      <c r="D156" s="89"/>
      <c r="E156" s="109"/>
      <c r="F156" s="89"/>
      <c r="G156" s="89"/>
    </row>
    <row r="157" spans="1:7" x14ac:dyDescent="0.35">
      <c r="A157" s="88" t="s">
        <v>1578</v>
      </c>
      <c r="B157" s="89" t="s">
        <v>1592</v>
      </c>
      <c r="C157" s="89" t="s">
        <v>68</v>
      </c>
      <c r="D157" s="89" t="s">
        <v>64</v>
      </c>
      <c r="E157" s="109" t="s">
        <v>1594</v>
      </c>
      <c r="F157" s="89"/>
      <c r="G157" s="89"/>
    </row>
    <row r="158" spans="1:7" x14ac:dyDescent="0.35">
      <c r="A158" s="88" t="s">
        <v>1120</v>
      </c>
      <c r="B158" s="89"/>
      <c r="C158" s="89"/>
      <c r="D158" s="89"/>
      <c r="E158" s="89"/>
      <c r="F158" s="89"/>
      <c r="G158" s="89"/>
    </row>
    <row r="160" spans="1:7" x14ac:dyDescent="0.35">
      <c r="A160" s="98" t="s">
        <v>1748</v>
      </c>
      <c r="B160" s="98"/>
      <c r="C160" s="98"/>
      <c r="D160" s="98"/>
      <c r="E160" s="98"/>
      <c r="F160" s="98"/>
      <c r="G160" s="98"/>
    </row>
    <row r="161" spans="1:7" x14ac:dyDescent="0.35">
      <c r="A161" s="88" t="s">
        <v>1094</v>
      </c>
      <c r="B161" s="89"/>
      <c r="C161" s="89"/>
      <c r="D161" s="89"/>
      <c r="E161" s="89"/>
      <c r="F161" s="89"/>
      <c r="G161" s="89"/>
    </row>
    <row r="162" spans="1:7" x14ac:dyDescent="0.35">
      <c r="A162" s="88" t="s">
        <v>1722</v>
      </c>
      <c r="B162" s="89" t="str">
        <f t="shared" ref="B162" si="6">IF(OR(ISNUMBER(SEARCH("{", A162)),ISNUMBER(SEARCH("[", A162))), "", IFERROR(MID(A162, SEARCH("""", A162) +1, SEARCH("""", A162, SEARCH("""",A162) +1) - SEARCH("""", A162) -1), ""))</f>
        <v>success</v>
      </c>
      <c r="C162" s="89" t="s">
        <v>68</v>
      </c>
      <c r="D162" s="89" t="str">
        <f>IF(B162="", "", VLOOKUP(B162,'API Data Dictionary'!C:D,2,FALSE))</f>
        <v>string - Boolean</v>
      </c>
      <c r="E162" s="89">
        <f>IF(IF(B162="", "", VLOOKUP(B162,'API Data Dictionary'!C:E,3,FALSE))=0, "", IF(B162="", "", VLOOKUP(B162,'API Data Dictionary'!C:E,3,FALSE)))</f>
        <v>100</v>
      </c>
      <c r="F162" s="89" t="str">
        <f>IF(IF(B162="", "", VLOOKUP(B162,'API Data Dictionary'!C:F,4,FALSE))=0, "", IF(B162="", "", VLOOKUP(B162,'API Data Dictionary'!C:F,4,FALSE)))</f>
        <v/>
      </c>
      <c r="G162" s="89" t="str">
        <f>IF(IF(B162="", "", VLOOKUP(B162,'API Data Dictionary'!C:G,5,FALSE))=0, "", IF(B162="", "", VLOOKUP(B162,'API Data Dictionary'!C:G,5,FALSE)))</f>
        <v>Returns true when successful call/connection</v>
      </c>
    </row>
    <row r="163" spans="1:7" x14ac:dyDescent="0.35">
      <c r="A163" s="88" t="s">
        <v>1723</v>
      </c>
      <c r="B163" s="89"/>
      <c r="C163" s="89"/>
      <c r="D163" s="89"/>
      <c r="E163" s="89"/>
      <c r="F163" s="89"/>
      <c r="G163" s="89"/>
    </row>
    <row r="164" spans="1:7" x14ac:dyDescent="0.35">
      <c r="A164" s="88" t="s">
        <v>1724</v>
      </c>
      <c r="B164" s="89" t="s">
        <v>1592</v>
      </c>
      <c r="C164" s="89" t="s">
        <v>68</v>
      </c>
      <c r="D164" s="89" t="s">
        <v>64</v>
      </c>
      <c r="E164" s="109" t="s">
        <v>1594</v>
      </c>
      <c r="F164" s="89"/>
      <c r="G164" s="89"/>
    </row>
    <row r="165" spans="1:7" x14ac:dyDescent="0.35">
      <c r="A165" s="88" t="s">
        <v>1120</v>
      </c>
      <c r="B165" s="89"/>
      <c r="C165" s="89"/>
      <c r="D165" s="89"/>
      <c r="E165" s="89"/>
      <c r="F165" s="89"/>
      <c r="G165" s="89"/>
    </row>
    <row r="167" spans="1:7" x14ac:dyDescent="0.35">
      <c r="A167" s="220" t="s">
        <v>1598</v>
      </c>
      <c r="B167" s="220"/>
      <c r="C167" s="220"/>
      <c r="D167" s="220"/>
      <c r="E167" s="220"/>
      <c r="F167" s="220"/>
      <c r="G167" s="220"/>
    </row>
    <row r="168" spans="1:7" x14ac:dyDescent="0.35">
      <c r="A168" s="110" t="s">
        <v>1094</v>
      </c>
      <c r="B168" s="89" t="str">
        <f t="shared" ref="B168:B172" si="7">IF(OR(ISNUMBER(SEARCH("{", A168)),ISNUMBER(SEARCH("[", A168))), "", IFERROR(MID(A168, SEARCH("""", A168) +1, SEARCH("""", A168, SEARCH("""",A168) +1) - SEARCH("""", A168) -1), ""))</f>
        <v/>
      </c>
      <c r="C168" s="89" t="str">
        <f>IF(B168="", "", VLOOKUP(B168,'API Data Dictionary'!C:J,8,FALSE))</f>
        <v/>
      </c>
      <c r="D168" s="89" t="str">
        <f>IF(B168="", "", VLOOKUP(B168,'API Data Dictionary'!C:D,2,FALSE))</f>
        <v/>
      </c>
      <c r="E168" s="89" t="str">
        <f>IF(IF(B168="", "", VLOOKUP(B168,'API Data Dictionary'!C:E,3,FALSE))=0, "", IF(B168="", "", VLOOKUP(B168,'API Data Dictionary'!C:E,3,FALSE)))</f>
        <v/>
      </c>
      <c r="F168" s="89" t="str">
        <f>IF(IF(B168="", "", VLOOKUP(B168,'API Data Dictionary'!C:F,4,FALSE))=0, "", IF(B168="", "", VLOOKUP(B168,'API Data Dictionary'!C:F,4,FALSE)))</f>
        <v/>
      </c>
      <c r="G168" s="89" t="str">
        <f>IF(IF(B168="", "", VLOOKUP(B168,'API Data Dictionary'!C:G,5,FALSE))=0, "", IF(B168="", "", VLOOKUP(B168,'API Data Dictionary'!C:G,5,FALSE)))</f>
        <v/>
      </c>
    </row>
    <row r="169" spans="1:7" x14ac:dyDescent="0.35">
      <c r="A169" s="110" t="s">
        <v>1567</v>
      </c>
      <c r="B169" s="89" t="str">
        <f t="shared" si="7"/>
        <v>success</v>
      </c>
      <c r="C169" s="89" t="s">
        <v>68</v>
      </c>
      <c r="D169" s="89" t="str">
        <f>IF(B169="", "", VLOOKUP(B169,'API Data Dictionary'!C:D,2,FALSE))</f>
        <v>string - Boolean</v>
      </c>
      <c r="E169" s="89">
        <f>IF(IF(B169="", "", VLOOKUP(B169,'API Data Dictionary'!C:E,3,FALSE))=0, "", IF(B169="", "", VLOOKUP(B169,'API Data Dictionary'!C:E,3,FALSE)))</f>
        <v>100</v>
      </c>
      <c r="F169" s="89" t="str">
        <f>IF(IF(B169="", "", VLOOKUP(B169,'API Data Dictionary'!C:F,4,FALSE))=0, "", IF(B169="", "", VLOOKUP(B169,'API Data Dictionary'!C:F,4,FALSE)))</f>
        <v/>
      </c>
      <c r="G169" s="89" t="str">
        <f>IF(IF(B169="", "", VLOOKUP(B169,'API Data Dictionary'!C:G,5,FALSE))=0, "", IF(B169="", "", VLOOKUP(B169,'API Data Dictionary'!C:G,5,FALSE)))</f>
        <v>Returns true when successful call/connection</v>
      </c>
    </row>
    <row r="170" spans="1:7" x14ac:dyDescent="0.35">
      <c r="A170" s="110" t="s">
        <v>1596</v>
      </c>
      <c r="B170" s="89" t="str">
        <f t="shared" si="7"/>
        <v>payload</v>
      </c>
      <c r="C170" s="89" t="s">
        <v>68</v>
      </c>
      <c r="D170" s="89" t="str">
        <f>IF(B170="", "", VLOOKUP(B170,'API Data Dictionary'!C:D,2,FALSE))</f>
        <v>string</v>
      </c>
      <c r="E170" s="89">
        <f>IF(IF(B170="", "", VLOOKUP(B170,'API Data Dictionary'!C:E,3,FALSE))=0, "", IF(B170="", "", VLOOKUP(B170,'API Data Dictionary'!C:E,3,FALSE)))</f>
        <v>100</v>
      </c>
      <c r="F170" s="89" t="str">
        <f>IF(IF(B170="", "", VLOOKUP(B170,'API Data Dictionary'!C:F,4,FALSE))=0, "", IF(B170="", "", VLOOKUP(B170,'API Data Dictionary'!C:F,4,FALSE)))</f>
        <v/>
      </c>
      <c r="G170" s="89" t="str">
        <f>IF(IF(B170="", "", VLOOKUP(B170,'API Data Dictionary'!C:G,5,FALSE))=0, "", IF(B170="", "", VLOOKUP(B170,'API Data Dictionary'!C:G,5,FALSE)))</f>
        <v>Returns healthy when connection has worked properly</v>
      </c>
    </row>
    <row r="171" spans="1:7" x14ac:dyDescent="0.35">
      <c r="A171" s="110" t="s">
        <v>1597</v>
      </c>
      <c r="B171" s="89" t="str">
        <f t="shared" si="7"/>
        <v>message</v>
      </c>
      <c r="C171" s="89" t="s">
        <v>68</v>
      </c>
      <c r="D171" s="89" t="str">
        <f>IF(B171="", "", VLOOKUP(B171,'API Data Dictionary'!C:D,2,FALSE))</f>
        <v>string</v>
      </c>
      <c r="E171" s="89">
        <f>IF(IF(B171="", "", VLOOKUP(B171,'API Data Dictionary'!C:E,3,FALSE))=0, "", IF(B171="", "", VLOOKUP(B171,'API Data Dictionary'!C:E,3,FALSE)))</f>
        <v>100</v>
      </c>
      <c r="F171" s="89" t="str">
        <f>IF(IF(B171="", "", VLOOKUP(B171,'API Data Dictionary'!C:F,4,FALSE))=0, "", IF(B171="", "", VLOOKUP(B171,'API Data Dictionary'!C:F,4,FALSE)))</f>
        <v/>
      </c>
      <c r="G171" s="89" t="str">
        <f>IF(IF(B171="", "", VLOOKUP(B171,'API Data Dictionary'!C:G,5,FALSE))=0, "", IF(B171="", "", VLOOKUP(B171,'API Data Dictionary'!C:G,5,FALSE)))</f>
        <v>return value, null or success, unless there has been error</v>
      </c>
    </row>
    <row r="172" spans="1:7" x14ac:dyDescent="0.35">
      <c r="A172" s="110" t="s">
        <v>1120</v>
      </c>
      <c r="B172" s="89" t="str">
        <f t="shared" si="7"/>
        <v/>
      </c>
      <c r="C172" s="89" t="str">
        <f>IF(B172="", "", VLOOKUP(B172,'API Data Dictionary'!C:J,8,FALSE))</f>
        <v/>
      </c>
      <c r="D172" s="89" t="str">
        <f>IF(B172="", "", VLOOKUP(B172,'API Data Dictionary'!C:D,2,FALSE))</f>
        <v/>
      </c>
      <c r="E172" s="89" t="str">
        <f>IF(IF(B172="", "", VLOOKUP(B172,'API Data Dictionary'!C:E,3,FALSE))=0, "", IF(B172="", "", VLOOKUP(B172,'API Data Dictionary'!C:E,3,FALSE)))</f>
        <v/>
      </c>
      <c r="F172" s="89" t="str">
        <f>IF(IF(B172="", "", VLOOKUP(B172,'API Data Dictionary'!C:F,4,FALSE))=0, "", IF(B172="", "", VLOOKUP(B172,'API Data Dictionary'!C:F,4,FALSE)))</f>
        <v/>
      </c>
      <c r="G172" s="89" t="str">
        <f>IF(IF(B172="", "", VLOOKUP(B172,'API Data Dictionary'!C:G,5,FALSE))=0, "", IF(B172="", "", VLOOKUP(B172,'API Data Dictionary'!C:G,5,FALSE)))</f>
        <v/>
      </c>
    </row>
  </sheetData>
  <mergeCells count="7">
    <mergeCell ref="A2:G2"/>
    <mergeCell ref="A124:G124"/>
    <mergeCell ref="A167:G167"/>
    <mergeCell ref="A142:G142"/>
    <mergeCell ref="A11:G11"/>
    <mergeCell ref="A145:G145"/>
    <mergeCell ref="A139:G139"/>
  </mergeCells>
  <phoneticPr fontId="2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B407-8143-427B-ACE0-5A2AAB8701F1}">
  <sheetPr>
    <tabColor rgb="FF4472C4"/>
  </sheetPr>
  <dimension ref="A1:G97"/>
  <sheetViews>
    <sheetView topLeftCell="A47" zoomScaleNormal="100" workbookViewId="0"/>
  </sheetViews>
  <sheetFormatPr defaultRowHeight="14.5" x14ac:dyDescent="0.35"/>
  <cols>
    <col min="1" max="1" width="119.1796875" bestFit="1" customWidth="1"/>
    <col min="2" max="2" width="22.1796875" bestFit="1" customWidth="1"/>
    <col min="3" max="3" width="16" bestFit="1" customWidth="1"/>
    <col min="4" max="4" width="34.1796875" bestFit="1" customWidth="1"/>
    <col min="5" max="5" width="10.54296875" customWidth="1"/>
    <col min="6" max="6" width="45.453125" bestFit="1" customWidth="1"/>
    <col min="7" max="7" width="194.7265625" bestFit="1" customWidth="1"/>
  </cols>
  <sheetData>
    <row r="1" spans="1:7" ht="43.5" x14ac:dyDescent="0.35">
      <c r="A1" s="63" t="s">
        <v>1291</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B5" si="0">IF(OR(ISNUMBER(SEARCH("{", A3)),ISNUMBER(SEARCH("[", A3))), "", IFERROR(MID(A3, SEARCH("""", A3) +1, SEARCH("""", A3, SEARCH("""",A3) +1) - SEARCH("""", A3) -1), ""))</f>
        <v/>
      </c>
      <c r="C3" s="62" t="str">
        <f>IF(B3="", "", VLOOKUP(B3,'API Data Dictionary'!C:AL,36,FALSE))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1292</v>
      </c>
      <c r="B4" s="62" t="str">
        <f t="shared" si="0"/>
        <v>agentCode</v>
      </c>
      <c r="C4" s="62" t="str">
        <f>IF(B4="", "", VLOOKUP(B4,'API Data Dictionary'!C:AL,36,FALSE))</f>
        <v>M</v>
      </c>
      <c r="D4" s="62" t="str">
        <f>IF(B4="", "", VLOOKUP(B4,'API Data Dictionary'!C:D,2,FALSE))</f>
        <v>string</v>
      </c>
      <c r="E4" s="62">
        <f>IF(IF(B4="", "", VLOOKUP(B4,'API Data Dictionary'!C:E,3,FALSE))=0, "", IF(B4="", "", VLOOKUP(B4,'API Data Dictionary'!C:E,3,FALSE)))</f>
        <v>50</v>
      </c>
      <c r="F4" s="62" t="str">
        <f>IF(IF(B4="", "", VLOOKUP(B4,'API Data Dictionary'!C:F,4,FALSE))=0, "", IF(B4="", "", VLOOKUP(B4,'API Data Dictionary'!C:F,4,FALSE)))</f>
        <v/>
      </c>
      <c r="G4" s="62"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x14ac:dyDescent="0.35">
      <c r="A5" s="64" t="s">
        <v>1096</v>
      </c>
      <c r="B5" s="62" t="str">
        <f t="shared" si="0"/>
        <v>rentGuarantee</v>
      </c>
      <c r="C5" s="62" t="str">
        <f>IF(B5="", "", VLOOKUP(B5,'API Data Dictionary'!C:AL,36,FALSE))</f>
        <v>M</v>
      </c>
      <c r="D5" s="62" t="str">
        <f>IF(B5="", "", VLOOKUP(B5,'API Data Dictionary'!C:D,2,FALSE))</f>
        <v>enum - Rent Guarantee</v>
      </c>
      <c r="E5" s="62" t="str">
        <f>IF(IF(B5="", "", VLOOKUP(B5,'API Data Dictionary'!C:E,3,FALSE))=0, "", IF(B5="", "", VLOOKUP(B5,'API Data Dictionary'!C:E,3,FALSE)))</f>
        <v/>
      </c>
      <c r="F5" s="62" t="str">
        <f>IF(IF(B5="", "", VLOOKUP(B5,'API Data Dictionary'!C:F,4,FALSE))=0, "", IF(B5="", "", VLOOKUP(B5,'API Data Dictionary'!C:F,4,FALSE)))</f>
        <v>Valid Values 1-4 (See enum definition)</v>
      </c>
      <c r="G5" s="62" t="str">
        <f>IF(IF(B5="", "", VLOOKUP(B5,'API Data Dictionary'!C:G,5,FALSE))=0, "", IF(B5="", "", VLOOKUP(B5,'API Data Dictionary'!C:G,5,FALSE)))</f>
        <v xml:space="preserve">Rent guarantee is an indicator that determines which RG option if any  the agent requires </v>
      </c>
    </row>
    <row r="6" spans="1:7" x14ac:dyDescent="0.35">
      <c r="A6" s="64" t="s">
        <v>1293</v>
      </c>
      <c r="B6" s="62" t="str">
        <f t="shared" ref="B6:B53" si="1">IF(OR(ISNUMBER(SEARCH("{", A6)),ISNUMBER(SEARCH("[", A6))), "", IFERROR(MID(A6, SEARCH("""", A6) +1, SEARCH("""", A6, SEARCH("""",A6) +1) - SEARCH("""", A6) -1), ""))</f>
        <v>tenancyTermMonths</v>
      </c>
      <c r="C6" s="62" t="str">
        <f>IF(B6="", "", VLOOKUP(B6,'API Data Dictionary'!C:AL,36,FALSE))</f>
        <v>M</v>
      </c>
      <c r="D6" s="62" t="str">
        <f>IF(B6="", "", VLOOKUP(B6,'API Data Dictionary'!C:D,2,FALSE))</f>
        <v>integer</v>
      </c>
      <c r="E6" s="62" t="str">
        <f>IF(IF(B6="", "", VLOOKUP(B6,'API Data Dictionary'!C:E,3,FALSE))=0, "", IF(B6="", "", VLOOKUP(B6,'API Data Dictionary'!C:E,3,FALSE)))</f>
        <v/>
      </c>
      <c r="F6" s="62" t="str">
        <f>IF(IF(B6="", "", VLOOKUP(B6,'API Data Dictionary'!C:F,4,FALSE))=0, "", IF(B6="", "", VLOOKUP(B6,'API Data Dictionary'!C:F,4,FALSE)))</f>
        <v/>
      </c>
      <c r="G6" s="62" t="str">
        <f>IF(IF(B6="", "", VLOOKUP(B6,'API Data Dictionary'!C:G,5,FALSE))=0, "", IF(B6="", "", VLOOKUP(B6,'API Data Dictionary'!C:G,5,FALSE)))</f>
        <v>The term of the Tenancy in months (whole months only)</v>
      </c>
    </row>
    <row r="7" spans="1:7" x14ac:dyDescent="0.35">
      <c r="A7" s="64" t="s">
        <v>1097</v>
      </c>
      <c r="B7" s="62" t="str">
        <f t="shared" si="1"/>
        <v>monthlyRental</v>
      </c>
      <c r="C7" s="62" t="str">
        <f>IF(B7="", "", VLOOKUP(B7,'API Data Dictionary'!C:AL,36,FALSE))</f>
        <v>M</v>
      </c>
      <c r="D7" s="62" t="str">
        <f>IF(B7="", "", VLOOKUP(B7,'API Data Dictionary'!C:D,2,FALSE))</f>
        <v>number (double)</v>
      </c>
      <c r="E7" s="62" t="str">
        <f>IF(IF(B7="", "", VLOOKUP(B7,'API Data Dictionary'!C:E,3,FALSE))=0, "", IF(B7="", "", VLOOKUP(B7,'API Data Dictionary'!C:E,3,FALSE)))</f>
        <v/>
      </c>
      <c r="F7" s="62" t="str">
        <f>IF(IF(B7="", "", VLOOKUP(B7,'API Data Dictionary'!C:F,4,FALSE))=0, "", IF(B7="", "", VLOOKUP(B7,'API Data Dictionary'!C:F,4,FALSE)))</f>
        <v xml:space="preserve">	number($double)
pattern: ^\d*.\d{0,2}$</v>
      </c>
      <c r="G7" s="62" t="str">
        <f>IF(IF(B7="", "", VLOOKUP(B7,'API Data Dictionary'!C:G,5,FALSE))=0, "", IF(B7="", "", VLOOKUP(B7,'API Data Dictionary'!C:G,5,FALSE)))</f>
        <v>The monthly rental cost</v>
      </c>
    </row>
    <row r="8" spans="1:7" x14ac:dyDescent="0.35">
      <c r="A8" s="64" t="s">
        <v>1098</v>
      </c>
      <c r="B8" s="62" t="str">
        <f t="shared" si="1"/>
        <v>lettingType</v>
      </c>
      <c r="C8" s="62" t="str">
        <f>IF(B8="", "", VLOOKUP(B8,'API Data Dictionary'!C:AL,36,FALSE))</f>
        <v>M</v>
      </c>
      <c r="D8" s="62" t="str">
        <f>IF(B8="", "", VLOOKUP(B8,'API Data Dictionary'!C:D,2,FALSE))</f>
        <v>enum - Letting Type</v>
      </c>
      <c r="E8" s="62" t="str">
        <f>IF(IF(B8="", "", VLOOKUP(B8,'API Data Dictionary'!C:E,3,FALSE))=0, "", IF(B8="", "", VLOOKUP(B8,'API Data Dictionary'!C:E,3,FALSE)))</f>
        <v/>
      </c>
      <c r="F8" s="62" t="str">
        <f>IF(IF(B8="", "", VLOOKUP(B8,'API Data Dictionary'!C:F,4,FALSE))=0, "", IF(B8="", "", VLOOKUP(B8,'API Data Dictionary'!C:F,4,FALSE)))</f>
        <v>Valid Values 1-3 (See enum definition)</v>
      </c>
      <c r="G8" s="62" t="str">
        <f>IF(IF(B8="", "", VLOOKUP(B8,'API Data Dictionary'!C:G,5,FALSE))=0, "", IF(B8="", "", VLOOKUP(B8,'API Data Dictionary'!C:G,5,FALSE)))</f>
        <v>The type of the letting, i.e. rent only or fully managed</v>
      </c>
    </row>
    <row r="9" spans="1:7" x14ac:dyDescent="0.35">
      <c r="A9" s="64" t="s">
        <v>1294</v>
      </c>
      <c r="B9" s="62" t="str">
        <f t="shared" si="1"/>
        <v>estimatedMoveInDate</v>
      </c>
      <c r="C9" s="62" t="str">
        <f>IF(B9="", "", VLOOKUP(B9,'API Data Dictionary'!C:AL,36,FALSE))</f>
        <v>M</v>
      </c>
      <c r="D9" s="62" t="str">
        <f>IF(B9="", "", VLOOKUP(B9,'API Data Dictionary'!C:D,2,FALSE))</f>
        <v>string ($date-time)</v>
      </c>
      <c r="E9" s="62" t="str">
        <f>IF(IF(B9="", "", VLOOKUP(B9,'API Data Dictionary'!C:E,3,FALSE))=0, "", IF(B9="", "", VLOOKUP(B9,'API Data Dictionary'!C:E,3,FALSE)))</f>
        <v/>
      </c>
      <c r="F9" s="62" t="str">
        <f>IF(IF(B9="", "", VLOOKUP(B9,'API Data Dictionary'!C:F,4,FALSE))=0, "", IF(B9="", "", VLOOKUP(B9,'API Data Dictionary'!C:F,4,FALSE)))</f>
        <v>DD/MM/YYYY</v>
      </c>
      <c r="G9" s="62" t="str">
        <f>IF(IF(B9="", "", VLOOKUP(B9,'API Data Dictionary'!C:G,5,FALSE))=0, "", IF(B9="", "", VLOOKUP(B9,'API Data Dictionary'!C:G,5,FALSE)))</f>
        <v>Estimated date of tenancy start (move in)</v>
      </c>
    </row>
    <row r="10" spans="1:7" x14ac:dyDescent="0.35">
      <c r="A10" s="64" t="s">
        <v>1099</v>
      </c>
      <c r="B10" s="62" t="str">
        <f t="shared" si="1"/>
        <v>propertyType</v>
      </c>
      <c r="C10" s="62" t="str">
        <f>IF(B10="", "", VLOOKUP(B10,'API Data Dictionary'!C:AL,36,FALSE))</f>
        <v>X</v>
      </c>
      <c r="D10" s="62" t="str">
        <f>IF(B10="", "", VLOOKUP(B10,'API Data Dictionary'!C:D,2,FALSE))</f>
        <v>enum - Property Type</v>
      </c>
      <c r="E10" s="62" t="str">
        <f>IF(IF(B10="", "", VLOOKUP(B10,'API Data Dictionary'!C:E,3,FALSE))=0, "", IF(B10="", "", VLOOKUP(B10,'API Data Dictionary'!C:E,3,FALSE)))</f>
        <v/>
      </c>
      <c r="F10" s="62" t="str">
        <f>IF(IF(B10="", "", VLOOKUP(B10,'API Data Dictionary'!C:F,4,FALSE))=0, "", IF(B10="", "", VLOOKUP(B10,'API Data Dictionary'!C:F,4,FALSE)))</f>
        <v>Valid Values 1-6 (See enum definition)</v>
      </c>
      <c r="G10" s="62" t="str">
        <f>IF(IF(B10="", "", VLOOKUP(B10,'API Data Dictionary'!C:G,5,FALSE))=0, "", IF(B10="", "", VLOOKUP(B10,'API Data Dictionary'!C:G,5,FALSE)))</f>
        <v xml:space="preserve">The Type of property </v>
      </c>
    </row>
    <row r="11" spans="1:7" x14ac:dyDescent="0.35">
      <c r="A11" s="64" t="s">
        <v>1295</v>
      </c>
      <c r="B11" s="62" t="str">
        <f t="shared" si="1"/>
        <v>propertyConstructionPeriod</v>
      </c>
      <c r="C11" s="62" t="str">
        <f>IF(B11="", "", VLOOKUP(B11,'API Data Dictionary'!C:AL,36,FALSE))</f>
        <v>X</v>
      </c>
      <c r="D11" s="62" t="str">
        <f>IF(B11="", "", VLOOKUP(B11,'API Data Dictionary'!C:D,2,FALSE))</f>
        <v>enum - Property Construction Period</v>
      </c>
      <c r="E11" s="62" t="str">
        <f>IF(IF(B11="", "", VLOOKUP(B11,'API Data Dictionary'!C:E,3,FALSE))=0, "", IF(B11="", "", VLOOKUP(B11,'API Data Dictionary'!C:E,3,FALSE)))</f>
        <v/>
      </c>
      <c r="F11" s="62" t="str">
        <f>IF(IF(B11="", "", VLOOKUP(B11,'API Data Dictionary'!C:F,4,FALSE))=0, "", IF(B11="", "", VLOOKUP(B11,'API Data Dictionary'!C:F,4,FALSE)))</f>
        <v>Valid Values 1-9 (See enum definition)</v>
      </c>
      <c r="G11" s="62" t="str">
        <f>IF(IF(B11="", "", VLOOKUP(B11,'API Data Dictionary'!C:G,5,FALSE))=0, "", IF(B11="", "", VLOOKUP(B11,'API Data Dictionary'!C:G,5,FALSE)))</f>
        <v>The time period in which the property was built</v>
      </c>
    </row>
    <row r="12" spans="1:7" x14ac:dyDescent="0.35">
      <c r="A12" s="64" t="s">
        <v>1100</v>
      </c>
      <c r="B12" s="62" t="str">
        <f t="shared" si="1"/>
        <v>numberOfBedrooms</v>
      </c>
      <c r="C12" s="62" t="str">
        <f>IF(B12="", "", VLOOKUP(B12,'API Data Dictionary'!C:AL,36,FALSE))</f>
        <v>X</v>
      </c>
      <c r="D12" s="62" t="str">
        <f>IF(B12="", "", VLOOKUP(B12,'API Data Dictionary'!C:D,2,FALSE))</f>
        <v>integer</v>
      </c>
      <c r="E12" s="62" t="str">
        <f>IF(IF(B12="", "", VLOOKUP(B12,'API Data Dictionary'!C:E,3,FALSE))=0, "", IF(B12="", "", VLOOKUP(B12,'API Data Dictionary'!C:E,3,FALSE)))</f>
        <v/>
      </c>
      <c r="F12" s="62" t="str">
        <f>IF(IF(B12="", "", VLOOKUP(B12,'API Data Dictionary'!C:F,4,FALSE))=0, "", IF(B12="", "", VLOOKUP(B12,'API Data Dictionary'!C:F,4,FALSE)))</f>
        <v/>
      </c>
      <c r="G12" s="62" t="str">
        <f>IF(IF(B12="", "", VLOOKUP(B12,'API Data Dictionary'!C:G,5,FALSE))=0, "", IF(B12="", "", VLOOKUP(B12,'API Data Dictionary'!C:G,5,FALSE)))</f>
        <v>The count of bedrooms in the property</v>
      </c>
    </row>
    <row r="13" spans="1:7" x14ac:dyDescent="0.35">
      <c r="A13" s="64" t="s">
        <v>1101</v>
      </c>
      <c r="B13" s="62" t="str">
        <f t="shared" si="1"/>
        <v>noOfAdultOccupants</v>
      </c>
      <c r="C13" s="62" t="str">
        <f>IF(B13="", "", VLOOKUP(B13,'API Data Dictionary'!C:AL,36,FALSE))</f>
        <v>X</v>
      </c>
      <c r="D13" s="62" t="str">
        <f>IF(B13="", "", VLOOKUP(B13,'API Data Dictionary'!C:D,2,FALSE))</f>
        <v>integer</v>
      </c>
      <c r="E13" s="62" t="str">
        <f>IF(IF(B13="", "", VLOOKUP(B13,'API Data Dictionary'!C:E,3,FALSE))=0, "", IF(B13="", "", VLOOKUP(B13,'API Data Dictionary'!C:E,3,FALSE)))</f>
        <v/>
      </c>
      <c r="F13" s="62" t="str">
        <f>IF(IF(B13="", "", VLOOKUP(B13,'API Data Dictionary'!C:F,4,FALSE))=0, "", IF(B13="", "", VLOOKUP(B13,'API Data Dictionary'!C:F,4,FALSE)))</f>
        <v/>
      </c>
      <c r="G13" s="62" t="str">
        <f>IF(IF(B13="", "", VLOOKUP(B13,'API Data Dictionary'!C:G,5,FALSE))=0, "", IF(B13="", "", VLOOKUP(B13,'API Data Dictionary'!C:G,5,FALSE)))</f>
        <v>Number of Adult occupants (18 or over)</v>
      </c>
    </row>
    <row r="14" spans="1:7" x14ac:dyDescent="0.35">
      <c r="A14" s="64" t="s">
        <v>1102</v>
      </c>
      <c r="B14" s="62" t="str">
        <f t="shared" si="1"/>
        <v>noOfChildOccupants</v>
      </c>
      <c r="C14" s="62" t="str">
        <f>IF(B14="", "", VLOOKUP(B14,'API Data Dictionary'!C:AL,36,FALSE))</f>
        <v>X</v>
      </c>
      <c r="D14" s="62" t="str">
        <f>IF(B14="", "", VLOOKUP(B14,'API Data Dictionary'!C:D,2,FALSE))</f>
        <v>integer</v>
      </c>
      <c r="E14" s="62" t="str">
        <f>IF(IF(B14="", "", VLOOKUP(B14,'API Data Dictionary'!C:E,3,FALSE))=0, "", IF(B14="", "", VLOOKUP(B14,'API Data Dictionary'!C:E,3,FALSE)))</f>
        <v/>
      </c>
      <c r="F14" s="62" t="str">
        <f>IF(IF(B14="", "", VLOOKUP(B14,'API Data Dictionary'!C:F,4,FALSE))=0, "", IF(B14="", "", VLOOKUP(B14,'API Data Dictionary'!C:F,4,FALSE)))</f>
        <v/>
      </c>
      <c r="G14" s="62" t="str">
        <f>IF(IF(B14="", "", VLOOKUP(B14,'API Data Dictionary'!C:G,5,FALSE))=0, "", IF(B14="", "", VLOOKUP(B14,'API Data Dictionary'!C:G,5,FALSE)))</f>
        <v>Number of Child Occupants (under 18)</v>
      </c>
    </row>
    <row r="15" spans="1:7" x14ac:dyDescent="0.35">
      <c r="A15" s="64" t="s">
        <v>1103</v>
      </c>
      <c r="B15" s="62" t="str">
        <f t="shared" si="1"/>
        <v/>
      </c>
      <c r="C15" s="62" t="str">
        <f>IF(B15="", "", VLOOKUP(B15,'API Data Dictionary'!C:AL,36,FALSE))</f>
        <v/>
      </c>
      <c r="D15" s="62" t="str">
        <f>IF(B15="", "", VLOOKUP(B15,'API Data Dictionary'!C:D,2,FALSE))</f>
        <v/>
      </c>
      <c r="E15" s="62" t="str">
        <f>IF(IF(B15="", "", VLOOKUP(B15,'API Data Dictionary'!C:E,3,FALSE))=0, "", IF(B15="", "", VLOOKUP(B15,'API Data Dictionary'!C:E,3,FALSE)))</f>
        <v/>
      </c>
      <c r="F15" s="62" t="str">
        <f>IF(IF(B15="", "", VLOOKUP(B15,'API Data Dictionary'!C:F,4,FALSE))=0, "", IF(B15="", "", VLOOKUP(B15,'API Data Dictionary'!C:F,4,FALSE)))</f>
        <v/>
      </c>
      <c r="G15" s="62" t="str">
        <f>IF(IF(B15="", "", VLOOKUP(B15,'API Data Dictionary'!C:G,5,FALSE))=0, "", IF(B15="", "", VLOOKUP(B15,'API Data Dictionary'!C:G,5,FALSE)))</f>
        <v/>
      </c>
    </row>
    <row r="16" spans="1:7" x14ac:dyDescent="0.35">
      <c r="A16" s="64" t="s">
        <v>1296</v>
      </c>
      <c r="B16" s="62" t="str">
        <f t="shared" si="1"/>
        <v>houseNumber</v>
      </c>
      <c r="C16" s="62" t="str">
        <f>IF(B16="", "", VLOOKUP(B16,'API Data Dictionary'!C:AL,36,FALSE))</f>
        <v>X</v>
      </c>
      <c r="D16" s="62" t="str">
        <f>IF(B16="", "", VLOOKUP(B16,'API Data Dictionary'!C:D,2,FALSE))</f>
        <v>string</v>
      </c>
      <c r="E16" s="62">
        <f>IF(IF(B16="", "", VLOOKUP(B16,'API Data Dictionary'!C:E,3,FALSE))=0, "", IF(B16="", "", VLOOKUP(B16,'API Data Dictionary'!C:E,3,FALSE)))</f>
        <v>100</v>
      </c>
      <c r="F16" s="62" t="str">
        <f>IF(IF(B16="", "", VLOOKUP(B16,'API Data Dictionary'!C:F,4,FALSE))=0, "", IF(B16="", "", VLOOKUP(B16,'API Data Dictionary'!C:F,4,FALSE)))</f>
        <v/>
      </c>
      <c r="G16" s="62" t="str">
        <f>IF(IF(B16="", "", VLOOKUP(B16,'API Data Dictionary'!C:G,5,FALSE))=0, "", IF(B16="", "", VLOOKUP(B16,'API Data Dictionary'!C:G,5,FALSE)))</f>
        <v xml:space="preserve">The number of the property, mandatory OR pair with House name field </v>
      </c>
    </row>
    <row r="17" spans="1:7" x14ac:dyDescent="0.35">
      <c r="A17" s="64" t="s">
        <v>1297</v>
      </c>
      <c r="B17" s="62" t="str">
        <f t="shared" si="1"/>
        <v>houseName</v>
      </c>
      <c r="C17" s="62" t="str">
        <f>IF(B17="", "", VLOOKUP(B17,'API Data Dictionary'!C:AL,36,FALSE))</f>
        <v>M</v>
      </c>
      <c r="D17" s="62" t="str">
        <f>IF(B17="", "", VLOOKUP(B17,'API Data Dictionary'!C:D,2,FALSE))</f>
        <v>string</v>
      </c>
      <c r="E17" s="62">
        <f>IF(IF(B17="", "", VLOOKUP(B17,'API Data Dictionary'!C:E,3,FALSE))=0, "", IF(B17="", "", VLOOKUP(B17,'API Data Dictionary'!C:E,3,FALSE)))</f>
        <v>100</v>
      </c>
      <c r="F17" s="62" t="str">
        <f>IF(IF(B17="", "", VLOOKUP(B17,'API Data Dictionary'!C:F,4,FALSE))=0, "", IF(B17="", "", VLOOKUP(B17,'API Data Dictionary'!C:F,4,FALSE)))</f>
        <v/>
      </c>
      <c r="G17" s="62" t="str">
        <f>IF(IF(B17="", "", VLOOKUP(B17,'API Data Dictionary'!C:G,5,FALSE))=0, "", IF(B17="", "", VLOOKUP(B17,'API Data Dictionary'!C:G,5,FALSE)))</f>
        <v xml:space="preserve">The name of the property, mandatory OR pair with House number field </v>
      </c>
    </row>
    <row r="18" spans="1:7" x14ac:dyDescent="0.35">
      <c r="A18" s="64" t="s">
        <v>1298</v>
      </c>
      <c r="B18" s="62" t="str">
        <f t="shared" si="1"/>
        <v>addressLine1</v>
      </c>
      <c r="C18" s="62" t="str">
        <f>IF(B18="", "", VLOOKUP(B18,'API Data Dictionary'!C:AL,36,FALSE))</f>
        <v>M</v>
      </c>
      <c r="D18" s="62" t="str">
        <f>IF(B18="", "", VLOOKUP(B18,'API Data Dictionary'!C:D,2,FALSE))</f>
        <v>string</v>
      </c>
      <c r="E18" s="62">
        <f>IF(IF(B18="", "", VLOOKUP(B18,'API Data Dictionary'!C:E,3,FALSE))=0, "", IF(B18="", "", VLOOKUP(B18,'API Data Dictionary'!C:E,3,FALSE)))</f>
        <v>100</v>
      </c>
      <c r="F18" s="62" t="str">
        <f>IF(IF(B18="", "", VLOOKUP(B18,'API Data Dictionary'!C:F,4,FALSE))=0, "", IF(B18="", "", VLOOKUP(B18,'API Data Dictionary'!C:F,4,FALSE)))</f>
        <v/>
      </c>
      <c r="G18" s="62" t="str">
        <f>IF(IF(B18="", "", VLOOKUP(B18,'API Data Dictionary'!C:G,5,FALSE))=0, "", IF(B18="", "", VLOOKUP(B18,'API Data Dictionary'!C:G,5,FALSE)))</f>
        <v>The first line of the property address</v>
      </c>
    </row>
    <row r="19" spans="1:7" x14ac:dyDescent="0.35">
      <c r="A19" s="64" t="s">
        <v>1299</v>
      </c>
      <c r="B19" s="62" t="str">
        <f t="shared" si="1"/>
        <v>addressLine2</v>
      </c>
      <c r="C19" s="62" t="str">
        <f>IF(B19="", "", VLOOKUP(B19,'API Data Dictionary'!C:AL,36,FALSE))</f>
        <v>X</v>
      </c>
      <c r="D19" s="62" t="str">
        <f>IF(B19="", "", VLOOKUP(B19,'API Data Dictionary'!C:D,2,FALSE))</f>
        <v>string</v>
      </c>
      <c r="E19" s="62">
        <f>IF(IF(B19="", "", VLOOKUP(B19,'API Data Dictionary'!C:E,3,FALSE))=0, "", IF(B19="", "", VLOOKUP(B19,'API Data Dictionary'!C:E,3,FALSE)))</f>
        <v>100</v>
      </c>
      <c r="F19" s="62" t="str">
        <f>IF(IF(B19="", "", VLOOKUP(B19,'API Data Dictionary'!C:F,4,FALSE))=0, "", IF(B19="", "", VLOOKUP(B19,'API Data Dictionary'!C:F,4,FALSE)))</f>
        <v/>
      </c>
      <c r="G19" s="62" t="str">
        <f>IF(IF(B19="", "", VLOOKUP(B19,'API Data Dictionary'!C:G,5,FALSE))=0, "", IF(B19="", "", VLOOKUP(B19,'API Data Dictionary'!C:G,5,FALSE)))</f>
        <v>The second line of the property address</v>
      </c>
    </row>
    <row r="20" spans="1:7" x14ac:dyDescent="0.35">
      <c r="A20" s="64" t="s">
        <v>1300</v>
      </c>
      <c r="B20" s="62" t="str">
        <f t="shared" si="1"/>
        <v>town</v>
      </c>
      <c r="C20" s="62" t="str">
        <f>IF(B20="", "", VLOOKUP(B20,'API Data Dictionary'!C:AL,36,FALSE))</f>
        <v>M</v>
      </c>
      <c r="D20" s="62" t="str">
        <f>IF(B20="", "", VLOOKUP(B20,'API Data Dictionary'!C:D,2,FALSE))</f>
        <v>string</v>
      </c>
      <c r="E20" s="62">
        <f>IF(IF(B20="", "", VLOOKUP(B20,'API Data Dictionary'!C:E,3,FALSE))=0, "", IF(B20="", "", VLOOKUP(B20,'API Data Dictionary'!C:E,3,FALSE)))</f>
        <v>50</v>
      </c>
      <c r="F20" s="62" t="str">
        <f>IF(IF(B20="", "", VLOOKUP(B20,'API Data Dictionary'!C:F,4,FALSE))=0, "", IF(B20="", "", VLOOKUP(B20,'API Data Dictionary'!C:F,4,FALSE)))</f>
        <v/>
      </c>
      <c r="G20" s="62" t="str">
        <f>IF(IF(B20="", "", VLOOKUP(B20,'API Data Dictionary'!C:G,5,FALSE))=0, "", IF(B20="", "", VLOOKUP(B20,'API Data Dictionary'!C:G,5,FALSE)))</f>
        <v>The town in which the property exists</v>
      </c>
    </row>
    <row r="21" spans="1:7" x14ac:dyDescent="0.35">
      <c r="A21" s="64" t="s">
        <v>1301</v>
      </c>
      <c r="B21" s="62" t="str">
        <f t="shared" si="1"/>
        <v>postcode</v>
      </c>
      <c r="C21" s="62" t="str">
        <f>IF(B21="", "", VLOOKUP(B21,'API Data Dictionary'!C:AL,36,FALSE))</f>
        <v>M</v>
      </c>
      <c r="D21" s="62" t="str">
        <f>IF(B21="", "", VLOOKUP(B21,'API Data Dictionary'!C:D,2,FALSE))</f>
        <v>string</v>
      </c>
      <c r="E21" s="62">
        <f>IF(IF(B21="", "", VLOOKUP(B21,'API Data Dictionary'!C:E,3,FALSE))=0, "", IF(B21="", "", VLOOKUP(B21,'API Data Dictionary'!C:E,3,FALSE)))</f>
        <v>50</v>
      </c>
      <c r="F21" s="62" t="str">
        <f>IF(IF(B21="", "", VLOOKUP(B21,'API Data Dictionary'!C:F,4,FALSE))=0, "", IF(B21="", "", VLOOKUP(B21,'API Data Dictionary'!C:F,4,FALSE)))</f>
        <v/>
      </c>
      <c r="G21" s="62" t="str">
        <f>IF(IF(B21="", "", VLOOKUP(B21,'API Data Dictionary'!C:G,5,FALSE))=0, "", IF(B21="", "", VLOOKUP(B21,'API Data Dictionary'!C:G,5,FALSE)))</f>
        <v>the postcode of the property</v>
      </c>
    </row>
    <row r="22" spans="1:7" x14ac:dyDescent="0.35">
      <c r="A22" s="64" t="s">
        <v>1104</v>
      </c>
      <c r="B22" s="62" t="str">
        <f t="shared" si="1"/>
        <v>ukCountryCode</v>
      </c>
      <c r="C22" s="62" t="str">
        <f>IF(B22="", "", VLOOKUP(B22,'API Data Dictionary'!C:AL,36,FALSE))</f>
        <v>M</v>
      </c>
      <c r="D22" s="62" t="str">
        <f>IF(B22="", "", VLOOKUP(B22,'API Data Dictionary'!C:D,2,FALSE))</f>
        <v>enum - UK Country List</v>
      </c>
      <c r="E22" s="62" t="str">
        <f>IF(IF(B22="", "", VLOOKUP(B22,'API Data Dictionary'!C:E,3,FALSE))=0, "", IF(B22="", "", VLOOKUP(B22,'API Data Dictionary'!C:E,3,FALSE)))</f>
        <v/>
      </c>
      <c r="F22" s="62" t="str">
        <f>IF(IF(B22="", "", VLOOKUP(B22,'API Data Dictionary'!C:F,4,FALSE))=0, "", IF(B22="", "", VLOOKUP(B22,'API Data Dictionary'!C:F,4,FALSE)))</f>
        <v>Valid Values 1-4 (See enum definition)</v>
      </c>
      <c r="G22" s="62" t="str">
        <f>IF(IF(B22="", "", VLOOKUP(B22,'API Data Dictionary'!C:G,5,FALSE))=0, "", IF(B22="", "", VLOOKUP(B22,'API Data Dictionary'!C:G,5,FALSE)))</f>
        <v xml:space="preserve">The UK country Code </v>
      </c>
    </row>
    <row r="23" spans="1:7" x14ac:dyDescent="0.35">
      <c r="A23" s="64" t="s">
        <v>1105</v>
      </c>
      <c r="B23" s="62" t="str">
        <f t="shared" si="1"/>
        <v/>
      </c>
      <c r="C23" s="62" t="str">
        <f>IF(B23="", "", VLOOKUP(B23,'API Data Dictionary'!C:AL,36,FALSE))</f>
        <v/>
      </c>
      <c r="D23" s="62" t="str">
        <f>IF(B23="", "", VLOOKUP(B23,'API Data Dictionary'!C:D,2,FALSE))</f>
        <v/>
      </c>
      <c r="E23" s="62" t="str">
        <f>IF(IF(B23="", "", VLOOKUP(B23,'API Data Dictionary'!C:E,3,FALSE))=0, "", IF(B23="", "", VLOOKUP(B23,'API Data Dictionary'!C:E,3,FALSE)))</f>
        <v/>
      </c>
      <c r="F23" s="62" t="str">
        <f>IF(IF(B23="", "", VLOOKUP(B23,'API Data Dictionary'!C:F,4,FALSE))=0, "", IF(B23="", "", VLOOKUP(B23,'API Data Dictionary'!C:F,4,FALSE)))</f>
        <v/>
      </c>
      <c r="G23" s="62" t="str">
        <f>IF(IF(B23="", "", VLOOKUP(B23,'API Data Dictionary'!C:G,5,FALSE))=0, "", IF(B23="", "", VLOOKUP(B23,'API Data Dictionary'!C:G,5,FALSE)))</f>
        <v/>
      </c>
    </row>
    <row r="24" spans="1:7" x14ac:dyDescent="0.35">
      <c r="A24" s="64" t="s">
        <v>1302</v>
      </c>
      <c r="B24" s="62" t="str">
        <f t="shared" si="1"/>
        <v/>
      </c>
      <c r="C24" s="62" t="str">
        <f>IF(B24="", "", VLOOKUP(B24,'API Data Dictionary'!C:AL,36,FALSE))</f>
        <v/>
      </c>
      <c r="D24" s="62" t="str">
        <f>IF(B24="", "", VLOOKUP(B24,'API Data Dictionary'!C:D,2,FALSE))</f>
        <v/>
      </c>
      <c r="E24" s="62" t="str">
        <f>IF(IF(B24="", "", VLOOKUP(B24,'API Data Dictionary'!C:E,3,FALSE))=0, "", IF(B24="", "", VLOOKUP(B24,'API Data Dictionary'!C:E,3,FALSE)))</f>
        <v/>
      </c>
      <c r="F24" s="62" t="str">
        <f>IF(IF(B24="", "", VLOOKUP(B24,'API Data Dictionary'!C:F,4,FALSE))=0, "", IF(B24="", "", VLOOKUP(B24,'API Data Dictionary'!C:F,4,FALSE)))</f>
        <v/>
      </c>
      <c r="G24" s="62" t="str">
        <f>IF(IF(B24="", "", VLOOKUP(B24,'API Data Dictionary'!C:G,5,FALSE))=0, "", IF(B24="", "", VLOOKUP(B24,'API Data Dictionary'!C:G,5,FALSE)))</f>
        <v/>
      </c>
    </row>
    <row r="25" spans="1:7" x14ac:dyDescent="0.35">
      <c r="A25" s="64" t="s">
        <v>1303</v>
      </c>
      <c r="B25" s="62" t="str">
        <f t="shared" si="1"/>
        <v>companyRegistrationNumber</v>
      </c>
      <c r="C25" s="62" t="str">
        <f>IF(B25="", "", VLOOKUP(B25,'API Data Dictionary'!C:AL,36,FALSE))</f>
        <v>M</v>
      </c>
      <c r="D25" s="62" t="str">
        <f>IF(B25="", "", VLOOKUP(B25,'API Data Dictionary'!C:D,2,FALSE))</f>
        <v>string</v>
      </c>
      <c r="E25" s="62">
        <f>IF(IF(B25="", "", VLOOKUP(B25,'API Data Dictionary'!C:E,3,FALSE))=0, "", IF(B25="", "", VLOOKUP(B25,'API Data Dictionary'!C:E,3,FALSE)))</f>
        <v>100</v>
      </c>
      <c r="F25" s="62" t="str">
        <f>IF(IF(B25="", "", VLOOKUP(B25,'API Data Dictionary'!C:F,4,FALSE))=0, "", IF(B25="", "", VLOOKUP(B25,'API Data Dictionary'!C:F,4,FALSE)))</f>
        <v/>
      </c>
      <c r="G25" s="62" t="str">
        <f>IF(IF(B25="", "", VLOOKUP(B25,'API Data Dictionary'!C:G,5,FALSE))=0, "", IF(B25="", "", VLOOKUP(B25,'API Data Dictionary'!C:G,5,FALSE)))</f>
        <v>Registration number of the company</v>
      </c>
    </row>
    <row r="26" spans="1:7" x14ac:dyDescent="0.35">
      <c r="A26" s="64" t="s">
        <v>1304</v>
      </c>
      <c r="B26" s="62" t="str">
        <f t="shared" si="1"/>
        <v>companyName</v>
      </c>
      <c r="C26" s="62" t="str">
        <f>IF(B26="", "", VLOOKUP(B26,'API Data Dictionary'!C:AL,36,FALSE))</f>
        <v>M</v>
      </c>
      <c r="D26" s="62" t="str">
        <f>IF(B26="", "", VLOOKUP(B26,'API Data Dictionary'!C:D,2,FALSE))</f>
        <v>string</v>
      </c>
      <c r="E26" s="62">
        <f>IF(IF(B26="", "", VLOOKUP(B26,'API Data Dictionary'!C:E,3,FALSE))=0, "", IF(B26="", "", VLOOKUP(B26,'API Data Dictionary'!C:E,3,FALSE)))</f>
        <v>100</v>
      </c>
      <c r="F26" s="62" t="str">
        <f>IF(IF(B26="", "", VLOOKUP(B26,'API Data Dictionary'!C:F,4,FALSE))=0, "", IF(B26="", "", VLOOKUP(B26,'API Data Dictionary'!C:F,4,FALSE)))</f>
        <v/>
      </c>
      <c r="G26" s="62" t="str">
        <f>IF(IF(B26="", "", VLOOKUP(B26,'API Data Dictionary'!C:G,5,FALSE))=0, "", IF(B26="", "", VLOOKUP(B26,'API Data Dictionary'!C:G,5,FALSE)))</f>
        <v>Name of the company</v>
      </c>
    </row>
    <row r="27" spans="1:7" x14ac:dyDescent="0.35">
      <c r="A27" s="64" t="s">
        <v>1305</v>
      </c>
      <c r="B27" s="62" t="str">
        <f t="shared" si="1"/>
        <v>incorporationDate</v>
      </c>
      <c r="C27" s="62" t="str">
        <f>IF(B27="", "", VLOOKUP(B27,'API Data Dictionary'!C:AL,36,FALSE))</f>
        <v>M</v>
      </c>
      <c r="D27" s="62" t="str">
        <f>IF(B27="", "", VLOOKUP(B27,'API Data Dictionary'!C:D,2,FALSE))</f>
        <v>string ($date-time)</v>
      </c>
      <c r="E27" s="62" t="str">
        <f>IF(IF(B27="", "", VLOOKUP(B27,'API Data Dictionary'!C:E,3,FALSE))=0, "", IF(B27="", "", VLOOKUP(B27,'API Data Dictionary'!C:E,3,FALSE)))</f>
        <v/>
      </c>
      <c r="F27" s="62" t="str">
        <f>IF(IF(B27="", "", VLOOKUP(B27,'API Data Dictionary'!C:F,4,FALSE))=0, "", IF(B27="", "", VLOOKUP(B27,'API Data Dictionary'!C:F,4,FALSE)))</f>
        <v>DD/MM/YYYY</v>
      </c>
      <c r="G27" s="62" t="str">
        <f>IF(IF(B27="", "", VLOOKUP(B27,'API Data Dictionary'!C:G,5,FALSE))=0, "", IF(B27="", "", VLOOKUP(B27,'API Data Dictionary'!C:G,5,FALSE)))</f>
        <v>Incorperation date of the company, formatted DD-MM-YYYY</v>
      </c>
    </row>
    <row r="28" spans="1:7" x14ac:dyDescent="0.35">
      <c r="A28" s="64" t="s">
        <v>1306</v>
      </c>
      <c r="B28" s="62" t="str">
        <f t="shared" si="1"/>
        <v>title</v>
      </c>
      <c r="C28" s="62" t="s">
        <v>68</v>
      </c>
      <c r="D28" s="62" t="str">
        <f>IF(B28="", "", VLOOKUP(B28,'API Data Dictionary'!C:D,2,FALSE))</f>
        <v>enum - Title</v>
      </c>
      <c r="E28" s="62" t="str">
        <f>IF(IF(B28="", "", VLOOKUP(B28,'API Data Dictionary'!C:E,3,FALSE))=0, "", IF(B28="", "", VLOOKUP(B28,'API Data Dictionary'!C:E,3,FALSE)))</f>
        <v/>
      </c>
      <c r="F28" s="62" t="str">
        <f>IF(IF(B28="", "", VLOOKUP(B28,'API Data Dictionary'!C:F,4,FALSE))=0, "", IF(B28="", "", VLOOKUP(B28,'API Data Dictionary'!C:F,4,FALSE)))</f>
        <v>Valid Values 1-7 (See enum definition)</v>
      </c>
      <c r="G28" s="62" t="str">
        <f>IF(IF(B28="", "", VLOOKUP(B28,'API Data Dictionary'!C:G,5,FALSE))=0, "", IF(B28="", "", VLOOKUP(B28,'API Data Dictionary'!C:G,5,FALSE)))</f>
        <v>The persons title, e.g. Mr, Mrs, etc.</v>
      </c>
    </row>
    <row r="29" spans="1:7" x14ac:dyDescent="0.35">
      <c r="A29" s="64" t="s">
        <v>1307</v>
      </c>
      <c r="B29" s="62" t="str">
        <f t="shared" si="1"/>
        <v>otherTitle</v>
      </c>
      <c r="C29" s="62" t="s">
        <v>66</v>
      </c>
      <c r="D29" s="62" t="str">
        <f>IF(B29="", "", VLOOKUP(B29,'API Data Dictionary'!C:D,2,FALSE))</f>
        <v>string</v>
      </c>
      <c r="E29" s="62">
        <f>IF(IF(B29="", "", VLOOKUP(B29,'API Data Dictionary'!C:E,3,FALSE))=0, "", IF(B29="", "", VLOOKUP(B29,'API Data Dictionary'!C:E,3,FALSE)))</f>
        <v>100</v>
      </c>
      <c r="F29" s="62" t="str">
        <f>IF(IF(B29="", "", VLOOKUP(B29,'API Data Dictionary'!C:F,4,FALSE))=0, "", IF(B29="", "", VLOOKUP(B29,'API Data Dictionary'!C:F,4,FALSE)))</f>
        <v/>
      </c>
      <c r="G29" s="62" t="str">
        <f>IF(IF(B29="", "", VLOOKUP(B29,'API Data Dictionary'!C:G,5,FALSE))=0, "", IF(B29="", "", VLOOKUP(B29,'API Data Dictionary'!C:G,5,FALSE)))</f>
        <v>If other is chosen for title, this is a text field to enter the specific title</v>
      </c>
    </row>
    <row r="30" spans="1:7" x14ac:dyDescent="0.35">
      <c r="A30" s="64" t="s">
        <v>1308</v>
      </c>
      <c r="B30" s="62" t="str">
        <f t="shared" si="1"/>
        <v>firstName</v>
      </c>
      <c r="C30" s="62" t="s">
        <v>68</v>
      </c>
      <c r="D30" s="62" t="str">
        <f>IF(B30="", "", VLOOKUP(B30,'API Data Dictionary'!C:D,2,FALSE))</f>
        <v>string</v>
      </c>
      <c r="E30" s="62">
        <f>IF(IF(B30="", "", VLOOKUP(B30,'API Data Dictionary'!C:E,3,FALSE))=0, "", IF(B30="", "", VLOOKUP(B30,'API Data Dictionary'!C:E,3,FALSE)))</f>
        <v>100</v>
      </c>
      <c r="F30" s="62" t="str">
        <f>IF(IF(B30="", "", VLOOKUP(B30,'API Data Dictionary'!C:F,4,FALSE))=0, "", IF(B30="", "", VLOOKUP(B30,'API Data Dictionary'!C:F,4,FALSE)))</f>
        <v>pattern: ^[a-zA-Z0-9\-' ]*$</v>
      </c>
      <c r="G30" s="62" t="str">
        <f>IF(IF(B30="", "", VLOOKUP(B30,'API Data Dictionary'!C:G,5,FALSE))=0, "", IF(B30="", "", VLOOKUP(B30,'API Data Dictionary'!C:G,5,FALSE)))</f>
        <v>First name, validated against the RegEx pattern</v>
      </c>
    </row>
    <row r="31" spans="1:7" x14ac:dyDescent="0.35">
      <c r="A31" s="64" t="s">
        <v>1309</v>
      </c>
      <c r="B31" s="62" t="str">
        <f t="shared" si="1"/>
        <v>middleName</v>
      </c>
      <c r="C31" s="62" t="s">
        <v>66</v>
      </c>
      <c r="D31" s="62" t="str">
        <f>IF(B31="", "", VLOOKUP(B31,'API Data Dictionary'!C:D,2,FALSE))</f>
        <v>string</v>
      </c>
      <c r="E31" s="62">
        <f>IF(IF(B31="", "", VLOOKUP(B31,'API Data Dictionary'!C:E,3,FALSE))=0, "", IF(B31="", "", VLOOKUP(B31,'API Data Dictionary'!C:E,3,FALSE)))</f>
        <v>50</v>
      </c>
      <c r="F31" s="62" t="str">
        <f>IF(IF(B31="", "", VLOOKUP(B31,'API Data Dictionary'!C:F,4,FALSE))=0, "", IF(B31="", "", VLOOKUP(B31,'API Data Dictionary'!C:F,4,FALSE)))</f>
        <v>pattern: ^[a-zA-Z0-9\-' ]*$</v>
      </c>
      <c r="G31" s="62" t="str">
        <f>IF(IF(B31="", "", VLOOKUP(B31,'API Data Dictionary'!C:G,5,FALSE))=0, "", IF(B31="", "", VLOOKUP(B31,'API Data Dictionary'!C:G,5,FALSE)))</f>
        <v>Middle name, validated against the RegEx pattern</v>
      </c>
    </row>
    <row r="32" spans="1:7" x14ac:dyDescent="0.35">
      <c r="A32" s="64" t="s">
        <v>1310</v>
      </c>
      <c r="B32" s="62" t="str">
        <f t="shared" si="1"/>
        <v>surname</v>
      </c>
      <c r="C32" s="62" t="s">
        <v>68</v>
      </c>
      <c r="D32" s="62" t="str">
        <f>IF(B32="", "", VLOOKUP(B32,'API Data Dictionary'!C:D,2,FALSE))</f>
        <v>string</v>
      </c>
      <c r="E32" s="62">
        <f>IF(IF(B32="", "", VLOOKUP(B32,'API Data Dictionary'!C:E,3,FALSE))=0, "", IF(B32="", "", VLOOKUP(B32,'API Data Dictionary'!C:E,3,FALSE)))</f>
        <v>100</v>
      </c>
      <c r="F32" s="62" t="str">
        <f>IF(IF(B32="", "", VLOOKUP(B32,'API Data Dictionary'!C:F,4,FALSE))=0, "", IF(B32="", "", VLOOKUP(B32,'API Data Dictionary'!C:F,4,FALSE)))</f>
        <v>pattern: ^[a-zA-Z0-9\-' ]*$</v>
      </c>
      <c r="G32" s="62" t="str">
        <f>IF(IF(B32="", "", VLOOKUP(B32,'API Data Dictionary'!C:G,5,FALSE))=0, "", IF(B32="", "", VLOOKUP(B32,'API Data Dictionary'!C:G,5,FALSE)))</f>
        <v>Surname name, validated against the RegEx pattern</v>
      </c>
    </row>
    <row r="33" spans="1:7" x14ac:dyDescent="0.35">
      <c r="A33" s="64" t="s">
        <v>1311</v>
      </c>
      <c r="B33" s="62" t="str">
        <f t="shared" si="1"/>
        <v>companyPositionId</v>
      </c>
      <c r="C33" s="62" t="s">
        <v>68</v>
      </c>
      <c r="D33" s="62" t="str">
        <f>IF(B33="", "", VLOOKUP(B33,'API Data Dictionary'!C:D,2,FALSE))</f>
        <v>enum - Company Position</v>
      </c>
      <c r="E33" s="62" t="str">
        <f>IF(IF(B33="", "", VLOOKUP(B33,'API Data Dictionary'!C:E,3,FALSE))=0, "", IF(B33="", "", VLOOKUP(B33,'API Data Dictionary'!C:E,3,FALSE)))</f>
        <v/>
      </c>
      <c r="F33" s="62" t="str">
        <f>IF(IF(B33="", "", VLOOKUP(B33,'API Data Dictionary'!C:F,4,FALSE))=0, "", IF(B33="", "", VLOOKUP(B33,'API Data Dictionary'!C:F,4,FALSE)))</f>
        <v/>
      </c>
      <c r="G33" s="62" t="str">
        <f>IF(IF(B33="", "", VLOOKUP(B33,'API Data Dictionary'!C:G,5,FALSE))=0, "", IF(B33="", "", VLOOKUP(B33,'API Data Dictionary'!C:G,5,FALSE)))</f>
        <v>The position / role at the company</v>
      </c>
    </row>
    <row r="34" spans="1:7" x14ac:dyDescent="0.35">
      <c r="A34" s="64" t="s">
        <v>1312</v>
      </c>
      <c r="B34" s="62" t="str">
        <f t="shared" si="1"/>
        <v>telephoneCountryID</v>
      </c>
      <c r="C34" s="62" t="str">
        <f>IF(B34="", "", VLOOKUP(B34,'API Data Dictionary'!C:AL,36,FALSE))</f>
        <v>M</v>
      </c>
      <c r="D34" s="62" t="str">
        <f>IF(B34="", "", VLOOKUP(B34,'API Data Dictionary'!C:D,2,FALSE))</f>
        <v>enum -Country/Location Code</v>
      </c>
      <c r="E34" s="62" t="str">
        <f>IF(IF(B34="", "", VLOOKUP(B34,'API Data Dictionary'!C:E,3,FALSE))=0, "", IF(B34="", "", VLOOKUP(B34,'API Data Dictionary'!C:E,3,FALSE)))</f>
        <v/>
      </c>
      <c r="F34" s="62" t="str">
        <f>IF(IF(B34="", "", VLOOKUP(B34,'API Data Dictionary'!C:F,4,FALSE))=0, "", IF(B34="", "", VLOOKUP(B34,'API Data Dictionary'!C:F,4,FALSE)))</f>
        <v>Valid Values 1-239 (See enum definition)</v>
      </c>
      <c r="G34" s="62" t="str">
        <f>IF(IF(B34="", "", VLOOKUP(B34,'API Data Dictionary'!C:G,5,FALSE))=0, "", IF(B34="", "", VLOOKUP(B34,'API Data Dictionary'!C:G,5,FALSE)))</f>
        <v>The country/location code of the phone number</v>
      </c>
    </row>
    <row r="35" spans="1:7" x14ac:dyDescent="0.35">
      <c r="A35" s="64" t="s">
        <v>1313</v>
      </c>
      <c r="B35" s="62" t="str">
        <f t="shared" si="1"/>
        <v>contactTelephoneNo</v>
      </c>
      <c r="C35" s="62" t="str">
        <f>IF(B35="", "", VLOOKUP(B35,'API Data Dictionary'!C:AL,36,FALSE))</f>
        <v>M</v>
      </c>
      <c r="D35" s="62" t="str">
        <f>IF(B35="", "", VLOOKUP(B35,'API Data Dictionary'!C:D,2,FALSE))</f>
        <v>string</v>
      </c>
      <c r="E35" s="62">
        <f>IF(IF(B35="", "", VLOOKUP(B35,'API Data Dictionary'!C:E,3,FALSE))=0, "", IF(B35="", "", VLOOKUP(B35,'API Data Dictionary'!C:E,3,FALSE)))</f>
        <v>15</v>
      </c>
      <c r="F35" s="62" t="str">
        <f>IF(IF(B35="", "", VLOOKUP(B35,'API Data Dictionary'!C:F,4,FALSE))=0, "", IF(B35="", "", VLOOKUP(B35,'API Data Dictionary'!C:F,4,FALSE)))</f>
        <v>pattern: ^(\d{11})$</v>
      </c>
      <c r="G35" s="62" t="str">
        <f>IF(IF(B35="", "", VLOOKUP(B35,'API Data Dictionary'!C:G,5,FALSE))=0, "", IF(B35="", "", VLOOKUP(B35,'API Data Dictionary'!C:G,5,FALSE)))</f>
        <v xml:space="preserve">The telephone number </v>
      </c>
    </row>
    <row r="36" spans="1:7" x14ac:dyDescent="0.35">
      <c r="A36" s="64" t="s">
        <v>1314</v>
      </c>
      <c r="B36" s="62" t="str">
        <f t="shared" si="1"/>
        <v>emailAddress</v>
      </c>
      <c r="C36" s="62" t="str">
        <f>IF(B36="", "", VLOOKUP(B36,'API Data Dictionary'!C:AL,36,FALSE))</f>
        <v>M</v>
      </c>
      <c r="D36" s="62" t="str">
        <f>IF(B36="", "", VLOOKUP(B36,'API Data Dictionary'!C:D,2,FALSE))</f>
        <v>string ($email)</v>
      </c>
      <c r="E36" s="62">
        <f>IF(IF(B36="", "", VLOOKUP(B36,'API Data Dictionary'!C:E,3,FALSE))=0, "", IF(B36="", "", VLOOKUP(B36,'API Data Dictionary'!C:E,3,FALSE)))</f>
        <v>200</v>
      </c>
      <c r="F36" s="62" t="str">
        <f>IF(IF(B36="", "", VLOOKUP(B36,'API Data Dictionary'!C:F,4,FALSE))=0, "", IF(B36="", "", VLOOKUP(B36,'API Data Dictionary'!C:F,4,FALSE)))</f>
        <v>pattern: ^(?!.*\.\.)(?!.*\\_\\_)(?!.*\-\-)[a-zA-Z0-9][-a-zA-Z0-9._]+[a-zA-Z0-9]@([-a-zA-Z0-9]+.)+[a-zA-Z]{2,5}$</v>
      </c>
      <c r="G36" s="62" t="str">
        <f>IF(IF(B36="", "", VLOOKUP(B36,'API Data Dictionary'!C:G,5,FALSE))=0, "", IF(B36="", "", VLOOKUP(B36,'API Data Dictionary'!C:G,5,FALSE)))</f>
        <v>The email address</v>
      </c>
    </row>
    <row r="37" spans="1:7" x14ac:dyDescent="0.35">
      <c r="A37" s="64" t="s">
        <v>1315</v>
      </c>
      <c r="B37" s="62" t="str">
        <f t="shared" si="1"/>
        <v>shareOfRent</v>
      </c>
      <c r="C37" s="62" t="str">
        <f>IF(B37="", "", VLOOKUP(B37,'API Data Dictionary'!C:AL,36,FALSE))</f>
        <v>M</v>
      </c>
      <c r="D37" s="62" t="str">
        <f>IF(B37="", "", VLOOKUP(B37,'API Data Dictionary'!C:D,2,FALSE))</f>
        <v>number (double)</v>
      </c>
      <c r="E37" s="62" t="str">
        <f>IF(IF(B37="", "", VLOOKUP(B37,'API Data Dictionary'!C:E,3,FALSE))=0, "", IF(B37="", "", VLOOKUP(B37,'API Data Dictionary'!C:E,3,FALSE)))</f>
        <v/>
      </c>
      <c r="F37" s="62" t="str">
        <f>IF(IF(B37="", "", VLOOKUP(B37,'API Data Dictionary'!C:F,4,FALSE))=0, "", IF(B37="", "", VLOOKUP(B37,'API Data Dictionary'!C:F,4,FALSE)))</f>
        <v>pattern: ^\d*.\d{0,2}$</v>
      </c>
      <c r="G37" s="62" t="str">
        <f>IF(IF(B37="", "", VLOOKUP(B37,'API Data Dictionary'!C:G,5,FALSE))=0, "", IF(B37="", "", VLOOKUP(B37,'API Data Dictionary'!C:G,5,FALSE)))</f>
        <v>GBP value of the applicants share of the rent</v>
      </c>
    </row>
    <row r="38" spans="1:7" x14ac:dyDescent="0.35">
      <c r="A38" s="64" t="s">
        <v>1316</v>
      </c>
      <c r="B38" s="62" t="str">
        <f t="shared" si="1"/>
        <v>dateOfBirth</v>
      </c>
      <c r="C38" s="62" t="s">
        <v>68</v>
      </c>
      <c r="D38" s="62" t="str">
        <f>IF(B38="", "", VLOOKUP(B38,'API Data Dictionary'!C:D,2,FALSE))</f>
        <v>string ($date-time)</v>
      </c>
      <c r="E38" s="62" t="str">
        <f>IF(IF(B38="", "", VLOOKUP(B38,'API Data Dictionary'!C:E,3,FALSE))=0, "", IF(B38="", "", VLOOKUP(B38,'API Data Dictionary'!C:E,3,FALSE)))</f>
        <v/>
      </c>
      <c r="F38" s="62" t="str">
        <f>IF(IF(B38="", "", VLOOKUP(B38,'API Data Dictionary'!C:F,4,FALSE))=0, "", IF(B38="", "", VLOOKUP(B38,'API Data Dictionary'!C:F,4,FALSE)))</f>
        <v>DD/MM/YYYY</v>
      </c>
      <c r="G38" s="62" t="str">
        <f>IF(IF(B38="", "", VLOOKUP(B38,'API Data Dictionary'!C:G,5,FALSE))=0, "", IF(B38="", "", VLOOKUP(B38,'API Data Dictionary'!C:G,5,FALSE)))</f>
        <v>The date of birth, formatted DD-MM-YYYY</v>
      </c>
    </row>
    <row r="39" spans="1:7" x14ac:dyDescent="0.35">
      <c r="A39" s="64" t="s">
        <v>1317</v>
      </c>
      <c r="B39" s="62" t="str">
        <f t="shared" si="1"/>
        <v>mobileCountryId</v>
      </c>
      <c r="C39" s="62" t="str">
        <f>IF(B39="", "", VLOOKUP(B39,'API Data Dictionary'!C:AL,36,FALSE))</f>
        <v>M</v>
      </c>
      <c r="D39" s="62" t="str">
        <f>IF(B39="", "", VLOOKUP(B39,'API Data Dictionary'!C:D,2,FALSE))</f>
        <v>enum -Country/Location Code</v>
      </c>
      <c r="E39" s="62" t="str">
        <f>IF(IF(B39="", "", VLOOKUP(B39,'API Data Dictionary'!C:E,3,FALSE))=0, "", IF(B39="", "", VLOOKUP(B39,'API Data Dictionary'!C:E,3,FALSE)))</f>
        <v/>
      </c>
      <c r="F39" s="62" t="str">
        <f>IF(IF(B39="", "", VLOOKUP(B39,'API Data Dictionary'!C:F,4,FALSE))=0, "", IF(B39="", "", VLOOKUP(B39,'API Data Dictionary'!C:F,4,FALSE)))</f>
        <v>Valid Values 1-239 (See enum definition)</v>
      </c>
      <c r="G39" s="62" t="str">
        <f>IF(IF(B39="", "", VLOOKUP(B39,'API Data Dictionary'!C:G,5,FALSE))=0, "", IF(B39="", "", VLOOKUP(B39,'API Data Dictionary'!C:G,5,FALSE)))</f>
        <v>The country/location code of the mobile phone number</v>
      </c>
    </row>
    <row r="40" spans="1:7" x14ac:dyDescent="0.35">
      <c r="A40" s="64" t="s">
        <v>1318</v>
      </c>
      <c r="B40" s="62" t="str">
        <f t="shared" si="1"/>
        <v>mobileNumber</v>
      </c>
      <c r="C40" s="62" t="str">
        <f>IF(B40="", "", VLOOKUP(B40,'API Data Dictionary'!C:AL,36,FALSE))</f>
        <v>X</v>
      </c>
      <c r="D40" s="62" t="str">
        <f>IF(B40="", "", VLOOKUP(B40,'API Data Dictionary'!C:D,2,FALSE))</f>
        <v>string</v>
      </c>
      <c r="E40" s="62">
        <f>IF(IF(B40="", "", VLOOKUP(B40,'API Data Dictionary'!C:E,3,FALSE))=0, "", IF(B40="", "", VLOOKUP(B40,'API Data Dictionary'!C:E,3,FALSE)))</f>
        <v>15</v>
      </c>
      <c r="F40" s="62" t="str">
        <f>IF(IF(B40="", "", VLOOKUP(B40,'API Data Dictionary'!C:F,4,FALSE))=0, "", IF(B40="", "", VLOOKUP(B40,'API Data Dictionary'!C:F,4,FALSE)))</f>
        <v>pattern: ^(\d{11})$</v>
      </c>
      <c r="G40" s="62" t="str">
        <f>IF(IF(B40="", "", VLOOKUP(B40,'API Data Dictionary'!C:G,5,FALSE))=0, "", IF(B40="", "", VLOOKUP(B40,'API Data Dictionary'!C:G,5,FALSE)))</f>
        <v>The mobile phone number</v>
      </c>
    </row>
    <row r="41" spans="1:7" x14ac:dyDescent="0.35">
      <c r="A41" s="64" t="s">
        <v>1319</v>
      </c>
      <c r="B41" s="62" t="str">
        <f t="shared" si="1"/>
        <v>isAdvanceRent</v>
      </c>
      <c r="C41" s="62" t="s">
        <v>68</v>
      </c>
      <c r="D41" s="62" t="str">
        <f>IF(B41="", "", VLOOKUP(B41,'API Data Dictionary'!C:D,2,FALSE))</f>
        <v>boolean</v>
      </c>
      <c r="E41" s="62" t="str">
        <f>IF(IF(B41="", "", VLOOKUP(B41,'API Data Dictionary'!C:E,3,FALSE))=0, "", IF(B41="", "", VLOOKUP(B41,'API Data Dictionary'!C:E,3,FALSE)))</f>
        <v/>
      </c>
      <c r="F41" s="62" t="str">
        <f>IF(IF(B41="", "", VLOOKUP(B41,'API Data Dictionary'!C:F,4,FALSE))=0, "", IF(B41="", "", VLOOKUP(B41,'API Data Dictionary'!C:F,4,FALSE)))</f>
        <v/>
      </c>
      <c r="G41" s="62" t="str">
        <f>IF(IF(B41="", "", VLOOKUP(B41,'API Data Dictionary'!C:G,5,FALSE))=0, "", IF(B41="", "", VLOOKUP(B41,'API Data Dictionary'!C:G,5,FALSE)))</f>
        <v>Denotes whether rent is paid in advance</v>
      </c>
    </row>
    <row r="42" spans="1:7" x14ac:dyDescent="0.35">
      <c r="A42" s="64" t="s">
        <v>1320</v>
      </c>
      <c r="B42" s="62" t="str">
        <f t="shared" si="1"/>
        <v>isCompanyEmployee</v>
      </c>
      <c r="C42" s="62" t="s">
        <v>68</v>
      </c>
      <c r="D42" s="62" t="str">
        <f>IF(B42="", "", VLOOKUP(B42,'API Data Dictionary'!C:D,2,FALSE))</f>
        <v>boolean</v>
      </c>
      <c r="E42" s="62" t="str">
        <f>IF(IF(B42="", "", VLOOKUP(B42,'API Data Dictionary'!C:E,3,FALSE))=0, "", IF(B42="", "", VLOOKUP(B42,'API Data Dictionary'!C:E,3,FALSE)))</f>
        <v/>
      </c>
      <c r="F42" s="62" t="str">
        <f>IF(IF(B42="", "", VLOOKUP(B42,'API Data Dictionary'!C:F,4,FALSE))=0, "", IF(B42="", "", VLOOKUP(B42,'API Data Dictionary'!C:F,4,FALSE)))</f>
        <v/>
      </c>
      <c r="G42" s="62" t="str">
        <f>IF(IF(B42="", "", VLOOKUP(B42,'API Data Dictionary'!C:G,5,FALSE))=0, "", IF(B42="", "", VLOOKUP(B42,'API Data Dictionary'!C:G,5,FALSE)))</f>
        <v>Is a company employee</v>
      </c>
    </row>
    <row r="43" spans="1:7" x14ac:dyDescent="0.35">
      <c r="A43" s="64" t="s">
        <v>1321</v>
      </c>
      <c r="B43" s="62" t="str">
        <f t="shared" si="1"/>
        <v/>
      </c>
      <c r="C43" s="62" t="str">
        <f>IF(B43="", "", VLOOKUP(B43,'API Data Dictionary'!C:AL,36,FALSE))</f>
        <v/>
      </c>
      <c r="D43" s="62" t="str">
        <f>IF(B43="", "", VLOOKUP(B43,'API Data Dictionary'!C:D,2,FALSE))</f>
        <v/>
      </c>
      <c r="E43" s="62" t="str">
        <f>IF(IF(B43="", "", VLOOKUP(B43,'API Data Dictionary'!C:E,3,FALSE))=0, "", IF(B43="", "", VLOOKUP(B43,'API Data Dictionary'!C:E,3,FALSE)))</f>
        <v/>
      </c>
      <c r="F43" s="62" t="str">
        <f>IF(IF(B43="", "", VLOOKUP(B43,'API Data Dictionary'!C:F,4,FALSE))=0, "", IF(B43="", "", VLOOKUP(B43,'API Data Dictionary'!C:F,4,FALSE)))</f>
        <v/>
      </c>
      <c r="G43" s="62" t="str">
        <f>IF(IF(B43="", "", VLOOKUP(B43,'API Data Dictionary'!C:G,5,FALSE))=0, "", IF(B43="", "", VLOOKUP(B43,'API Data Dictionary'!C:G,5,FALSE)))</f>
        <v/>
      </c>
    </row>
    <row r="44" spans="1:7" x14ac:dyDescent="0.35">
      <c r="A44" s="64" t="s">
        <v>1322</v>
      </c>
      <c r="B44" s="62" t="str">
        <f t="shared" si="1"/>
        <v>houseNumber</v>
      </c>
      <c r="C44" s="62" t="str">
        <f>IF(B44="", "", VLOOKUP(B44,'API Data Dictionary'!C:AL,36,FALSE))</f>
        <v>X</v>
      </c>
      <c r="D44" s="62" t="str">
        <f>IF(B44="", "", VLOOKUP(B44,'API Data Dictionary'!C:D,2,FALSE))</f>
        <v>string</v>
      </c>
      <c r="E44" s="62">
        <f>IF(IF(B44="", "", VLOOKUP(B44,'API Data Dictionary'!C:E,3,FALSE))=0, "", IF(B44="", "", VLOOKUP(B44,'API Data Dictionary'!C:E,3,FALSE)))</f>
        <v>100</v>
      </c>
      <c r="F44" s="62" t="str">
        <f>IF(IF(B44="", "", VLOOKUP(B44,'API Data Dictionary'!C:F,4,FALSE))=0, "", IF(B44="", "", VLOOKUP(B44,'API Data Dictionary'!C:F,4,FALSE)))</f>
        <v/>
      </c>
      <c r="G44" s="62" t="str">
        <f>IF(IF(B44="", "", VLOOKUP(B44,'API Data Dictionary'!C:G,5,FALSE))=0, "", IF(B44="", "", VLOOKUP(B44,'API Data Dictionary'!C:G,5,FALSE)))</f>
        <v xml:space="preserve">The number of the property, mandatory OR pair with House name field </v>
      </c>
    </row>
    <row r="45" spans="1:7" x14ac:dyDescent="0.35">
      <c r="A45" s="64" t="s">
        <v>1323</v>
      </c>
      <c r="B45" s="62" t="str">
        <f t="shared" si="1"/>
        <v>houseName</v>
      </c>
      <c r="C45" s="62" t="str">
        <f>IF(B45="", "", VLOOKUP(B45,'API Data Dictionary'!C:AL,36,FALSE))</f>
        <v>M</v>
      </c>
      <c r="D45" s="62" t="str">
        <f>IF(B45="", "", VLOOKUP(B45,'API Data Dictionary'!C:D,2,FALSE))</f>
        <v>string</v>
      </c>
      <c r="E45" s="62">
        <f>IF(IF(B45="", "", VLOOKUP(B45,'API Data Dictionary'!C:E,3,FALSE))=0, "", IF(B45="", "", VLOOKUP(B45,'API Data Dictionary'!C:E,3,FALSE)))</f>
        <v>100</v>
      </c>
      <c r="F45" s="62" t="str">
        <f>IF(IF(B45="", "", VLOOKUP(B45,'API Data Dictionary'!C:F,4,FALSE))=0, "", IF(B45="", "", VLOOKUP(B45,'API Data Dictionary'!C:F,4,FALSE)))</f>
        <v/>
      </c>
      <c r="G45" s="62" t="str">
        <f>IF(IF(B45="", "", VLOOKUP(B45,'API Data Dictionary'!C:G,5,FALSE))=0, "", IF(B45="", "", VLOOKUP(B45,'API Data Dictionary'!C:G,5,FALSE)))</f>
        <v xml:space="preserve">The name of the property, mandatory OR pair with House number field </v>
      </c>
    </row>
    <row r="46" spans="1:7" x14ac:dyDescent="0.35">
      <c r="A46" s="64" t="s">
        <v>1324</v>
      </c>
      <c r="B46" s="62" t="str">
        <f t="shared" si="1"/>
        <v>addressLine1</v>
      </c>
      <c r="C46" s="62" t="str">
        <f>IF(B46="", "", VLOOKUP(B46,'API Data Dictionary'!C:AL,36,FALSE))</f>
        <v>M</v>
      </c>
      <c r="D46" s="62" t="str">
        <f>IF(B46="", "", VLOOKUP(B46,'API Data Dictionary'!C:D,2,FALSE))</f>
        <v>string</v>
      </c>
      <c r="E46" s="62">
        <f>IF(IF(B46="", "", VLOOKUP(B46,'API Data Dictionary'!C:E,3,FALSE))=0, "", IF(B46="", "", VLOOKUP(B46,'API Data Dictionary'!C:E,3,FALSE)))</f>
        <v>100</v>
      </c>
      <c r="F46" s="62" t="str">
        <f>IF(IF(B46="", "", VLOOKUP(B46,'API Data Dictionary'!C:F,4,FALSE))=0, "", IF(B46="", "", VLOOKUP(B46,'API Data Dictionary'!C:F,4,FALSE)))</f>
        <v/>
      </c>
      <c r="G46" s="62" t="str">
        <f>IF(IF(B46="", "", VLOOKUP(B46,'API Data Dictionary'!C:G,5,FALSE))=0, "", IF(B46="", "", VLOOKUP(B46,'API Data Dictionary'!C:G,5,FALSE)))</f>
        <v>The first line of the property address</v>
      </c>
    </row>
    <row r="47" spans="1:7" x14ac:dyDescent="0.35">
      <c r="A47" s="64" t="s">
        <v>1325</v>
      </c>
      <c r="B47" s="62" t="str">
        <f t="shared" si="1"/>
        <v>addressLine2</v>
      </c>
      <c r="C47" s="62" t="str">
        <f>IF(B47="", "", VLOOKUP(B47,'API Data Dictionary'!C:AL,36,FALSE))</f>
        <v>X</v>
      </c>
      <c r="D47" s="62" t="str">
        <f>IF(B47="", "", VLOOKUP(B47,'API Data Dictionary'!C:D,2,FALSE))</f>
        <v>string</v>
      </c>
      <c r="E47" s="62">
        <f>IF(IF(B47="", "", VLOOKUP(B47,'API Data Dictionary'!C:E,3,FALSE))=0, "", IF(B47="", "", VLOOKUP(B47,'API Data Dictionary'!C:E,3,FALSE)))</f>
        <v>100</v>
      </c>
      <c r="F47" s="62" t="str">
        <f>IF(IF(B47="", "", VLOOKUP(B47,'API Data Dictionary'!C:F,4,FALSE))=0, "", IF(B47="", "", VLOOKUP(B47,'API Data Dictionary'!C:F,4,FALSE)))</f>
        <v/>
      </c>
      <c r="G47" s="62" t="str">
        <f>IF(IF(B47="", "", VLOOKUP(B47,'API Data Dictionary'!C:G,5,FALSE))=0, "", IF(B47="", "", VLOOKUP(B47,'API Data Dictionary'!C:G,5,FALSE)))</f>
        <v>The second line of the property address</v>
      </c>
    </row>
    <row r="48" spans="1:7" x14ac:dyDescent="0.35">
      <c r="A48" s="64" t="s">
        <v>1326</v>
      </c>
      <c r="B48" s="62" t="str">
        <f t="shared" si="1"/>
        <v>town</v>
      </c>
      <c r="C48" s="62" t="str">
        <f>IF(B48="", "", VLOOKUP(B48,'API Data Dictionary'!C:AL,36,FALSE))</f>
        <v>M</v>
      </c>
      <c r="D48" s="62" t="str">
        <f>IF(B48="", "", VLOOKUP(B48,'API Data Dictionary'!C:D,2,FALSE))</f>
        <v>string</v>
      </c>
      <c r="E48" s="62">
        <f>IF(IF(B48="", "", VLOOKUP(B48,'API Data Dictionary'!C:E,3,FALSE))=0, "", IF(B48="", "", VLOOKUP(B48,'API Data Dictionary'!C:E,3,FALSE)))</f>
        <v>50</v>
      </c>
      <c r="F48" s="62" t="str">
        <f>IF(IF(B48="", "", VLOOKUP(B48,'API Data Dictionary'!C:F,4,FALSE))=0, "", IF(B48="", "", VLOOKUP(B48,'API Data Dictionary'!C:F,4,FALSE)))</f>
        <v/>
      </c>
      <c r="G48" s="62" t="str">
        <f>IF(IF(B48="", "", VLOOKUP(B48,'API Data Dictionary'!C:G,5,FALSE))=0, "", IF(B48="", "", VLOOKUP(B48,'API Data Dictionary'!C:G,5,FALSE)))</f>
        <v>The town in which the property exists</v>
      </c>
    </row>
    <row r="49" spans="1:7" x14ac:dyDescent="0.35">
      <c r="A49" s="64" t="s">
        <v>1327</v>
      </c>
      <c r="B49" s="62" t="str">
        <f t="shared" si="1"/>
        <v>postcode</v>
      </c>
      <c r="C49" s="62" t="str">
        <f>IF(B49="", "", VLOOKUP(B49,'API Data Dictionary'!C:AL,36,FALSE))</f>
        <v>M</v>
      </c>
      <c r="D49" s="62" t="str">
        <f>IF(B49="", "", VLOOKUP(B49,'API Data Dictionary'!C:D,2,FALSE))</f>
        <v>string</v>
      </c>
      <c r="E49" s="62">
        <f>IF(IF(B49="", "", VLOOKUP(B49,'API Data Dictionary'!C:E,3,FALSE))=0, "", IF(B49="", "", VLOOKUP(B49,'API Data Dictionary'!C:E,3,FALSE)))</f>
        <v>50</v>
      </c>
      <c r="F49" s="62" t="str">
        <f>IF(IF(B49="", "", VLOOKUP(B49,'API Data Dictionary'!C:F,4,FALSE))=0, "", IF(B49="", "", VLOOKUP(B49,'API Data Dictionary'!C:F,4,FALSE)))</f>
        <v/>
      </c>
      <c r="G49" s="62" t="str">
        <f>IF(IF(B49="", "", VLOOKUP(B49,'API Data Dictionary'!C:G,5,FALSE))=0, "", IF(B49="", "", VLOOKUP(B49,'API Data Dictionary'!C:G,5,FALSE)))</f>
        <v>the postcode of the property</v>
      </c>
    </row>
    <row r="50" spans="1:7" x14ac:dyDescent="0.35">
      <c r="A50" s="64" t="s">
        <v>1328</v>
      </c>
      <c r="B50" s="62" t="str">
        <f t="shared" si="1"/>
        <v>ukCountryCode</v>
      </c>
      <c r="C50" s="62" t="str">
        <f>IF(B50="", "", VLOOKUP(B50,'API Data Dictionary'!C:AL,36,FALSE))</f>
        <v>M</v>
      </c>
      <c r="D50" s="62" t="str">
        <f>IF(B50="", "", VLOOKUP(B50,'API Data Dictionary'!C:D,2,FALSE))</f>
        <v>enum - UK Country List</v>
      </c>
      <c r="E50" s="62" t="str">
        <f>IF(IF(B50="", "", VLOOKUP(B50,'API Data Dictionary'!C:E,3,FALSE))=0, "", IF(B50="", "", VLOOKUP(B50,'API Data Dictionary'!C:E,3,FALSE)))</f>
        <v/>
      </c>
      <c r="F50" s="62" t="str">
        <f>IF(IF(B50="", "", VLOOKUP(B50,'API Data Dictionary'!C:F,4,FALSE))=0, "", IF(B50="", "", VLOOKUP(B50,'API Data Dictionary'!C:F,4,FALSE)))</f>
        <v>Valid Values 1-4 (See enum definition)</v>
      </c>
      <c r="G50" s="62" t="str">
        <f>IF(IF(B50="", "", VLOOKUP(B50,'API Data Dictionary'!C:G,5,FALSE))=0, "", IF(B50="", "", VLOOKUP(B50,'API Data Dictionary'!C:G,5,FALSE)))</f>
        <v xml:space="preserve">The UK country Code </v>
      </c>
    </row>
    <row r="51" spans="1:7" x14ac:dyDescent="0.35">
      <c r="A51" s="64" t="s">
        <v>1118</v>
      </c>
      <c r="B51" s="62" t="str">
        <f t="shared" si="1"/>
        <v/>
      </c>
      <c r="C51" s="62" t="str">
        <f>IF(B51="", "", VLOOKUP(B51,'API Data Dictionary'!C:AL,36,FALSE))</f>
        <v/>
      </c>
      <c r="D51" s="62" t="str">
        <f>IF(B51="", "", VLOOKUP(B51,'API Data Dictionary'!C:D,2,FALSE))</f>
        <v/>
      </c>
      <c r="E51" s="62" t="str">
        <f>IF(IF(B51="", "", VLOOKUP(B51,'API Data Dictionary'!C:E,3,FALSE))=0, "", IF(B51="", "", VLOOKUP(B51,'API Data Dictionary'!C:E,3,FALSE)))</f>
        <v/>
      </c>
      <c r="F51" s="62" t="str">
        <f>IF(IF(B51="", "", VLOOKUP(B51,'API Data Dictionary'!C:F,4,FALSE))=0, "", IF(B51="", "", VLOOKUP(B51,'API Data Dictionary'!C:F,4,FALSE)))</f>
        <v/>
      </c>
      <c r="G51" s="62" t="str">
        <f>IF(IF(B51="", "", VLOOKUP(B51,'API Data Dictionary'!C:G,5,FALSE))=0, "", IF(B51="", "", VLOOKUP(B51,'API Data Dictionary'!C:G,5,FALSE)))</f>
        <v/>
      </c>
    </row>
    <row r="52" spans="1:7" x14ac:dyDescent="0.35">
      <c r="A52" s="64" t="s">
        <v>1286</v>
      </c>
      <c r="B52" s="62" t="str">
        <f t="shared" si="1"/>
        <v/>
      </c>
      <c r="C52" s="62" t="str">
        <f>IF(B52="", "", VLOOKUP(B52,'API Data Dictionary'!C:AL,36,FALSE))</f>
        <v/>
      </c>
      <c r="D52" s="62" t="str">
        <f>IF(B52="", "", VLOOKUP(B52,'API Data Dictionary'!C:D,2,FALSE))</f>
        <v/>
      </c>
      <c r="E52" s="62" t="str">
        <f>IF(IF(B52="", "", VLOOKUP(B52,'API Data Dictionary'!C:E,3,FALSE))=0, "", IF(B52="", "", VLOOKUP(B52,'API Data Dictionary'!C:E,3,FALSE)))</f>
        <v/>
      </c>
      <c r="F52" s="62" t="str">
        <f>IF(IF(B52="", "", VLOOKUP(B52,'API Data Dictionary'!C:F,4,FALSE))=0, "", IF(B52="", "", VLOOKUP(B52,'API Data Dictionary'!C:F,4,FALSE)))</f>
        <v/>
      </c>
      <c r="G52" s="62" t="str">
        <f>IF(IF(B52="", "", VLOOKUP(B52,'API Data Dictionary'!C:G,5,FALSE))=0, "", IF(B52="", "", VLOOKUP(B52,'API Data Dictionary'!C:G,5,FALSE)))</f>
        <v/>
      </c>
    </row>
    <row r="53" spans="1:7" x14ac:dyDescent="0.35">
      <c r="A53" s="64" t="s">
        <v>1120</v>
      </c>
      <c r="B53" s="62" t="str">
        <f t="shared" si="1"/>
        <v/>
      </c>
      <c r="C53" s="62" t="str">
        <f>IF(B53="", "", VLOOKUP(B53,'API Data Dictionary'!C:AL,36,FALSE))</f>
        <v/>
      </c>
      <c r="D53" s="62" t="str">
        <f>IF(B53="", "", VLOOKUP(B53,'API Data Dictionary'!C:D,2,FALSE))</f>
        <v/>
      </c>
      <c r="E53" s="62" t="str">
        <f>IF(IF(B53="", "", VLOOKUP(B53,'API Data Dictionary'!C:E,3,FALSE))=0, "", IF(B53="", "", VLOOKUP(B53,'API Data Dictionary'!C:E,3,FALSE)))</f>
        <v/>
      </c>
      <c r="F53" s="62" t="str">
        <f>IF(IF(B53="", "", VLOOKUP(B53,'API Data Dictionary'!C:F,4,FALSE))=0, "", IF(B53="", "", VLOOKUP(B53,'API Data Dictionary'!C:F,4,FALSE)))</f>
        <v/>
      </c>
      <c r="G53" s="62" t="str">
        <f>IF(IF(B53="", "", VLOOKUP(B53,'API Data Dictionary'!C:G,5,FALSE))=0, "", IF(B53="", "", VLOOKUP(B53,'API Data Dictionary'!C:G,5,FALSE)))</f>
        <v/>
      </c>
    </row>
    <row r="54" spans="1:7" x14ac:dyDescent="0.35">
      <c r="A54" s="103"/>
      <c r="B54" s="103"/>
      <c r="C54" s="103"/>
      <c r="D54" s="103"/>
      <c r="E54" s="103"/>
      <c r="F54" s="103"/>
      <c r="G54" s="103"/>
    </row>
    <row r="55" spans="1:7" x14ac:dyDescent="0.35">
      <c r="A55" s="222" t="s">
        <v>1751</v>
      </c>
      <c r="B55" s="222"/>
      <c r="C55" s="222"/>
      <c r="D55" s="222"/>
      <c r="E55" s="222"/>
      <c r="F55" s="222"/>
      <c r="G55" s="222"/>
    </row>
    <row r="56" spans="1:7" x14ac:dyDescent="0.35">
      <c r="A56" s="64" t="s">
        <v>1094</v>
      </c>
      <c r="B56" s="62" t="str">
        <f t="shared" ref="B56:B69" si="2">IF(OR(ISNUMBER(SEARCH("{", A56)),ISNUMBER(SEARCH("[", A56))), "", IFERROR(MID(A56, SEARCH("""", A56) +1, SEARCH("""", A56, SEARCH("""",A56) +1) - SEARCH("""", A56) -1), ""))</f>
        <v/>
      </c>
      <c r="C56" s="62" t="str">
        <f>IF(B56="", "", VLOOKUP(B56,'API Data Dictionary'!C:J,8,FALSE))</f>
        <v/>
      </c>
      <c r="D56" s="62" t="str">
        <f>IF(B56="", "", VLOOKUP(B56,'API Data Dictionary'!C:D,2,FALSE))</f>
        <v/>
      </c>
      <c r="E56" s="62" t="str">
        <f>IF(IF(B56="", "", VLOOKUP(B56,'API Data Dictionary'!C:E,3,FALSE))=0, "", IF(B56="", "", VLOOKUP(B56,'API Data Dictionary'!C:E,3,FALSE)))</f>
        <v/>
      </c>
      <c r="F56" s="62" t="str">
        <f>IF(IF(B56="", "", VLOOKUP(B56,'API Data Dictionary'!C:F,4,FALSE))=0, "", IF(B56="", "", VLOOKUP(B56,'API Data Dictionary'!C:F,4,FALSE)))</f>
        <v/>
      </c>
      <c r="G56" s="62" t="str">
        <f>IF(IF(B56="", "", VLOOKUP(B56,'API Data Dictionary'!C:G,5,FALSE))=0, "", IF(B56="", "", VLOOKUP(B56,'API Data Dictionary'!C:G,5,FALSE)))</f>
        <v/>
      </c>
    </row>
    <row r="57" spans="1:7" x14ac:dyDescent="0.35">
      <c r="A57" s="64" t="s">
        <v>1350</v>
      </c>
      <c r="B57" s="62" t="str">
        <f t="shared" si="2"/>
        <v>success</v>
      </c>
      <c r="C57" s="62" t="s">
        <v>68</v>
      </c>
      <c r="D57" s="62" t="str">
        <f>IF(B57="", "", VLOOKUP(B57,'API Data Dictionary'!C:D,2,FALSE))</f>
        <v>string - Boolean</v>
      </c>
      <c r="E57" s="62">
        <f>IF(IF(B57="", "", VLOOKUP(B57,'API Data Dictionary'!C:E,3,FALSE))=0, "", IF(B57="", "", VLOOKUP(B57,'API Data Dictionary'!C:E,3,FALSE)))</f>
        <v>100</v>
      </c>
      <c r="F57" s="62" t="str">
        <f>IF(IF(B57="", "", VLOOKUP(B57,'API Data Dictionary'!C:F,4,FALSE))=0, "", IF(B57="", "", VLOOKUP(B57,'API Data Dictionary'!C:F,4,FALSE)))</f>
        <v/>
      </c>
      <c r="G57" s="62" t="str">
        <f>IF(IF(B57="", "", VLOOKUP(B57,'API Data Dictionary'!C:G,5,FALSE))=0, "", IF(B57="", "", VLOOKUP(B57,'API Data Dictionary'!C:G,5,FALSE)))</f>
        <v>Returns true when successful call/connection</v>
      </c>
    </row>
    <row r="58" spans="1:7" x14ac:dyDescent="0.35">
      <c r="A58" s="64" t="s">
        <v>1377</v>
      </c>
      <c r="B58" s="62" t="str">
        <f t="shared" si="2"/>
        <v/>
      </c>
      <c r="C58" s="62" t="str">
        <f>IF(B58="", "", VLOOKUP(B58,'API Data Dictionary'!C:J,8,FALSE))</f>
        <v/>
      </c>
      <c r="D58" s="62" t="str">
        <f>IF(B58="", "", VLOOKUP(B58,'API Data Dictionary'!C:D,2,FALSE))</f>
        <v/>
      </c>
      <c r="E58" s="62" t="str">
        <f>IF(IF(B58="", "", VLOOKUP(B58,'API Data Dictionary'!C:E,3,FALSE))=0, "", IF(B58="", "", VLOOKUP(B58,'API Data Dictionary'!C:E,3,FALSE)))</f>
        <v/>
      </c>
      <c r="F58" s="62" t="str">
        <f>IF(IF(B58="", "", VLOOKUP(B58,'API Data Dictionary'!C:F,4,FALSE))=0, "", IF(B58="", "", VLOOKUP(B58,'API Data Dictionary'!C:F,4,FALSE)))</f>
        <v/>
      </c>
      <c r="G58" s="62" t="str">
        <f>IF(IF(B58="", "", VLOOKUP(B58,'API Data Dictionary'!C:G,5,FALSE))=0, "", IF(B58="", "", VLOOKUP(B58,'API Data Dictionary'!C:G,5,FALSE)))</f>
        <v/>
      </c>
    </row>
    <row r="59" spans="1:7" x14ac:dyDescent="0.35">
      <c r="A59" s="64" t="s">
        <v>1378</v>
      </c>
      <c r="B59" s="62" t="str">
        <f t="shared" si="2"/>
        <v>agentCode</v>
      </c>
      <c r="C59" s="62" t="s">
        <v>68</v>
      </c>
      <c r="D59" s="62" t="str">
        <f>IF(B59="", "", VLOOKUP(B59,'API Data Dictionary'!C:D,2,FALSE))</f>
        <v>string</v>
      </c>
      <c r="E59" s="62">
        <f>IF(IF(B59="", "", VLOOKUP(B59,'API Data Dictionary'!C:E,3,FALSE))=0, "", IF(B59="", "", VLOOKUP(B59,'API Data Dictionary'!C:E,3,FALSE)))</f>
        <v>50</v>
      </c>
      <c r="F59" s="62" t="str">
        <f>IF(IF(B59="", "", VLOOKUP(B59,'API Data Dictionary'!C:F,4,FALSE))=0, "", IF(B59="", "", VLOOKUP(B59,'API Data Dictionary'!C:F,4,FALSE)))</f>
        <v/>
      </c>
      <c r="G59" s="62" t="str">
        <f>IF(IF(B59="", "", VLOOKUP(B59,'API Data Dictionary'!C:G,5,FALSE))=0, "", IF(B59="", "", VLOOKUP(B59,'API Data Dictionary'!C:G,5,FALSE)))</f>
        <v>AgentCode is the Unique Key provided to the Agent when onboarding as a Barbon Customer.
An AgentID may be linked to many Properties being managed by that Agent and Each property may be linked to 1 or more TenancyID's.</v>
      </c>
    </row>
    <row r="60" spans="1:7" x14ac:dyDescent="0.35">
      <c r="A60" s="64" t="s">
        <v>1379</v>
      </c>
      <c r="B60" s="62" t="str">
        <f t="shared" si="2"/>
        <v>propertyTenancyId</v>
      </c>
      <c r="C60" s="62" t="s">
        <v>68</v>
      </c>
      <c r="D60" s="62" t="str">
        <f>IF(B60="", "", VLOOKUP(B60,'API Data Dictionary'!C:D,2,FALSE))</f>
        <v>integer</v>
      </c>
      <c r="E60" s="62" t="str">
        <f>IF(IF(B60="", "", VLOOKUP(B60,'API Data Dictionary'!C:E,3,FALSE))=0, "", IF(B60="", "", VLOOKUP(B60,'API Data Dictionary'!C:E,3,FALSE)))</f>
        <v/>
      </c>
      <c r="F60" s="62" t="str">
        <f>IF(IF(B60="", "", VLOOKUP(B60,'API Data Dictionary'!C:F,4,FALSE))=0, "", IF(B60="", "", VLOOKUP(B60,'API Data Dictionary'!C:F,4,FALSE)))</f>
        <v/>
      </c>
      <c r="G60" s="62" t="str">
        <f>IF(IF(B60="", "", VLOOKUP(B60,'API Data Dictionary'!C:G,5,FALSE))=0, "", IF(B60="", "", VLOOKUP(B60,'API Data Dictionary'!C:G,5,FALSE)))</f>
        <v>The ID of the property tenancy</v>
      </c>
    </row>
    <row r="61" spans="1:7" x14ac:dyDescent="0.35">
      <c r="A61" s="64" t="s">
        <v>1380</v>
      </c>
      <c r="B61" s="62" t="str">
        <f t="shared" si="2"/>
        <v/>
      </c>
      <c r="C61" s="62" t="str">
        <f>IF(B61="", "", VLOOKUP(B61,'API Data Dictionary'!C:J,8,FALSE))</f>
        <v/>
      </c>
      <c r="D61" s="62" t="str">
        <f>IF(B61="", "", VLOOKUP(B61,'API Data Dictionary'!C:D,2,FALSE))</f>
        <v/>
      </c>
      <c r="E61" s="62" t="str">
        <f>IF(IF(B61="", "", VLOOKUP(B61,'API Data Dictionary'!C:E,3,FALSE))=0, "", IF(B61="", "", VLOOKUP(B61,'API Data Dictionary'!C:E,3,FALSE)))</f>
        <v/>
      </c>
      <c r="F61" s="62" t="str">
        <f>IF(IF(B61="", "", VLOOKUP(B61,'API Data Dictionary'!C:F,4,FALSE))=0, "", IF(B61="", "", VLOOKUP(B61,'API Data Dictionary'!C:F,4,FALSE)))</f>
        <v/>
      </c>
      <c r="G61" s="62" t="str">
        <f>IF(IF(B61="", "", VLOOKUP(B61,'API Data Dictionary'!C:G,5,FALSE))=0, "", IF(B61="", "", VLOOKUP(B61,'API Data Dictionary'!C:G,5,FALSE)))</f>
        <v/>
      </c>
    </row>
    <row r="62" spans="1:7" x14ac:dyDescent="0.35">
      <c r="A62" s="64" t="s">
        <v>1381</v>
      </c>
      <c r="B62" s="62" t="str">
        <f t="shared" si="2"/>
        <v/>
      </c>
      <c r="C62" s="62" t="str">
        <f>IF(B62="", "", VLOOKUP(B62,'API Data Dictionary'!C:J,8,FALSE))</f>
        <v/>
      </c>
      <c r="D62" s="62" t="str">
        <f>IF(B62="", "", VLOOKUP(B62,'API Data Dictionary'!C:D,2,FALSE))</f>
        <v/>
      </c>
      <c r="E62" s="62" t="str">
        <f>IF(IF(B62="", "", VLOOKUP(B62,'API Data Dictionary'!C:E,3,FALSE))=0, "", IF(B62="", "", VLOOKUP(B62,'API Data Dictionary'!C:E,3,FALSE)))</f>
        <v/>
      </c>
      <c r="F62" s="62" t="str">
        <f>IF(IF(B62="", "", VLOOKUP(B62,'API Data Dictionary'!C:F,4,FALSE))=0, "", IF(B62="", "", VLOOKUP(B62,'API Data Dictionary'!C:F,4,FALSE)))</f>
        <v/>
      </c>
      <c r="G62" s="62" t="str">
        <f>IF(IF(B62="", "", VLOOKUP(B62,'API Data Dictionary'!C:G,5,FALSE))=0, "", IF(B62="", "", VLOOKUP(B62,'API Data Dictionary'!C:G,5,FALSE)))</f>
        <v/>
      </c>
    </row>
    <row r="63" spans="1:7" x14ac:dyDescent="0.35">
      <c r="A63" s="64" t="s">
        <v>1382</v>
      </c>
      <c r="B63" s="62" t="str">
        <f t="shared" si="2"/>
        <v>applicantID</v>
      </c>
      <c r="C63" s="62" t="s">
        <v>68</v>
      </c>
      <c r="D63" s="62" t="str">
        <f>IF(B63="", "", VLOOKUP(B63,'API Data Dictionary'!C:D,2,FALSE))</f>
        <v>integer</v>
      </c>
      <c r="E63" s="62" t="str">
        <f>IF(IF(B63="", "", VLOOKUP(B63,'API Data Dictionary'!C:E,3,FALSE))=0, "", IF(B63="", "", VLOOKUP(B63,'API Data Dictionary'!C:E,3,FALSE)))</f>
        <v/>
      </c>
      <c r="F63" s="62" t="str">
        <f>IF(IF(B63="", "", VLOOKUP(B63,'API Data Dictionary'!C:F,4,FALSE))=0, "", IF(B63="", "", VLOOKUP(B63,'API Data Dictionary'!C:F,4,FALSE)))</f>
        <v/>
      </c>
      <c r="G63" s="62" t="str">
        <f>IF(IF(B63="", "", VLOOKUP(B63,'API Data Dictionary'!C:G,5,FALSE))=0, "", IF(B63="", "", VLOOKUP(B63,'API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64" spans="1:7" x14ac:dyDescent="0.35">
      <c r="A64" s="64" t="s">
        <v>1385</v>
      </c>
      <c r="B64" s="62" t="str">
        <f t="shared" si="2"/>
        <v>applicantName</v>
      </c>
      <c r="C64" s="62" t="s">
        <v>68</v>
      </c>
      <c r="D64" s="62" t="s">
        <v>64</v>
      </c>
      <c r="E64" s="106" t="s">
        <v>1594</v>
      </c>
      <c r="F64" s="62"/>
      <c r="G64" s="62" t="s">
        <v>1386</v>
      </c>
    </row>
    <row r="65" spans="1:7" x14ac:dyDescent="0.35">
      <c r="A65" s="64" t="s">
        <v>1117</v>
      </c>
      <c r="B65" s="62" t="str">
        <f t="shared" si="2"/>
        <v/>
      </c>
      <c r="C65" s="62" t="str">
        <f>IF(B65="", "", VLOOKUP(B65,'API Data Dictionary'!C:J,8,FALSE))</f>
        <v/>
      </c>
      <c r="D65" s="62" t="str">
        <f>IF(B65="", "", VLOOKUP(B65,'API Data Dictionary'!C:D,2,FALSE))</f>
        <v/>
      </c>
      <c r="E65" s="62" t="str">
        <f>IF(IF(B65="", "", VLOOKUP(B65,'API Data Dictionary'!C:E,3,FALSE))=0, "", IF(B65="", "", VLOOKUP(B65,'API Data Dictionary'!C:E,3,FALSE)))</f>
        <v/>
      </c>
      <c r="F65" s="62" t="str">
        <f>IF(IF(B65="", "", VLOOKUP(B65,'API Data Dictionary'!C:F,4,FALSE))=0, "", IF(B65="", "", VLOOKUP(B65,'API Data Dictionary'!C:F,4,FALSE)))</f>
        <v/>
      </c>
      <c r="G65" s="62" t="str">
        <f>IF(IF(B65="", "", VLOOKUP(B65,'API Data Dictionary'!C:G,5,FALSE))=0, "", IF(B65="", "", VLOOKUP(B65,'API Data Dictionary'!C:G,5,FALSE)))</f>
        <v/>
      </c>
    </row>
    <row r="66" spans="1:7" x14ac:dyDescent="0.35">
      <c r="A66" s="64" t="s">
        <v>1383</v>
      </c>
      <c r="B66" s="62" t="str">
        <f t="shared" si="2"/>
        <v/>
      </c>
      <c r="C66" s="62" t="str">
        <f>IF(B66="", "", VLOOKUP(B66,'API Data Dictionary'!C:J,8,FALSE))</f>
        <v/>
      </c>
      <c r="D66" s="62" t="str">
        <f>IF(B66="", "", VLOOKUP(B66,'API Data Dictionary'!C:D,2,FALSE))</f>
        <v/>
      </c>
      <c r="E66" s="62" t="str">
        <f>IF(IF(B66="", "", VLOOKUP(B66,'API Data Dictionary'!C:E,3,FALSE))=0, "", IF(B66="", "", VLOOKUP(B66,'API Data Dictionary'!C:E,3,FALSE)))</f>
        <v/>
      </c>
      <c r="F66" s="62" t="str">
        <f>IF(IF(B66="", "", VLOOKUP(B66,'API Data Dictionary'!C:F,4,FALSE))=0, "", IF(B66="", "", VLOOKUP(B66,'API Data Dictionary'!C:F,4,FALSE)))</f>
        <v/>
      </c>
      <c r="G66" s="62" t="str">
        <f>IF(IF(B66="", "", VLOOKUP(B66,'API Data Dictionary'!C:G,5,FALSE))=0, "", IF(B66="", "", VLOOKUP(B66,'API Data Dictionary'!C:G,5,FALSE)))</f>
        <v/>
      </c>
    </row>
    <row r="67" spans="1:7" x14ac:dyDescent="0.35">
      <c r="A67" s="64" t="s">
        <v>1105</v>
      </c>
      <c r="B67" s="62" t="str">
        <f t="shared" si="2"/>
        <v/>
      </c>
      <c r="C67" s="62" t="str">
        <f>IF(B67="", "", VLOOKUP(B67,'API Data Dictionary'!C:J,8,FALSE))</f>
        <v/>
      </c>
      <c r="D67" s="62" t="str">
        <f>IF(B67="", "", VLOOKUP(B67,'API Data Dictionary'!C:D,2,FALSE))</f>
        <v/>
      </c>
      <c r="E67" s="62" t="str">
        <f>IF(IF(B67="", "", VLOOKUP(B67,'API Data Dictionary'!C:E,3,FALSE))=0, "", IF(B67="", "", VLOOKUP(B67,'API Data Dictionary'!C:E,3,FALSE)))</f>
        <v/>
      </c>
      <c r="F67" s="62" t="str">
        <f>IF(IF(B67="", "", VLOOKUP(B67,'API Data Dictionary'!C:F,4,FALSE))=0, "", IF(B67="", "", VLOOKUP(B67,'API Data Dictionary'!C:F,4,FALSE)))</f>
        <v/>
      </c>
      <c r="G67" s="62" t="str">
        <f>IF(IF(B67="", "", VLOOKUP(B67,'API Data Dictionary'!C:G,5,FALSE))=0, "", IF(B67="", "", VLOOKUP(B67,'API Data Dictionary'!C:G,5,FALSE)))</f>
        <v/>
      </c>
    </row>
    <row r="68" spans="1:7" x14ac:dyDescent="0.35">
      <c r="A68" s="64" t="s">
        <v>1384</v>
      </c>
      <c r="B68" s="62" t="str">
        <f t="shared" si="2"/>
        <v>message</v>
      </c>
      <c r="C68" s="62" t="s">
        <v>68</v>
      </c>
      <c r="D68" s="62" t="str">
        <f>IF(B68="", "", VLOOKUP(B68,'API Data Dictionary'!C:D,2,FALSE))</f>
        <v>string</v>
      </c>
      <c r="E68" s="62">
        <f>IF(IF(B68="", "", VLOOKUP(B68,'API Data Dictionary'!C:E,3,FALSE))=0, "", IF(B68="", "", VLOOKUP(B68,'API Data Dictionary'!C:E,3,FALSE)))</f>
        <v>100</v>
      </c>
      <c r="F68" s="62" t="str">
        <f>IF(IF(B68="", "", VLOOKUP(B68,'API Data Dictionary'!C:F,4,FALSE))=0, "", IF(B68="", "", VLOOKUP(B68,'API Data Dictionary'!C:F,4,FALSE)))</f>
        <v/>
      </c>
      <c r="G68" s="62" t="str">
        <f>IF(IF(B68="", "", VLOOKUP(B68,'API Data Dictionary'!C:G,5,FALSE))=0, "", IF(B68="", "", VLOOKUP(B68,'API Data Dictionary'!C:G,5,FALSE)))</f>
        <v>return value, null or success, unless there has been error</v>
      </c>
    </row>
    <row r="69" spans="1:7" x14ac:dyDescent="0.35">
      <c r="A69" s="64" t="s">
        <v>1120</v>
      </c>
      <c r="B69" s="62" t="str">
        <f t="shared" si="2"/>
        <v/>
      </c>
      <c r="C69" s="62" t="str">
        <f>IF(B69="", "", VLOOKUP(B69,'API Data Dictionary'!C:J,8,FALSE))</f>
        <v/>
      </c>
      <c r="D69" s="62" t="str">
        <f>IF(B69="", "", VLOOKUP(B69,'API Data Dictionary'!C:D,2,FALSE))</f>
        <v/>
      </c>
      <c r="E69" s="62" t="str">
        <f>IF(IF(B69="", "", VLOOKUP(B69,'API Data Dictionary'!C:E,3,FALSE))=0, "", IF(B69="", "", VLOOKUP(B69,'API Data Dictionary'!C:E,3,FALSE)))</f>
        <v/>
      </c>
      <c r="F69" s="62" t="str">
        <f>IF(IF(B69="", "", VLOOKUP(B69,'API Data Dictionary'!C:F,4,FALSE))=0, "", IF(B69="", "", VLOOKUP(B69,'API Data Dictionary'!C:F,4,FALSE)))</f>
        <v/>
      </c>
      <c r="G69" s="62" t="str">
        <f>IF(IF(B69="", "", VLOOKUP(B69,'API Data Dictionary'!C:G,5,FALSE))=0, "", IF(B69="", "", VLOOKUP(B69,'API Data Dictionary'!C:G,5,FALSE)))</f>
        <v/>
      </c>
    </row>
    <row r="71" spans="1:7" x14ac:dyDescent="0.35">
      <c r="A71" s="219" t="s">
        <v>1625</v>
      </c>
      <c r="B71" s="220"/>
      <c r="C71" s="220"/>
      <c r="D71" s="220"/>
      <c r="E71" s="220"/>
      <c r="F71" s="220"/>
      <c r="G71" s="220"/>
    </row>
    <row r="72" spans="1:7" x14ac:dyDescent="0.35">
      <c r="A72" s="88" t="s">
        <v>1561</v>
      </c>
      <c r="B72" s="62" t="s">
        <v>1359</v>
      </c>
      <c r="C72" s="89" t="s">
        <v>1359</v>
      </c>
      <c r="D72" s="62" t="s">
        <v>64</v>
      </c>
      <c r="E72" s="89">
        <v>100</v>
      </c>
      <c r="F72" s="89"/>
      <c r="G72" s="89" t="s">
        <v>1562</v>
      </c>
    </row>
    <row r="74" spans="1:7" x14ac:dyDescent="0.35">
      <c r="A74" s="219" t="s">
        <v>1764</v>
      </c>
      <c r="B74" s="220"/>
      <c r="C74" s="220"/>
      <c r="D74" s="220"/>
      <c r="E74" s="220"/>
      <c r="F74" s="220"/>
      <c r="G74" s="220"/>
    </row>
    <row r="75" spans="1:7" x14ac:dyDescent="0.35">
      <c r="A75" s="88" t="s">
        <v>1763</v>
      </c>
      <c r="B75" s="62" t="s">
        <v>1359</v>
      </c>
      <c r="C75" s="89" t="s">
        <v>1359</v>
      </c>
      <c r="D75" s="62" t="s">
        <v>64</v>
      </c>
      <c r="E75" s="89">
        <v>100</v>
      </c>
      <c r="F75" s="89"/>
      <c r="G75" s="89" t="s">
        <v>1765</v>
      </c>
    </row>
    <row r="77" spans="1:7" x14ac:dyDescent="0.35">
      <c r="A77" s="220" t="s">
        <v>1747</v>
      </c>
      <c r="B77" s="220"/>
      <c r="C77" s="220"/>
      <c r="D77" s="220"/>
      <c r="E77" s="220"/>
      <c r="F77" s="220"/>
      <c r="G77" s="220"/>
    </row>
    <row r="78" spans="1:7" x14ac:dyDescent="0.35">
      <c r="A78" s="108" t="s">
        <v>1094</v>
      </c>
      <c r="B78" s="89" t="str">
        <f t="shared" ref="B78:B97" si="3">IF(OR(ISNUMBER(SEARCH("{", A78)),ISNUMBER(SEARCH("[", A78))), "", IFERROR(MID(A78, SEARCH("""", A78) +1, SEARCH("""", A78, SEARCH("""",A78) +1) - SEARCH("""", A78) -1), ""))</f>
        <v/>
      </c>
      <c r="C78" s="89" t="str">
        <f>IF(B78="", "", VLOOKUP(B78,'API Data Dictionary'!C:J,8,FALSE))</f>
        <v/>
      </c>
      <c r="D78" s="89" t="str">
        <f>IF(B78="", "", VLOOKUP(B78,'API Data Dictionary'!C:D,2,FALSE))</f>
        <v/>
      </c>
      <c r="E78" s="89" t="str">
        <f>IF(IF(B78="", "", VLOOKUP(B78,'API Data Dictionary'!C:E,3,FALSE))=0, "", IF(B78="", "", VLOOKUP(B78,'API Data Dictionary'!C:E,3,FALSE)))</f>
        <v/>
      </c>
      <c r="F78" s="89" t="str">
        <f>IF(IF(B78="", "", VLOOKUP(B78,'API Data Dictionary'!C:F,4,FALSE))=0, "", IF(B78="", "", VLOOKUP(B78,'API Data Dictionary'!C:F,4,FALSE)))</f>
        <v/>
      </c>
      <c r="G78" s="89" t="str">
        <f>IF(IF(B78="", "", VLOOKUP(B78,'API Data Dictionary'!C:G,5,FALSE))=0, "", IF(B78="", "", VLOOKUP(B78,'API Data Dictionary'!C:G,5,FALSE)))</f>
        <v/>
      </c>
    </row>
    <row r="79" spans="1:7" x14ac:dyDescent="0.35">
      <c r="A79" s="108" t="s">
        <v>1574</v>
      </c>
      <c r="B79" s="89" t="str">
        <f t="shared" si="3"/>
        <v>success</v>
      </c>
      <c r="C79" s="89" t="s">
        <v>68</v>
      </c>
      <c r="D79" s="89" t="str">
        <f>IF(B79="", "", VLOOKUP(B79,'API Data Dictionary'!C:D,2,FALSE))</f>
        <v>string - Boolean</v>
      </c>
      <c r="E79" s="89">
        <f>IF(IF(B79="", "", VLOOKUP(B79,'API Data Dictionary'!C:E,3,FALSE))=0, "", IF(B79="", "", VLOOKUP(B79,'API Data Dictionary'!C:E,3,FALSE)))</f>
        <v>100</v>
      </c>
      <c r="F79" s="89" t="str">
        <f>IF(IF(B79="", "", VLOOKUP(B79,'API Data Dictionary'!C:F,4,FALSE))=0, "", IF(B79="", "", VLOOKUP(B79,'API Data Dictionary'!C:F,4,FALSE)))</f>
        <v/>
      </c>
      <c r="G79" s="89" t="str">
        <f>IF(IF(B79="", "", VLOOKUP(B79,'API Data Dictionary'!C:G,5,FALSE))=0, "", IF(B79="", "", VLOOKUP(B79,'API Data Dictionary'!C:G,5,FALSE)))</f>
        <v>Returns true when successful call/connection</v>
      </c>
    </row>
    <row r="80" spans="1:7" x14ac:dyDescent="0.35">
      <c r="A80" s="108" t="s">
        <v>1377</v>
      </c>
      <c r="B80" s="89" t="str">
        <f t="shared" si="3"/>
        <v/>
      </c>
      <c r="C80" s="89" t="str">
        <f>IF(B80="", "", VLOOKUP(B80,'API Data Dictionary'!C:J,8,FALSE))</f>
        <v/>
      </c>
      <c r="D80" s="89" t="str">
        <f>IF(B80="", "", VLOOKUP(B80,'API Data Dictionary'!C:D,2,FALSE))</f>
        <v/>
      </c>
      <c r="E80" s="89" t="str">
        <f>IF(IF(B80="", "", VLOOKUP(B80,'API Data Dictionary'!C:E,3,FALSE))=0, "", IF(B80="", "", VLOOKUP(B80,'API Data Dictionary'!C:E,3,FALSE)))</f>
        <v/>
      </c>
      <c r="F80" s="89" t="str">
        <f>IF(IF(B80="", "", VLOOKUP(B80,'API Data Dictionary'!C:F,4,FALSE))=0, "", IF(B80="", "", VLOOKUP(B80,'API Data Dictionary'!C:F,4,FALSE)))</f>
        <v/>
      </c>
      <c r="G80" s="89" t="str">
        <f>IF(IF(B80="", "", VLOOKUP(B80,'API Data Dictionary'!C:G,5,FALSE))=0, "", IF(B80="", "", VLOOKUP(B80,'API Data Dictionary'!C:G,5,FALSE)))</f>
        <v/>
      </c>
    </row>
    <row r="81" spans="1:7" x14ac:dyDescent="0.35">
      <c r="A81" s="108" t="s">
        <v>1564</v>
      </c>
      <c r="B81" s="89" t="s">
        <v>1589</v>
      </c>
      <c r="C81" s="89" t="s">
        <v>68</v>
      </c>
      <c r="D81" s="89" t="s">
        <v>1593</v>
      </c>
      <c r="E81" s="89"/>
      <c r="F81" s="89"/>
      <c r="G81" s="89"/>
    </row>
    <row r="82" spans="1:7" x14ac:dyDescent="0.35">
      <c r="A82" s="108" t="s">
        <v>1565</v>
      </c>
      <c r="B82" s="89" t="s">
        <v>1590</v>
      </c>
      <c r="C82" s="89" t="s">
        <v>68</v>
      </c>
      <c r="D82" s="89" t="s">
        <v>64</v>
      </c>
      <c r="E82" s="109" t="s">
        <v>1594</v>
      </c>
      <c r="F82" s="89"/>
      <c r="G82" s="89"/>
    </row>
    <row r="83" spans="1:7" x14ac:dyDescent="0.35">
      <c r="A83" s="108" t="s">
        <v>1605</v>
      </c>
      <c r="B83" s="89" t="s">
        <v>1591</v>
      </c>
      <c r="C83" s="89" t="s">
        <v>68</v>
      </c>
      <c r="D83" s="89" t="s">
        <v>64</v>
      </c>
      <c r="E83" s="109" t="s">
        <v>1594</v>
      </c>
      <c r="F83" s="89"/>
      <c r="G83" s="89"/>
    </row>
    <row r="84" spans="1:7" x14ac:dyDescent="0.35">
      <c r="A84" s="108" t="s">
        <v>1566</v>
      </c>
      <c r="B84" s="89"/>
      <c r="C84" s="89"/>
      <c r="D84" s="89"/>
      <c r="E84" s="109"/>
      <c r="F84" s="89"/>
      <c r="G84" s="89"/>
    </row>
    <row r="85" spans="1:7" x14ac:dyDescent="0.35">
      <c r="A85" s="108" t="s">
        <v>1413</v>
      </c>
      <c r="B85" s="89"/>
      <c r="C85" s="89"/>
      <c r="D85" s="89"/>
      <c r="E85" s="109"/>
      <c r="F85" s="89" t="str">
        <f>IF(IF(B85="", "", VLOOKUP(B85,'API Data Dictionary'!C:F,4,FALSE))=0, "", IF(B85="", "", VLOOKUP(B85,'API Data Dictionary'!C:F,4,FALSE)))</f>
        <v/>
      </c>
      <c r="G85" s="89"/>
    </row>
    <row r="86" spans="1:7" x14ac:dyDescent="0.35">
      <c r="A86" s="108" t="s">
        <v>1576</v>
      </c>
      <c r="B86" s="89" t="s">
        <v>1579</v>
      </c>
      <c r="C86" s="89" t="s">
        <v>68</v>
      </c>
      <c r="D86" s="89" t="s">
        <v>64</v>
      </c>
      <c r="E86" s="109" t="s">
        <v>1594</v>
      </c>
      <c r="F86" s="89"/>
      <c r="G86" s="89"/>
    </row>
    <row r="87" spans="1:7" x14ac:dyDescent="0.35">
      <c r="A87" s="108" t="s">
        <v>1577</v>
      </c>
      <c r="B87" s="89" t="s">
        <v>1580</v>
      </c>
      <c r="C87" s="89" t="s">
        <v>68</v>
      </c>
      <c r="D87" s="89" t="s">
        <v>64</v>
      </c>
      <c r="E87" s="109" t="s">
        <v>1594</v>
      </c>
      <c r="F87" s="89"/>
      <c r="G87" s="89"/>
    </row>
    <row r="88" spans="1:7" x14ac:dyDescent="0.35">
      <c r="A88" s="108" t="s">
        <v>1105</v>
      </c>
      <c r="B88" s="89"/>
      <c r="C88" s="89"/>
      <c r="D88" s="89"/>
      <c r="E88" s="109"/>
      <c r="F88" s="89"/>
      <c r="G88" s="89"/>
    </row>
    <row r="89" spans="1:7" x14ac:dyDescent="0.35">
      <c r="A89" s="108" t="s">
        <v>1606</v>
      </c>
      <c r="B89" s="89" t="s">
        <v>1592</v>
      </c>
      <c r="C89" s="89" t="s">
        <v>68</v>
      </c>
      <c r="D89" s="89" t="s">
        <v>64</v>
      </c>
      <c r="E89" s="109" t="s">
        <v>1594</v>
      </c>
      <c r="F89" s="89"/>
      <c r="G89" s="89"/>
    </row>
    <row r="90" spans="1:7" x14ac:dyDescent="0.35">
      <c r="A90" s="108" t="s">
        <v>1120</v>
      </c>
      <c r="B90" s="89"/>
      <c r="C90" s="89"/>
      <c r="D90" s="89"/>
      <c r="E90" s="109"/>
      <c r="F90" s="89"/>
      <c r="G90" s="89"/>
    </row>
    <row r="91" spans="1:7" x14ac:dyDescent="0.35">
      <c r="A91" s="103"/>
    </row>
    <row r="92" spans="1:7" x14ac:dyDescent="0.35">
      <c r="A92" s="220" t="s">
        <v>1598</v>
      </c>
      <c r="B92" s="220"/>
      <c r="C92" s="220"/>
      <c r="D92" s="220"/>
      <c r="E92" s="220"/>
      <c r="F92" s="220"/>
      <c r="G92" s="220"/>
    </row>
    <row r="93" spans="1:7" x14ac:dyDescent="0.35">
      <c r="A93" s="110" t="s">
        <v>1094</v>
      </c>
      <c r="B93" s="89" t="str">
        <f t="shared" si="3"/>
        <v/>
      </c>
      <c r="C93" s="89" t="str">
        <f>IF(B93="", "", VLOOKUP(B93,'API Data Dictionary'!C:J,8,FALSE))</f>
        <v/>
      </c>
      <c r="D93" s="89" t="str">
        <f>IF(B93="", "", VLOOKUP(B93,'API Data Dictionary'!C:D,2,FALSE))</f>
        <v/>
      </c>
      <c r="E93" s="89" t="str">
        <f>IF(IF(B93="", "", VLOOKUP(B93,'API Data Dictionary'!C:E,3,FALSE))=0, "", IF(B93="", "", VLOOKUP(B93,'API Data Dictionary'!C:E,3,FALSE)))</f>
        <v/>
      </c>
      <c r="F93" s="89" t="str">
        <f>IF(IF(B93="", "", VLOOKUP(B93,'API Data Dictionary'!C:F,4,FALSE))=0, "", IF(B93="", "", VLOOKUP(B93,'API Data Dictionary'!C:F,4,FALSE)))</f>
        <v/>
      </c>
      <c r="G93" s="89" t="str">
        <f>IF(IF(B93="", "", VLOOKUP(B93,'API Data Dictionary'!C:G,5,FALSE))=0, "", IF(B93="", "", VLOOKUP(B93,'API Data Dictionary'!C:G,5,FALSE)))</f>
        <v/>
      </c>
    </row>
    <row r="94" spans="1:7" x14ac:dyDescent="0.35">
      <c r="A94" s="110" t="s">
        <v>1567</v>
      </c>
      <c r="B94" s="89" t="str">
        <f t="shared" si="3"/>
        <v>success</v>
      </c>
      <c r="C94" s="89" t="s">
        <v>68</v>
      </c>
      <c r="D94" s="89" t="str">
        <f>IF(B94="", "", VLOOKUP(B94,'API Data Dictionary'!C:D,2,FALSE))</f>
        <v>string - Boolean</v>
      </c>
      <c r="E94" s="89">
        <f>IF(IF(B94="", "", VLOOKUP(B94,'API Data Dictionary'!C:E,3,FALSE))=0, "", IF(B94="", "", VLOOKUP(B94,'API Data Dictionary'!C:E,3,FALSE)))</f>
        <v>100</v>
      </c>
      <c r="F94" s="89" t="str">
        <f>IF(IF(B94="", "", VLOOKUP(B94,'API Data Dictionary'!C:F,4,FALSE))=0, "", IF(B94="", "", VLOOKUP(B94,'API Data Dictionary'!C:F,4,FALSE)))</f>
        <v/>
      </c>
      <c r="G94" s="89" t="str">
        <f>IF(IF(B94="", "", VLOOKUP(B94,'API Data Dictionary'!C:G,5,FALSE))=0, "", IF(B94="", "", VLOOKUP(B94,'API Data Dictionary'!C:G,5,FALSE)))</f>
        <v>Returns true when successful call/connection</v>
      </c>
    </row>
    <row r="95" spans="1:7" x14ac:dyDescent="0.35">
      <c r="A95" s="110" t="s">
        <v>1596</v>
      </c>
      <c r="B95" s="89" t="str">
        <f t="shared" si="3"/>
        <v>payload</v>
      </c>
      <c r="C95" s="89" t="s">
        <v>68</v>
      </c>
      <c r="D95" s="89" t="str">
        <f>IF(B95="", "", VLOOKUP(B95,'API Data Dictionary'!C:D,2,FALSE))</f>
        <v>string</v>
      </c>
      <c r="E95" s="89">
        <f>IF(IF(B95="", "", VLOOKUP(B95,'API Data Dictionary'!C:E,3,FALSE))=0, "", IF(B95="", "", VLOOKUP(B95,'API Data Dictionary'!C:E,3,FALSE)))</f>
        <v>100</v>
      </c>
      <c r="F95" s="89" t="str">
        <f>IF(IF(B95="", "", VLOOKUP(B95,'API Data Dictionary'!C:F,4,FALSE))=0, "", IF(B95="", "", VLOOKUP(B95,'API Data Dictionary'!C:F,4,FALSE)))</f>
        <v/>
      </c>
      <c r="G95" s="89" t="str">
        <f>IF(IF(B95="", "", VLOOKUP(B95,'API Data Dictionary'!C:G,5,FALSE))=0, "", IF(B95="", "", VLOOKUP(B95,'API Data Dictionary'!C:G,5,FALSE)))</f>
        <v>Returns healthy when connection has worked properly</v>
      </c>
    </row>
    <row r="96" spans="1:7" x14ac:dyDescent="0.35">
      <c r="A96" s="110" t="s">
        <v>1597</v>
      </c>
      <c r="B96" s="89" t="str">
        <f t="shared" si="3"/>
        <v>message</v>
      </c>
      <c r="C96" s="89" t="s">
        <v>68</v>
      </c>
      <c r="D96" s="89" t="str">
        <f>IF(B96="", "", VLOOKUP(B96,'API Data Dictionary'!C:D,2,FALSE))</f>
        <v>string</v>
      </c>
      <c r="E96" s="89">
        <f>IF(IF(B96="", "", VLOOKUP(B96,'API Data Dictionary'!C:E,3,FALSE))=0, "", IF(B96="", "", VLOOKUP(B96,'API Data Dictionary'!C:E,3,FALSE)))</f>
        <v>100</v>
      </c>
      <c r="F96" s="89" t="str">
        <f>IF(IF(B96="", "", VLOOKUP(B96,'API Data Dictionary'!C:F,4,FALSE))=0, "", IF(B96="", "", VLOOKUP(B96,'API Data Dictionary'!C:F,4,FALSE)))</f>
        <v/>
      </c>
      <c r="G96" s="89" t="str">
        <f>IF(IF(B96="", "", VLOOKUP(B96,'API Data Dictionary'!C:G,5,FALSE))=0, "", IF(B96="", "", VLOOKUP(B96,'API Data Dictionary'!C:G,5,FALSE)))</f>
        <v>return value, null or success, unless there has been error</v>
      </c>
    </row>
    <row r="97" spans="1:7" x14ac:dyDescent="0.35">
      <c r="A97" s="110" t="s">
        <v>1120</v>
      </c>
      <c r="B97" s="89" t="str">
        <f t="shared" si="3"/>
        <v/>
      </c>
      <c r="C97" s="89" t="str">
        <f>IF(B97="", "", VLOOKUP(B97,'API Data Dictionary'!C:J,8,FALSE))</f>
        <v/>
      </c>
      <c r="D97" s="89" t="str">
        <f>IF(B97="", "", VLOOKUP(B97,'API Data Dictionary'!C:D,2,FALSE))</f>
        <v/>
      </c>
      <c r="E97" s="89" t="str">
        <f>IF(IF(B97="", "", VLOOKUP(B97,'API Data Dictionary'!C:E,3,FALSE))=0, "", IF(B97="", "", VLOOKUP(B97,'API Data Dictionary'!C:E,3,FALSE)))</f>
        <v/>
      </c>
      <c r="F97" s="89" t="str">
        <f>IF(IF(B97="", "", VLOOKUP(B97,'API Data Dictionary'!C:F,4,FALSE))=0, "", IF(B97="", "", VLOOKUP(B97,'API Data Dictionary'!C:F,4,FALSE)))</f>
        <v/>
      </c>
      <c r="G97" s="89" t="str">
        <f>IF(IF(B97="", "", VLOOKUP(B97,'API Data Dictionary'!C:G,5,FALSE))=0, "", IF(B97="", "", VLOOKUP(B97,'API Data Dictionary'!C:G,5,FALSE)))</f>
        <v/>
      </c>
    </row>
  </sheetData>
  <mergeCells count="6">
    <mergeCell ref="A92:G92"/>
    <mergeCell ref="A71:G71"/>
    <mergeCell ref="A74:G74"/>
    <mergeCell ref="A2:G2"/>
    <mergeCell ref="A55:G55"/>
    <mergeCell ref="A77:G77"/>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9ED2F-368D-4D96-865F-859937CEEEF5}">
  <sheetPr>
    <tabColor rgb="FF4472C4"/>
  </sheetPr>
  <dimension ref="A1:G83"/>
  <sheetViews>
    <sheetView zoomScaleNormal="100" workbookViewId="0">
      <selection activeCell="A9" sqref="A9:XFD9"/>
    </sheetView>
  </sheetViews>
  <sheetFormatPr defaultRowHeight="14.5" x14ac:dyDescent="0.35"/>
  <cols>
    <col min="1" max="1" width="69.81640625" bestFit="1" customWidth="1"/>
    <col min="2" max="2" width="27.453125" bestFit="1" customWidth="1"/>
    <col min="3" max="3" width="16" bestFit="1" customWidth="1"/>
    <col min="4" max="4" width="31.7265625" bestFit="1" customWidth="1"/>
    <col min="5" max="5" width="10.54296875" style="46" customWidth="1"/>
    <col min="6" max="6" width="45.453125" bestFit="1" customWidth="1"/>
    <col min="7" max="7" width="194.7265625" bestFit="1" customWidth="1"/>
  </cols>
  <sheetData>
    <row r="1" spans="1:7" ht="43.5" x14ac:dyDescent="0.35">
      <c r="A1" s="63" t="s">
        <v>1329</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B5" si="0">IF(OR(ISNUMBER(SEARCH("{", A3)),ISNUMBER(SEARCH("[", A3))), "", IFERROR(MID(A3, SEARCH("""", A3) +1, SEARCH("""", A3, SEARCH("""",A3) +1) - SEARCH("""", A3) -1), ""))</f>
        <v/>
      </c>
      <c r="C3" s="62" t="str">
        <f>IF(B3="", "", VLOOKUP(B3,'API Data Dictionary'!C:AN,38,FALSE))</f>
        <v/>
      </c>
      <c r="D3" s="62" t="str">
        <f>IF(B3="", "", VLOOKUP(B3,'API Data Dictionary'!C:D,2,FALSE))</f>
        <v/>
      </c>
      <c r="E3" s="65"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1292</v>
      </c>
      <c r="B4" s="62" t="str">
        <f t="shared" si="0"/>
        <v>agentCode</v>
      </c>
      <c r="C4" s="62" t="s">
        <v>68</v>
      </c>
      <c r="D4" s="62" t="str">
        <f>IF(B4="", "", VLOOKUP(B4,'API Data Dictionary'!C:D,2,FALSE))</f>
        <v>string</v>
      </c>
      <c r="E4" s="65">
        <f>IF(IF(B4="", "", VLOOKUP(B4,'API Data Dictionary'!C:E,3,FALSE))=0, "", IF(B4="", "", VLOOKUP(B4,'API Data Dictionary'!C:E,3,FALSE)))</f>
        <v>50</v>
      </c>
      <c r="F4" s="62" t="str">
        <f>IF(IF(B4="", "", VLOOKUP(B4,'API Data Dictionary'!C:F,4,FALSE))=0, "", IF(B4="", "", VLOOKUP(B4,'API Data Dictionary'!C:F,4,FALSE)))</f>
        <v/>
      </c>
      <c r="G4" s="62"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x14ac:dyDescent="0.35">
      <c r="A5" s="64" t="s">
        <v>1096</v>
      </c>
      <c r="B5" s="62" t="str">
        <f t="shared" si="0"/>
        <v>rentGuarantee</v>
      </c>
      <c r="C5" s="62" t="s">
        <v>68</v>
      </c>
      <c r="D5" s="62" t="str">
        <f>IF(B5="", "", VLOOKUP(B5,'API Data Dictionary'!C:D,2,FALSE))</f>
        <v>enum - Rent Guarantee</v>
      </c>
      <c r="E5" s="65" t="str">
        <f>IF(IF(B5="", "", VLOOKUP(B5,'API Data Dictionary'!C:E,3,FALSE))=0, "", IF(B5="", "", VLOOKUP(B5,'API Data Dictionary'!C:E,3,FALSE)))</f>
        <v/>
      </c>
      <c r="F5" s="62" t="str">
        <f>IF(IF(B5="", "", VLOOKUP(B5,'API Data Dictionary'!C:F,4,FALSE))=0, "", IF(B5="", "", VLOOKUP(B5,'API Data Dictionary'!C:F,4,FALSE)))</f>
        <v>Valid Values 1-4 (See enum definition)</v>
      </c>
      <c r="G5" s="62" t="str">
        <f>IF(IF(B5="", "", VLOOKUP(B5,'API Data Dictionary'!C:G,5,FALSE))=0, "", IF(B5="", "", VLOOKUP(B5,'API Data Dictionary'!C:G,5,FALSE)))</f>
        <v xml:space="preserve">Rent guarantee is an indicator that determines which RG option if any  the agent requires </v>
      </c>
    </row>
    <row r="6" spans="1:7" x14ac:dyDescent="0.35">
      <c r="A6" s="64" t="s">
        <v>1293</v>
      </c>
      <c r="B6" s="62" t="str">
        <f t="shared" ref="B6:B39" si="1">IF(OR(ISNUMBER(SEARCH("{", A6)),ISNUMBER(SEARCH("[", A6))), "", IFERROR(MID(A6, SEARCH("""", A6) +1, SEARCH("""", A6, SEARCH("""",A6) +1) - SEARCH("""", A6) -1), ""))</f>
        <v>tenancyTermMonths</v>
      </c>
      <c r="C6" s="62" t="s">
        <v>68</v>
      </c>
      <c r="D6" s="62" t="str">
        <f>IF(B6="", "", VLOOKUP(B6,'API Data Dictionary'!C:D,2,FALSE))</f>
        <v>integer</v>
      </c>
      <c r="E6" s="65" t="str">
        <f>IF(IF(B6="", "", VLOOKUP(B6,'API Data Dictionary'!C:E,3,FALSE))=0, "", IF(B6="", "", VLOOKUP(B6,'API Data Dictionary'!C:E,3,FALSE)))</f>
        <v/>
      </c>
      <c r="F6" s="62" t="str">
        <f>IF(IF(B6="", "", VLOOKUP(B6,'API Data Dictionary'!C:F,4,FALSE))=0, "", IF(B6="", "", VLOOKUP(B6,'API Data Dictionary'!C:F,4,FALSE)))</f>
        <v/>
      </c>
      <c r="G6" s="62" t="str">
        <f>IF(IF(B6="", "", VLOOKUP(B6,'API Data Dictionary'!C:G,5,FALSE))=0, "", IF(B6="", "", VLOOKUP(B6,'API Data Dictionary'!C:G,5,FALSE)))</f>
        <v>The term of the Tenancy in months (whole months only)</v>
      </c>
    </row>
    <row r="7" spans="1:7" x14ac:dyDescent="0.35">
      <c r="A7" s="64" t="s">
        <v>1097</v>
      </c>
      <c r="B7" s="62" t="str">
        <f t="shared" si="1"/>
        <v>monthlyRental</v>
      </c>
      <c r="C7" s="62" t="s">
        <v>68</v>
      </c>
      <c r="D7" s="62" t="str">
        <f>IF(B7="", "", VLOOKUP(B7,'API Data Dictionary'!C:D,2,FALSE))</f>
        <v>number (double)</v>
      </c>
      <c r="E7" s="65" t="str">
        <f>IF(IF(B7="", "", VLOOKUP(B7,'API Data Dictionary'!C:E,3,FALSE))=0, "", IF(B7="", "", VLOOKUP(B7,'API Data Dictionary'!C:E,3,FALSE)))</f>
        <v/>
      </c>
      <c r="F7" s="62" t="str">
        <f>IF(IF(B7="", "", VLOOKUP(B7,'API Data Dictionary'!C:F,4,FALSE))=0, "", IF(B7="", "", VLOOKUP(B7,'API Data Dictionary'!C:F,4,FALSE)))</f>
        <v xml:space="preserve">	number($double)
pattern: ^\d*.\d{0,2}$</v>
      </c>
      <c r="G7" s="62" t="str">
        <f>IF(IF(B7="", "", VLOOKUP(B7,'API Data Dictionary'!C:G,5,FALSE))=0, "", IF(B7="", "", VLOOKUP(B7,'API Data Dictionary'!C:G,5,FALSE)))</f>
        <v>The monthly rental cost</v>
      </c>
    </row>
    <row r="8" spans="1:7" x14ac:dyDescent="0.35">
      <c r="A8" s="64" t="s">
        <v>1098</v>
      </c>
      <c r="B8" s="62" t="str">
        <f t="shared" si="1"/>
        <v>lettingType</v>
      </c>
      <c r="C8" s="62" t="s">
        <v>68</v>
      </c>
      <c r="D8" s="62" t="str">
        <f>IF(B8="", "", VLOOKUP(B8,'API Data Dictionary'!C:D,2,FALSE))</f>
        <v>enum - Letting Type</v>
      </c>
      <c r="E8" s="65" t="str">
        <f>IF(IF(B8="", "", VLOOKUP(B8,'API Data Dictionary'!C:E,3,FALSE))=0, "", IF(B8="", "", VLOOKUP(B8,'API Data Dictionary'!C:E,3,FALSE)))</f>
        <v/>
      </c>
      <c r="F8" s="62" t="str">
        <f>IF(IF(B8="", "", VLOOKUP(B8,'API Data Dictionary'!C:F,4,FALSE))=0, "", IF(B8="", "", VLOOKUP(B8,'API Data Dictionary'!C:F,4,FALSE)))</f>
        <v>Valid Values 1-3 (See enum definition)</v>
      </c>
      <c r="G8" s="62" t="str">
        <f>IF(IF(B8="", "", VLOOKUP(B8,'API Data Dictionary'!C:G,5,FALSE))=0, "", IF(B8="", "", VLOOKUP(B8,'API Data Dictionary'!C:G,5,FALSE)))</f>
        <v>The type of the letting, i.e. rent only or fully managed</v>
      </c>
    </row>
    <row r="9" spans="1:7" x14ac:dyDescent="0.35">
      <c r="A9" s="64" t="s">
        <v>1330</v>
      </c>
      <c r="B9" s="62" t="str">
        <f t="shared" si="1"/>
        <v>estimatedMoveInDate</v>
      </c>
      <c r="C9" s="62" t="s">
        <v>68</v>
      </c>
      <c r="D9" s="62" t="str">
        <f>IF(B9="", "", VLOOKUP(B9,'API Data Dictionary'!C:D,2,FALSE))</f>
        <v>string ($date-time)</v>
      </c>
      <c r="E9" s="65" t="str">
        <f>IF(IF(B9="", "", VLOOKUP(B9,'API Data Dictionary'!C:E,3,FALSE))=0, "", IF(B9="", "", VLOOKUP(B9,'API Data Dictionary'!C:E,3,FALSE)))</f>
        <v/>
      </c>
      <c r="F9" s="62" t="str">
        <f>IF(IF(B9="", "", VLOOKUP(B9,'API Data Dictionary'!C:F,4,FALSE))=0, "", IF(B9="", "", VLOOKUP(B9,'API Data Dictionary'!C:F,4,FALSE)))</f>
        <v>DD/MM/YYYY</v>
      </c>
      <c r="G9" s="62" t="str">
        <f>IF(IF(B9="", "", VLOOKUP(B9,'API Data Dictionary'!C:G,5,FALSE))=0, "", IF(B9="", "", VLOOKUP(B9,'API Data Dictionary'!C:G,5,FALSE)))</f>
        <v>Estimated date of tenancy start (move in)</v>
      </c>
    </row>
    <row r="10" spans="1:7" x14ac:dyDescent="0.35">
      <c r="A10" s="64" t="s">
        <v>1099</v>
      </c>
      <c r="B10" s="62" t="str">
        <f t="shared" si="1"/>
        <v>propertyType</v>
      </c>
      <c r="C10" s="62" t="s">
        <v>68</v>
      </c>
      <c r="D10" s="62" t="str">
        <f>IF(B10="", "", VLOOKUP(B10,'API Data Dictionary'!C:D,2,FALSE))</f>
        <v>enum - Property Type</v>
      </c>
      <c r="E10" s="65" t="str">
        <f>IF(IF(B10="", "", VLOOKUP(B10,'API Data Dictionary'!C:E,3,FALSE))=0, "", IF(B10="", "", VLOOKUP(B10,'API Data Dictionary'!C:E,3,FALSE)))</f>
        <v/>
      </c>
      <c r="F10" s="62" t="str">
        <f>IF(IF(B10="", "", VLOOKUP(B10,'API Data Dictionary'!C:F,4,FALSE))=0, "", IF(B10="", "", VLOOKUP(B10,'API Data Dictionary'!C:F,4,FALSE)))</f>
        <v>Valid Values 1-6 (See enum definition)</v>
      </c>
      <c r="G10" s="62" t="str">
        <f>IF(IF(B10="", "", VLOOKUP(B10,'API Data Dictionary'!C:G,5,FALSE))=0, "", IF(B10="", "", VLOOKUP(B10,'API Data Dictionary'!C:G,5,FALSE)))</f>
        <v xml:space="preserve">The Type of property </v>
      </c>
    </row>
    <row r="11" spans="1:7" x14ac:dyDescent="0.35">
      <c r="A11" s="64" t="s">
        <v>1295</v>
      </c>
      <c r="B11" s="62" t="str">
        <f t="shared" si="1"/>
        <v>propertyConstructionPeriod</v>
      </c>
      <c r="C11" s="62" t="s">
        <v>68</v>
      </c>
      <c r="D11" s="62" t="str">
        <f>IF(B11="", "", VLOOKUP(B11,'API Data Dictionary'!C:D,2,FALSE))</f>
        <v>enum - Property Construction Period</v>
      </c>
      <c r="E11" s="65" t="str">
        <f>IF(IF(B11="", "", VLOOKUP(B11,'API Data Dictionary'!C:E,3,FALSE))=0, "", IF(B11="", "", VLOOKUP(B11,'API Data Dictionary'!C:E,3,FALSE)))</f>
        <v/>
      </c>
      <c r="F11" s="62" t="str">
        <f>IF(IF(B11="", "", VLOOKUP(B11,'API Data Dictionary'!C:F,4,FALSE))=0, "", IF(B11="", "", VLOOKUP(B11,'API Data Dictionary'!C:F,4,FALSE)))</f>
        <v>Valid Values 1-9 (See enum definition)</v>
      </c>
      <c r="G11" s="62" t="str">
        <f>IF(IF(B11="", "", VLOOKUP(B11,'API Data Dictionary'!C:G,5,FALSE))=0, "", IF(B11="", "", VLOOKUP(B11,'API Data Dictionary'!C:G,5,FALSE)))</f>
        <v>The time period in which the property was built</v>
      </c>
    </row>
    <row r="12" spans="1:7" x14ac:dyDescent="0.35">
      <c r="A12" s="64" t="s">
        <v>1100</v>
      </c>
      <c r="B12" s="62" t="str">
        <f t="shared" si="1"/>
        <v>numberOfBedrooms</v>
      </c>
      <c r="C12" s="62" t="s">
        <v>68</v>
      </c>
      <c r="D12" s="62" t="str">
        <f>IF(B12="", "", VLOOKUP(B12,'API Data Dictionary'!C:D,2,FALSE))</f>
        <v>integer</v>
      </c>
      <c r="E12" s="65" t="str">
        <f>IF(IF(B12="", "", VLOOKUP(B12,'API Data Dictionary'!C:E,3,FALSE))=0, "", IF(B12="", "", VLOOKUP(B12,'API Data Dictionary'!C:E,3,FALSE)))</f>
        <v/>
      </c>
      <c r="F12" s="62" t="str">
        <f>IF(IF(B12="", "", VLOOKUP(B12,'API Data Dictionary'!C:F,4,FALSE))=0, "", IF(B12="", "", VLOOKUP(B12,'API Data Dictionary'!C:F,4,FALSE)))</f>
        <v/>
      </c>
      <c r="G12" s="62" t="str">
        <f>IF(IF(B12="", "", VLOOKUP(B12,'API Data Dictionary'!C:G,5,FALSE))=0, "", IF(B12="", "", VLOOKUP(B12,'API Data Dictionary'!C:G,5,FALSE)))</f>
        <v>The count of bedrooms in the property</v>
      </c>
    </row>
    <row r="13" spans="1:7" x14ac:dyDescent="0.35">
      <c r="A13" s="64" t="s">
        <v>1101</v>
      </c>
      <c r="B13" s="62" t="str">
        <f t="shared" si="1"/>
        <v>noOfAdultOccupants</v>
      </c>
      <c r="C13" s="62" t="s">
        <v>68</v>
      </c>
      <c r="D13" s="62" t="str">
        <f>IF(B13="", "", VLOOKUP(B13,'API Data Dictionary'!C:D,2,FALSE))</f>
        <v>integer</v>
      </c>
      <c r="E13" s="65" t="str">
        <f>IF(IF(B13="", "", VLOOKUP(B13,'API Data Dictionary'!C:E,3,FALSE))=0, "", IF(B13="", "", VLOOKUP(B13,'API Data Dictionary'!C:E,3,FALSE)))</f>
        <v/>
      </c>
      <c r="F13" s="62" t="str">
        <f>IF(IF(B13="", "", VLOOKUP(B13,'API Data Dictionary'!C:F,4,FALSE))=0, "", IF(B13="", "", VLOOKUP(B13,'API Data Dictionary'!C:F,4,FALSE)))</f>
        <v/>
      </c>
      <c r="G13" s="62" t="str">
        <f>IF(IF(B13="", "", VLOOKUP(B13,'API Data Dictionary'!C:G,5,FALSE))=0, "", IF(B13="", "", VLOOKUP(B13,'API Data Dictionary'!C:G,5,FALSE)))</f>
        <v>Number of Adult occupants (18 or over)</v>
      </c>
    </row>
    <row r="14" spans="1:7" x14ac:dyDescent="0.35">
      <c r="A14" s="64" t="s">
        <v>1102</v>
      </c>
      <c r="B14" s="62" t="str">
        <f t="shared" si="1"/>
        <v>noOfChildOccupants</v>
      </c>
      <c r="C14" s="62" t="s">
        <v>68</v>
      </c>
      <c r="D14" s="62" t="str">
        <f>IF(B14="", "", VLOOKUP(B14,'API Data Dictionary'!C:D,2,FALSE))</f>
        <v>integer</v>
      </c>
      <c r="E14" s="65" t="str">
        <f>IF(IF(B14="", "", VLOOKUP(B14,'API Data Dictionary'!C:E,3,FALSE))=0, "", IF(B14="", "", VLOOKUP(B14,'API Data Dictionary'!C:E,3,FALSE)))</f>
        <v/>
      </c>
      <c r="F14" s="62" t="str">
        <f>IF(IF(B14="", "", VLOOKUP(B14,'API Data Dictionary'!C:F,4,FALSE))=0, "", IF(B14="", "", VLOOKUP(B14,'API Data Dictionary'!C:F,4,FALSE)))</f>
        <v/>
      </c>
      <c r="G14" s="62" t="str">
        <f>IF(IF(B14="", "", VLOOKUP(B14,'API Data Dictionary'!C:G,5,FALSE))=0, "", IF(B14="", "", VLOOKUP(B14,'API Data Dictionary'!C:G,5,FALSE)))</f>
        <v>Number of Child Occupants (under 18)</v>
      </c>
    </row>
    <row r="15" spans="1:7" x14ac:dyDescent="0.35">
      <c r="A15" s="64" t="s">
        <v>1103</v>
      </c>
      <c r="B15" s="62" t="str">
        <f t="shared" si="1"/>
        <v/>
      </c>
      <c r="C15" s="62"/>
      <c r="D15" s="62" t="str">
        <f>IF(B15="", "", VLOOKUP(B15,'API Data Dictionary'!C:D,2,FALSE))</f>
        <v/>
      </c>
      <c r="E15" s="65" t="str">
        <f>IF(IF(B15="", "", VLOOKUP(B15,'API Data Dictionary'!C:E,3,FALSE))=0, "", IF(B15="", "", VLOOKUP(B15,'API Data Dictionary'!C:E,3,FALSE)))</f>
        <v/>
      </c>
      <c r="F15" s="62" t="str">
        <f>IF(IF(B15="", "", VLOOKUP(B15,'API Data Dictionary'!C:F,4,FALSE))=0, "", IF(B15="", "", VLOOKUP(B15,'API Data Dictionary'!C:F,4,FALSE)))</f>
        <v/>
      </c>
      <c r="G15" s="62" t="str">
        <f>IF(IF(B15="", "", VLOOKUP(B15,'API Data Dictionary'!C:G,5,FALSE))=0, "", IF(B15="", "", VLOOKUP(B15,'API Data Dictionary'!C:G,5,FALSE)))</f>
        <v/>
      </c>
    </row>
    <row r="16" spans="1:7" x14ac:dyDescent="0.35">
      <c r="A16" s="64" t="s">
        <v>1331</v>
      </c>
      <c r="B16" s="62" t="str">
        <f t="shared" si="1"/>
        <v>houseNumber</v>
      </c>
      <c r="C16" s="62" t="s">
        <v>66</v>
      </c>
      <c r="D16" s="62" t="str">
        <f>IF(B16="", "", VLOOKUP(B16,'API Data Dictionary'!C:D,2,FALSE))</f>
        <v>string</v>
      </c>
      <c r="E16" s="65">
        <f>IF(IF(B16="", "", VLOOKUP(B16,'API Data Dictionary'!C:E,3,FALSE))=0, "", IF(B16="", "", VLOOKUP(B16,'API Data Dictionary'!C:E,3,FALSE)))</f>
        <v>100</v>
      </c>
      <c r="F16" s="62" t="str">
        <f>IF(IF(B16="", "", VLOOKUP(B16,'API Data Dictionary'!C:F,4,FALSE))=0, "", IF(B16="", "", VLOOKUP(B16,'API Data Dictionary'!C:F,4,FALSE)))</f>
        <v/>
      </c>
      <c r="G16" s="62" t="str">
        <f>IF(IF(B16="", "", VLOOKUP(B16,'API Data Dictionary'!C:G,5,FALSE))=0, "", IF(B16="", "", VLOOKUP(B16,'API Data Dictionary'!C:G,5,FALSE)))</f>
        <v xml:space="preserve">The number of the property, mandatory OR pair with House name field </v>
      </c>
    </row>
    <row r="17" spans="1:7" x14ac:dyDescent="0.35">
      <c r="A17" s="64" t="s">
        <v>1332</v>
      </c>
      <c r="B17" s="62" t="str">
        <f t="shared" si="1"/>
        <v>houseName</v>
      </c>
      <c r="C17" s="62" t="s">
        <v>66</v>
      </c>
      <c r="D17" s="62" t="str">
        <f>IF(B17="", "", VLOOKUP(B17,'API Data Dictionary'!C:D,2,FALSE))</f>
        <v>string</v>
      </c>
      <c r="E17" s="65">
        <f>IF(IF(B17="", "", VLOOKUP(B17,'API Data Dictionary'!C:E,3,FALSE))=0, "", IF(B17="", "", VLOOKUP(B17,'API Data Dictionary'!C:E,3,FALSE)))</f>
        <v>100</v>
      </c>
      <c r="F17" s="62" t="str">
        <f>IF(IF(B17="", "", VLOOKUP(B17,'API Data Dictionary'!C:F,4,FALSE))=0, "", IF(B17="", "", VLOOKUP(B17,'API Data Dictionary'!C:F,4,FALSE)))</f>
        <v/>
      </c>
      <c r="G17" s="62" t="str">
        <f>IF(IF(B17="", "", VLOOKUP(B17,'API Data Dictionary'!C:G,5,FALSE))=0, "", IF(B17="", "", VLOOKUP(B17,'API Data Dictionary'!C:G,5,FALSE)))</f>
        <v xml:space="preserve">The name of the property, mandatory OR pair with House number field </v>
      </c>
    </row>
    <row r="18" spans="1:7" x14ac:dyDescent="0.35">
      <c r="A18" s="64" t="s">
        <v>1333</v>
      </c>
      <c r="B18" s="62" t="str">
        <f t="shared" si="1"/>
        <v>addressLine1</v>
      </c>
      <c r="C18" s="62" t="s">
        <v>68</v>
      </c>
      <c r="D18" s="62" t="str">
        <f>IF(B18="", "", VLOOKUP(B18,'API Data Dictionary'!C:D,2,FALSE))</f>
        <v>string</v>
      </c>
      <c r="E18" s="65">
        <f>IF(IF(B18="", "", VLOOKUP(B18,'API Data Dictionary'!C:E,3,FALSE))=0, "", IF(B18="", "", VLOOKUP(B18,'API Data Dictionary'!C:E,3,FALSE)))</f>
        <v>100</v>
      </c>
      <c r="F18" s="62" t="str">
        <f>IF(IF(B18="", "", VLOOKUP(B18,'API Data Dictionary'!C:F,4,FALSE))=0, "", IF(B18="", "", VLOOKUP(B18,'API Data Dictionary'!C:F,4,FALSE)))</f>
        <v/>
      </c>
      <c r="G18" s="62" t="str">
        <f>IF(IF(B18="", "", VLOOKUP(B18,'API Data Dictionary'!C:G,5,FALSE))=0, "", IF(B18="", "", VLOOKUP(B18,'API Data Dictionary'!C:G,5,FALSE)))</f>
        <v>The first line of the property address</v>
      </c>
    </row>
    <row r="19" spans="1:7" x14ac:dyDescent="0.35">
      <c r="A19" s="64" t="s">
        <v>1299</v>
      </c>
      <c r="B19" s="62" t="str">
        <f t="shared" si="1"/>
        <v>addressLine2</v>
      </c>
      <c r="C19" s="62" t="s">
        <v>66</v>
      </c>
      <c r="D19" s="62" t="str">
        <f>IF(B19="", "", VLOOKUP(B19,'API Data Dictionary'!C:D,2,FALSE))</f>
        <v>string</v>
      </c>
      <c r="E19" s="65">
        <f>IF(IF(B19="", "", VLOOKUP(B19,'API Data Dictionary'!C:E,3,FALSE))=0, "", IF(B19="", "", VLOOKUP(B19,'API Data Dictionary'!C:E,3,FALSE)))</f>
        <v>100</v>
      </c>
      <c r="F19" s="62" t="str">
        <f>IF(IF(B19="", "", VLOOKUP(B19,'API Data Dictionary'!C:F,4,FALSE))=0, "", IF(B19="", "", VLOOKUP(B19,'API Data Dictionary'!C:F,4,FALSE)))</f>
        <v/>
      </c>
      <c r="G19" s="62" t="str">
        <f>IF(IF(B19="", "", VLOOKUP(B19,'API Data Dictionary'!C:G,5,FALSE))=0, "", IF(B19="", "", VLOOKUP(B19,'API Data Dictionary'!C:G,5,FALSE)))</f>
        <v>The second line of the property address</v>
      </c>
    </row>
    <row r="20" spans="1:7" x14ac:dyDescent="0.35">
      <c r="A20" s="64" t="s">
        <v>1334</v>
      </c>
      <c r="B20" s="62" t="str">
        <f t="shared" si="1"/>
        <v>town</v>
      </c>
      <c r="C20" s="62" t="s">
        <v>68</v>
      </c>
      <c r="D20" s="62" t="str">
        <f>IF(B20="", "", VLOOKUP(B20,'API Data Dictionary'!C:D,2,FALSE))</f>
        <v>string</v>
      </c>
      <c r="E20" s="65">
        <f>IF(IF(B20="", "", VLOOKUP(B20,'API Data Dictionary'!C:E,3,FALSE))=0, "", IF(B20="", "", VLOOKUP(B20,'API Data Dictionary'!C:E,3,FALSE)))</f>
        <v>50</v>
      </c>
      <c r="F20" s="62" t="str">
        <f>IF(IF(B20="", "", VLOOKUP(B20,'API Data Dictionary'!C:F,4,FALSE))=0, "", IF(B20="", "", VLOOKUP(B20,'API Data Dictionary'!C:F,4,FALSE)))</f>
        <v/>
      </c>
      <c r="G20" s="62" t="str">
        <f>IF(IF(B20="", "", VLOOKUP(B20,'API Data Dictionary'!C:G,5,FALSE))=0, "", IF(B20="", "", VLOOKUP(B20,'API Data Dictionary'!C:G,5,FALSE)))</f>
        <v>The town in which the property exists</v>
      </c>
    </row>
    <row r="21" spans="1:7" x14ac:dyDescent="0.35">
      <c r="A21" s="64" t="s">
        <v>1335</v>
      </c>
      <c r="B21" s="62" t="str">
        <f t="shared" si="1"/>
        <v>postcode</v>
      </c>
      <c r="C21" s="62" t="s">
        <v>68</v>
      </c>
      <c r="D21" s="62" t="str">
        <f>IF(B21="", "", VLOOKUP(B21,'API Data Dictionary'!C:D,2,FALSE))</f>
        <v>string</v>
      </c>
      <c r="E21" s="65">
        <f>IF(IF(B21="", "", VLOOKUP(B21,'API Data Dictionary'!C:E,3,FALSE))=0, "", IF(B21="", "", VLOOKUP(B21,'API Data Dictionary'!C:E,3,FALSE)))</f>
        <v>50</v>
      </c>
      <c r="F21" s="62" t="str">
        <f>IF(IF(B21="", "", VLOOKUP(B21,'API Data Dictionary'!C:F,4,FALSE))=0, "", IF(B21="", "", VLOOKUP(B21,'API Data Dictionary'!C:F,4,FALSE)))</f>
        <v/>
      </c>
      <c r="G21" s="62" t="str">
        <f>IF(IF(B21="", "", VLOOKUP(B21,'API Data Dictionary'!C:G,5,FALSE))=0, "", IF(B21="", "", VLOOKUP(B21,'API Data Dictionary'!C:G,5,FALSE)))</f>
        <v>the postcode of the property</v>
      </c>
    </row>
    <row r="22" spans="1:7" x14ac:dyDescent="0.35">
      <c r="A22" s="64" t="s">
        <v>1104</v>
      </c>
      <c r="B22" s="62" t="str">
        <f t="shared" si="1"/>
        <v>ukCountryCode</v>
      </c>
      <c r="C22" s="62" t="s">
        <v>68</v>
      </c>
      <c r="D22" s="62" t="str">
        <f>IF(B22="", "", VLOOKUP(B22,'API Data Dictionary'!C:D,2,FALSE))</f>
        <v>enum - UK Country List</v>
      </c>
      <c r="E22" s="65" t="str">
        <f>IF(IF(B22="", "", VLOOKUP(B22,'API Data Dictionary'!C:E,3,FALSE))=0, "", IF(B22="", "", VLOOKUP(B22,'API Data Dictionary'!C:E,3,FALSE)))</f>
        <v/>
      </c>
      <c r="F22" s="62" t="str">
        <f>IF(IF(B22="", "", VLOOKUP(B22,'API Data Dictionary'!C:F,4,FALSE))=0, "", IF(B22="", "", VLOOKUP(B22,'API Data Dictionary'!C:F,4,FALSE)))</f>
        <v>Valid Values 1-4 (See enum definition)</v>
      </c>
      <c r="G22" s="62" t="str">
        <f>IF(IF(B22="", "", VLOOKUP(B22,'API Data Dictionary'!C:G,5,FALSE))=0, "", IF(B22="", "", VLOOKUP(B22,'API Data Dictionary'!C:G,5,FALSE)))</f>
        <v xml:space="preserve">The UK country Code </v>
      </c>
    </row>
    <row r="23" spans="1:7" x14ac:dyDescent="0.35">
      <c r="A23" s="64" t="s">
        <v>1105</v>
      </c>
      <c r="B23" s="62" t="str">
        <f t="shared" si="1"/>
        <v/>
      </c>
      <c r="D23" s="62" t="str">
        <f>IF(B23="", "", VLOOKUP(B23,'API Data Dictionary'!C:D,2,FALSE))</f>
        <v/>
      </c>
      <c r="E23" s="65" t="str">
        <f>IF(IF(B23="", "", VLOOKUP(B23,'API Data Dictionary'!C:E,3,FALSE))=0, "", IF(B23="", "", VLOOKUP(B23,'API Data Dictionary'!C:E,3,FALSE)))</f>
        <v/>
      </c>
      <c r="F23" s="62" t="str">
        <f>IF(IF(B23="", "", VLOOKUP(B23,'API Data Dictionary'!C:F,4,FALSE))=0, "", IF(B23="", "", VLOOKUP(B23,'API Data Dictionary'!C:F,4,FALSE)))</f>
        <v/>
      </c>
      <c r="G23" s="62" t="str">
        <f>IF(IF(B23="", "", VLOOKUP(B23,'API Data Dictionary'!C:G,5,FALSE))=0, "", IF(B23="", "", VLOOKUP(B23,'API Data Dictionary'!C:G,5,FALSE)))</f>
        <v/>
      </c>
    </row>
    <row r="24" spans="1:7" x14ac:dyDescent="0.35">
      <c r="A24" s="64" t="s">
        <v>1302</v>
      </c>
      <c r="B24" s="62" t="str">
        <f t="shared" si="1"/>
        <v/>
      </c>
      <c r="C24" s="62" t="str">
        <f>IF(B24="", "", VLOOKUP(B24,'API Data Dictionary'!C:AN,38,FALSE))</f>
        <v/>
      </c>
      <c r="D24" s="62" t="str">
        <f>IF(B24="", "", VLOOKUP(B24,'API Data Dictionary'!C:D,2,FALSE))</f>
        <v/>
      </c>
      <c r="E24" s="65" t="str">
        <f>IF(IF(B24="", "", VLOOKUP(B24,'API Data Dictionary'!C:E,3,FALSE))=0, "", IF(B24="", "", VLOOKUP(B24,'API Data Dictionary'!C:E,3,FALSE)))</f>
        <v/>
      </c>
      <c r="F24" s="62" t="str">
        <f>IF(IF(B24="", "", VLOOKUP(B24,'API Data Dictionary'!C:F,4,FALSE))=0, "", IF(B24="", "", VLOOKUP(B24,'API Data Dictionary'!C:F,4,FALSE)))</f>
        <v/>
      </c>
      <c r="G24" s="62" t="str">
        <f>IF(IF(B24="", "", VLOOKUP(B24,'API Data Dictionary'!C:G,5,FALSE))=0, "", IF(B24="", "", VLOOKUP(B24,'API Data Dictionary'!C:G,5,FALSE)))</f>
        <v/>
      </c>
    </row>
    <row r="25" spans="1:7" x14ac:dyDescent="0.35">
      <c r="A25" s="64" t="s">
        <v>1336</v>
      </c>
      <c r="B25" s="62" t="str">
        <f t="shared" si="1"/>
        <v>companyRegistrationNumber</v>
      </c>
      <c r="C25" s="62" t="s">
        <v>68</v>
      </c>
      <c r="D25" s="62" t="str">
        <f>IF(B25="", "", VLOOKUP(B25,'API Data Dictionary'!C:D,2,FALSE))</f>
        <v>string</v>
      </c>
      <c r="E25" s="65">
        <f>IF(IF(B25="", "", VLOOKUP(B25,'API Data Dictionary'!C:E,3,FALSE))=0, "", IF(B25="", "", VLOOKUP(B25,'API Data Dictionary'!C:E,3,FALSE)))</f>
        <v>100</v>
      </c>
      <c r="F25" s="62" t="str">
        <f>IF(IF(B25="", "", VLOOKUP(B25,'API Data Dictionary'!C:F,4,FALSE))=0, "", IF(B25="", "", VLOOKUP(B25,'API Data Dictionary'!C:F,4,FALSE)))</f>
        <v/>
      </c>
      <c r="G25" s="62" t="str">
        <f>IF(IF(B25="", "", VLOOKUP(B25,'API Data Dictionary'!C:G,5,FALSE))=0, "", IF(B25="", "", VLOOKUP(B25,'API Data Dictionary'!C:G,5,FALSE)))</f>
        <v>Registration number of the company</v>
      </c>
    </row>
    <row r="26" spans="1:7" x14ac:dyDescent="0.35">
      <c r="A26" s="64" t="s">
        <v>1337</v>
      </c>
      <c r="B26" s="62" t="str">
        <f t="shared" si="1"/>
        <v>companyName</v>
      </c>
      <c r="C26" s="62" t="s">
        <v>68</v>
      </c>
      <c r="D26" s="62" t="str">
        <f>IF(B26="", "", VLOOKUP(B26,'API Data Dictionary'!C:D,2,FALSE))</f>
        <v>string</v>
      </c>
      <c r="E26" s="65">
        <f>IF(IF(B26="", "", VLOOKUP(B26,'API Data Dictionary'!C:E,3,FALSE))=0, "", IF(B26="", "", VLOOKUP(B26,'API Data Dictionary'!C:E,3,FALSE)))</f>
        <v>100</v>
      </c>
      <c r="F26" s="62" t="str">
        <f>IF(IF(B26="", "", VLOOKUP(B26,'API Data Dictionary'!C:F,4,FALSE))=0, "", IF(B26="", "", VLOOKUP(B26,'API Data Dictionary'!C:F,4,FALSE)))</f>
        <v/>
      </c>
      <c r="G26" s="62" t="str">
        <f>IF(IF(B26="", "", VLOOKUP(B26,'API Data Dictionary'!C:G,5,FALSE))=0, "", IF(B26="", "", VLOOKUP(B26,'API Data Dictionary'!C:G,5,FALSE)))</f>
        <v>Name of the company</v>
      </c>
    </row>
    <row r="27" spans="1:7" x14ac:dyDescent="0.35">
      <c r="A27" s="64" t="s">
        <v>1338</v>
      </c>
      <c r="B27" s="62" t="str">
        <f t="shared" si="1"/>
        <v>incorporationDate</v>
      </c>
      <c r="C27" s="62" t="s">
        <v>68</v>
      </c>
      <c r="D27" s="62" t="str">
        <f>IF(B27="", "", VLOOKUP(B27,'API Data Dictionary'!C:D,2,FALSE))</f>
        <v>string ($date-time)</v>
      </c>
      <c r="E27" s="65" t="str">
        <f>IF(IF(B27="", "", VLOOKUP(B27,'API Data Dictionary'!C:E,3,FALSE))=0, "", IF(B27="", "", VLOOKUP(B27,'API Data Dictionary'!C:E,3,FALSE)))</f>
        <v/>
      </c>
      <c r="F27" s="62" t="str">
        <f>IF(IF(B27="", "", VLOOKUP(B27,'API Data Dictionary'!C:F,4,FALSE))=0, "", IF(B27="", "", VLOOKUP(B27,'API Data Dictionary'!C:F,4,FALSE)))</f>
        <v>DD/MM/YYYY</v>
      </c>
      <c r="G27" s="62" t="str">
        <f>IF(IF(B27="", "", VLOOKUP(B27,'API Data Dictionary'!C:G,5,FALSE))=0, "", IF(B27="", "", VLOOKUP(B27,'API Data Dictionary'!C:G,5,FALSE)))</f>
        <v>Incorperation date of the company, formatted DD-MM-YYYY</v>
      </c>
    </row>
    <row r="28" spans="1:7" x14ac:dyDescent="0.35">
      <c r="A28" s="64" t="s">
        <v>1306</v>
      </c>
      <c r="B28" s="62" t="str">
        <f t="shared" si="1"/>
        <v>title</v>
      </c>
      <c r="C28" s="62" t="s">
        <v>66</v>
      </c>
      <c r="D28" s="62" t="str">
        <f>IF(B28="", "", VLOOKUP(B28,'API Data Dictionary'!C:D,2,FALSE))</f>
        <v>enum - Title</v>
      </c>
      <c r="E28" s="65" t="str">
        <f>IF(IF(B28="", "", VLOOKUP(B28,'API Data Dictionary'!C:E,3,FALSE))=0, "", IF(B28="", "", VLOOKUP(B28,'API Data Dictionary'!C:E,3,FALSE)))</f>
        <v/>
      </c>
      <c r="F28" s="62" t="str">
        <f>IF(IF(B28="", "", VLOOKUP(B28,'API Data Dictionary'!C:F,4,FALSE))=0, "", IF(B28="", "", VLOOKUP(B28,'API Data Dictionary'!C:F,4,FALSE)))</f>
        <v>Valid Values 1-7 (See enum definition)</v>
      </c>
      <c r="G28" s="62" t="str">
        <f>IF(IF(B28="", "", VLOOKUP(B28,'API Data Dictionary'!C:G,5,FALSE))=0, "", IF(B28="", "", VLOOKUP(B28,'API Data Dictionary'!C:G,5,FALSE)))</f>
        <v>The persons title, e.g. Mr, Mrs, etc.</v>
      </c>
    </row>
    <row r="29" spans="1:7" x14ac:dyDescent="0.35">
      <c r="A29" s="64" t="s">
        <v>1307</v>
      </c>
      <c r="B29" s="62" t="str">
        <f t="shared" si="1"/>
        <v>otherTitle</v>
      </c>
      <c r="C29" s="62" t="s">
        <v>66</v>
      </c>
      <c r="D29" s="62" t="str">
        <f>IF(B29="", "", VLOOKUP(B29,'API Data Dictionary'!C:D,2,FALSE))</f>
        <v>string</v>
      </c>
      <c r="E29" s="65">
        <f>IF(IF(B29="", "", VLOOKUP(B29,'API Data Dictionary'!C:E,3,FALSE))=0, "", IF(B29="", "", VLOOKUP(B29,'API Data Dictionary'!C:E,3,FALSE)))</f>
        <v>100</v>
      </c>
      <c r="F29" s="62" t="str">
        <f>IF(IF(B29="", "", VLOOKUP(B29,'API Data Dictionary'!C:F,4,FALSE))=0, "", IF(B29="", "", VLOOKUP(B29,'API Data Dictionary'!C:F,4,FALSE)))</f>
        <v/>
      </c>
      <c r="G29" s="62" t="str">
        <f>IF(IF(B29="", "", VLOOKUP(B29,'API Data Dictionary'!C:G,5,FALSE))=0, "", IF(B29="", "", VLOOKUP(B29,'API Data Dictionary'!C:G,5,FALSE)))</f>
        <v>If other is chosen for title, this is a text field to enter the specific title</v>
      </c>
    </row>
    <row r="30" spans="1:7" x14ac:dyDescent="0.35">
      <c r="A30" s="64" t="s">
        <v>1308</v>
      </c>
      <c r="B30" s="62" t="str">
        <f t="shared" si="1"/>
        <v>firstName</v>
      </c>
      <c r="C30" s="62" t="s">
        <v>68</v>
      </c>
      <c r="D30" s="62" t="str">
        <f>IF(B30="", "", VLOOKUP(B30,'API Data Dictionary'!C:D,2,FALSE))</f>
        <v>string</v>
      </c>
      <c r="E30" s="65">
        <f>IF(IF(B30="", "", VLOOKUP(B30,'API Data Dictionary'!C:E,3,FALSE))=0, "", IF(B30="", "", VLOOKUP(B30,'API Data Dictionary'!C:E,3,FALSE)))</f>
        <v>100</v>
      </c>
      <c r="F30" s="62" t="str">
        <f>IF(IF(B30="", "", VLOOKUP(B30,'API Data Dictionary'!C:F,4,FALSE))=0, "", IF(B30="", "", VLOOKUP(B30,'API Data Dictionary'!C:F,4,FALSE)))</f>
        <v>pattern: ^[a-zA-Z0-9\-' ]*$</v>
      </c>
      <c r="G30" s="62" t="str">
        <f>IF(IF(B30="", "", VLOOKUP(B30,'API Data Dictionary'!C:G,5,FALSE))=0, "", IF(B30="", "", VLOOKUP(B30,'API Data Dictionary'!C:G,5,FALSE)))</f>
        <v>First name, validated against the RegEx pattern</v>
      </c>
    </row>
    <row r="31" spans="1:7" x14ac:dyDescent="0.35">
      <c r="A31" s="64" t="s">
        <v>1309</v>
      </c>
      <c r="B31" s="62" t="str">
        <f t="shared" si="1"/>
        <v>middleName</v>
      </c>
      <c r="C31" s="62" t="s">
        <v>66</v>
      </c>
      <c r="D31" s="62" t="str">
        <f>IF(B31="", "", VLOOKUP(B31,'API Data Dictionary'!C:D,2,FALSE))</f>
        <v>string</v>
      </c>
      <c r="E31" s="65">
        <f>IF(IF(B31="", "", VLOOKUP(B31,'API Data Dictionary'!C:E,3,FALSE))=0, "", IF(B31="", "", VLOOKUP(B31,'API Data Dictionary'!C:E,3,FALSE)))</f>
        <v>50</v>
      </c>
      <c r="F31" s="62" t="str">
        <f>IF(IF(B31="", "", VLOOKUP(B31,'API Data Dictionary'!C:F,4,FALSE))=0, "", IF(B31="", "", VLOOKUP(B31,'API Data Dictionary'!C:F,4,FALSE)))</f>
        <v>pattern: ^[a-zA-Z0-9\-' ]*$</v>
      </c>
      <c r="G31" s="62" t="str">
        <f>IF(IF(B31="", "", VLOOKUP(B31,'API Data Dictionary'!C:G,5,FALSE))=0, "", IF(B31="", "", VLOOKUP(B31,'API Data Dictionary'!C:G,5,FALSE)))</f>
        <v>Middle name, validated against the RegEx pattern</v>
      </c>
    </row>
    <row r="32" spans="1:7" x14ac:dyDescent="0.35">
      <c r="A32" s="64" t="s">
        <v>1339</v>
      </c>
      <c r="B32" s="62" t="str">
        <f t="shared" si="1"/>
        <v>surname</v>
      </c>
      <c r="C32" s="62" t="s">
        <v>68</v>
      </c>
      <c r="D32" s="62" t="str">
        <f>IF(B32="", "", VLOOKUP(B32,'API Data Dictionary'!C:D,2,FALSE))</f>
        <v>string</v>
      </c>
      <c r="E32" s="65">
        <f>IF(IF(B32="", "", VLOOKUP(B32,'API Data Dictionary'!C:E,3,FALSE))=0, "", IF(B32="", "", VLOOKUP(B32,'API Data Dictionary'!C:E,3,FALSE)))</f>
        <v>100</v>
      </c>
      <c r="F32" s="62" t="str">
        <f>IF(IF(B32="", "", VLOOKUP(B32,'API Data Dictionary'!C:F,4,FALSE))=0, "", IF(B32="", "", VLOOKUP(B32,'API Data Dictionary'!C:F,4,FALSE)))</f>
        <v>pattern: ^[a-zA-Z0-9\-' ]*$</v>
      </c>
      <c r="G32" s="62" t="str">
        <f>IF(IF(B32="", "", VLOOKUP(B32,'API Data Dictionary'!C:G,5,FALSE))=0, "", IF(B32="", "", VLOOKUP(B32,'API Data Dictionary'!C:G,5,FALSE)))</f>
        <v>Surname name, validated against the RegEx pattern</v>
      </c>
    </row>
    <row r="33" spans="1:7" x14ac:dyDescent="0.35">
      <c r="A33" s="64" t="s">
        <v>1311</v>
      </c>
      <c r="B33" s="62" t="str">
        <f t="shared" si="1"/>
        <v>companyPositionId</v>
      </c>
      <c r="C33" s="62" t="s">
        <v>68</v>
      </c>
      <c r="D33" s="62" t="str">
        <f>IF(B33="", "", VLOOKUP(B33,'API Data Dictionary'!C:D,2,FALSE))</f>
        <v>enum - Company Position</v>
      </c>
      <c r="E33" s="65" t="str">
        <f>IF(IF(B33="", "", VLOOKUP(B33,'API Data Dictionary'!C:E,3,FALSE))=0, "", IF(B33="", "", VLOOKUP(B33,'API Data Dictionary'!C:E,3,FALSE)))</f>
        <v/>
      </c>
      <c r="F33" s="62" t="str">
        <f>IF(IF(B33="", "", VLOOKUP(B33,'API Data Dictionary'!C:F,4,FALSE))=0, "", IF(B33="", "", VLOOKUP(B33,'API Data Dictionary'!C:F,4,FALSE)))</f>
        <v/>
      </c>
      <c r="G33" s="62" t="str">
        <f>IF(IF(B33="", "", VLOOKUP(B33,'API Data Dictionary'!C:G,5,FALSE))=0, "", IF(B33="", "", VLOOKUP(B33,'API Data Dictionary'!C:G,5,FALSE)))</f>
        <v>The position / role at the company</v>
      </c>
    </row>
    <row r="34" spans="1:7" x14ac:dyDescent="0.35">
      <c r="A34" s="64" t="s">
        <v>1312</v>
      </c>
      <c r="B34" s="62" t="str">
        <f t="shared" si="1"/>
        <v>telephoneCountryID</v>
      </c>
      <c r="C34" s="62" t="s">
        <v>68</v>
      </c>
      <c r="D34" s="62" t="str">
        <f>IF(B34="", "", VLOOKUP(B34,'API Data Dictionary'!C:D,2,FALSE))</f>
        <v>enum -Country/Location Code</v>
      </c>
      <c r="E34" s="65" t="str">
        <f>IF(IF(B34="", "", VLOOKUP(B34,'API Data Dictionary'!C:E,3,FALSE))=0, "", IF(B34="", "", VLOOKUP(B34,'API Data Dictionary'!C:E,3,FALSE)))</f>
        <v/>
      </c>
      <c r="F34" s="62" t="str">
        <f>IF(IF(B34="", "", VLOOKUP(B34,'API Data Dictionary'!C:F,4,FALSE))=0, "", IF(B34="", "", VLOOKUP(B34,'API Data Dictionary'!C:F,4,FALSE)))</f>
        <v>Valid Values 1-239 (See enum definition)</v>
      </c>
      <c r="G34" s="62" t="str">
        <f>IF(IF(B34="", "", VLOOKUP(B34,'API Data Dictionary'!C:G,5,FALSE))=0, "", IF(B34="", "", VLOOKUP(B34,'API Data Dictionary'!C:G,5,FALSE)))</f>
        <v>The country/location code of the phone number</v>
      </c>
    </row>
    <row r="35" spans="1:7" x14ac:dyDescent="0.35">
      <c r="A35" s="64" t="s">
        <v>1313</v>
      </c>
      <c r="B35" s="62" t="str">
        <f t="shared" si="1"/>
        <v>contactTelephoneNo</v>
      </c>
      <c r="C35" s="62" t="s">
        <v>68</v>
      </c>
      <c r="D35" s="62" t="str">
        <f>IF(B35="", "", VLOOKUP(B35,'API Data Dictionary'!C:D,2,FALSE))</f>
        <v>string</v>
      </c>
      <c r="E35" s="65">
        <f>IF(IF(B35="", "", VLOOKUP(B35,'API Data Dictionary'!C:E,3,FALSE))=0, "", IF(B35="", "", VLOOKUP(B35,'API Data Dictionary'!C:E,3,FALSE)))</f>
        <v>15</v>
      </c>
      <c r="F35" s="62" t="str">
        <f>IF(IF(B35="", "", VLOOKUP(B35,'API Data Dictionary'!C:F,4,FALSE))=0, "", IF(B35="", "", VLOOKUP(B35,'API Data Dictionary'!C:F,4,FALSE)))</f>
        <v>pattern: ^(\d{11})$</v>
      </c>
      <c r="G35" s="62" t="str">
        <f>IF(IF(B35="", "", VLOOKUP(B35,'API Data Dictionary'!C:G,5,FALSE))=0, "", IF(B35="", "", VLOOKUP(B35,'API Data Dictionary'!C:G,5,FALSE)))</f>
        <v xml:space="preserve">The telephone number </v>
      </c>
    </row>
    <row r="36" spans="1:7" x14ac:dyDescent="0.35">
      <c r="A36" s="64" t="s">
        <v>1340</v>
      </c>
      <c r="B36" s="62" t="str">
        <f t="shared" si="1"/>
        <v>emailAddress</v>
      </c>
      <c r="C36" s="62" t="s">
        <v>68</v>
      </c>
      <c r="D36" s="62" t="str">
        <f>IF(B36="", "", VLOOKUP(B36,'API Data Dictionary'!C:D,2,FALSE))</f>
        <v>string ($email)</v>
      </c>
      <c r="E36" s="65">
        <f>IF(IF(B36="", "", VLOOKUP(B36,'API Data Dictionary'!C:E,3,FALSE))=0, "", IF(B36="", "", VLOOKUP(B36,'API Data Dictionary'!C:E,3,FALSE)))</f>
        <v>200</v>
      </c>
      <c r="F36" s="62" t="str">
        <f>IF(IF(B36="", "", VLOOKUP(B36,'API Data Dictionary'!C:F,4,FALSE))=0, "", IF(B36="", "", VLOOKUP(B36,'API Data Dictionary'!C:F,4,FALSE)))</f>
        <v>pattern: ^(?!.*\.\.)(?!.*\\_\\_)(?!.*\-\-)[a-zA-Z0-9][-a-zA-Z0-9._]+[a-zA-Z0-9]@([-a-zA-Z0-9]+.)+[a-zA-Z]{2,5}$</v>
      </c>
      <c r="G36" s="62" t="str">
        <f>IF(IF(B36="", "", VLOOKUP(B36,'API Data Dictionary'!C:G,5,FALSE))=0, "", IF(B36="", "", VLOOKUP(B36,'API Data Dictionary'!C:G,5,FALSE)))</f>
        <v>The email address</v>
      </c>
    </row>
    <row r="37" spans="1:7" x14ac:dyDescent="0.35">
      <c r="A37" s="64" t="s">
        <v>1341</v>
      </c>
      <c r="B37" s="62" t="str">
        <f t="shared" si="1"/>
        <v>shareOfRent</v>
      </c>
      <c r="C37" s="62" t="s">
        <v>68</v>
      </c>
      <c r="D37" s="62" t="str">
        <f>IF(B37="", "", VLOOKUP(B37,'API Data Dictionary'!C:D,2,FALSE))</f>
        <v>number (double)</v>
      </c>
      <c r="E37" s="65" t="str">
        <f>IF(IF(B37="", "", VLOOKUP(B37,'API Data Dictionary'!C:E,3,FALSE))=0, "", IF(B37="", "", VLOOKUP(B37,'API Data Dictionary'!C:E,3,FALSE)))</f>
        <v/>
      </c>
      <c r="F37" s="62" t="str">
        <f>IF(IF(B37="", "", VLOOKUP(B37,'API Data Dictionary'!C:F,4,FALSE))=0, "", IF(B37="", "", VLOOKUP(B37,'API Data Dictionary'!C:F,4,FALSE)))</f>
        <v>pattern: ^\d*.\d{0,2}$</v>
      </c>
      <c r="G37" s="62" t="str">
        <f>IF(IF(B37="", "", VLOOKUP(B37,'API Data Dictionary'!C:G,5,FALSE))=0, "", IF(B37="", "", VLOOKUP(B37,'API Data Dictionary'!C:G,5,FALSE)))</f>
        <v>GBP value of the applicants share of the rent</v>
      </c>
    </row>
    <row r="38" spans="1:7" x14ac:dyDescent="0.35">
      <c r="A38" s="64" t="s">
        <v>1286</v>
      </c>
      <c r="B38" s="62" t="str">
        <f t="shared" si="1"/>
        <v/>
      </c>
      <c r="C38" s="62" t="str">
        <f>IF(B38="", "", VLOOKUP(B38,'API Data Dictionary'!C:AN,38,FALSE))</f>
        <v/>
      </c>
      <c r="D38" s="62" t="str">
        <f>IF(B38="", "", VLOOKUP(B38,'API Data Dictionary'!C:D,2,FALSE))</f>
        <v/>
      </c>
      <c r="E38" s="65" t="str">
        <f>IF(IF(B38="", "", VLOOKUP(B38,'API Data Dictionary'!C:E,3,FALSE))=0, "", IF(B38="", "", VLOOKUP(B38,'API Data Dictionary'!C:E,3,FALSE)))</f>
        <v/>
      </c>
      <c r="F38" s="62" t="str">
        <f>IF(IF(B38="", "", VLOOKUP(B38,'API Data Dictionary'!C:F,4,FALSE))=0, "", IF(B38="", "", VLOOKUP(B38,'API Data Dictionary'!C:F,4,FALSE)))</f>
        <v/>
      </c>
      <c r="G38" s="62" t="str">
        <f>IF(IF(B38="", "", VLOOKUP(B38,'API Data Dictionary'!C:G,5,FALSE))=0, "", IF(B38="", "", VLOOKUP(B38,'API Data Dictionary'!C:G,5,FALSE)))</f>
        <v/>
      </c>
    </row>
    <row r="39" spans="1:7" x14ac:dyDescent="0.35">
      <c r="A39" s="64" t="s">
        <v>1120</v>
      </c>
      <c r="B39" s="62" t="str">
        <f t="shared" si="1"/>
        <v/>
      </c>
      <c r="C39" s="62" t="str">
        <f>IF(B39="", "", VLOOKUP(B39,'API Data Dictionary'!C:AN,38,FALSE))</f>
        <v/>
      </c>
      <c r="D39" s="62" t="str">
        <f>IF(B39="", "", VLOOKUP(B39,'API Data Dictionary'!C:D,2,FALSE))</f>
        <v/>
      </c>
      <c r="E39" s="65" t="str">
        <f>IF(IF(B39="", "", VLOOKUP(B39,'API Data Dictionary'!C:E,3,FALSE))=0, "", IF(B39="", "", VLOOKUP(B39,'API Data Dictionary'!C:E,3,FALSE)))</f>
        <v/>
      </c>
      <c r="F39" s="62" t="str">
        <f>IF(IF(B39="", "", VLOOKUP(B39,'API Data Dictionary'!C:F,4,FALSE))=0, "", IF(B39="", "", VLOOKUP(B39,'API Data Dictionary'!C:F,4,FALSE)))</f>
        <v/>
      </c>
      <c r="G39" s="62" t="str">
        <f>IF(IF(B39="", "", VLOOKUP(B39,'API Data Dictionary'!C:G,5,FALSE))=0, "", IF(B39="", "", VLOOKUP(B39,'API Data Dictionary'!C:G,5,FALSE)))</f>
        <v/>
      </c>
    </row>
    <row r="40" spans="1:7" x14ac:dyDescent="0.35">
      <c r="A40" s="103"/>
      <c r="B40" s="103"/>
      <c r="C40" s="103"/>
      <c r="D40" s="103"/>
      <c r="E40" s="111"/>
      <c r="F40" s="103"/>
      <c r="G40" s="103"/>
    </row>
    <row r="41" spans="1:7" x14ac:dyDescent="0.35">
      <c r="A41" s="222" t="s">
        <v>1751</v>
      </c>
      <c r="B41" s="222"/>
      <c r="C41" s="222"/>
      <c r="D41" s="222"/>
      <c r="E41" s="222"/>
      <c r="F41" s="222"/>
      <c r="G41" s="222"/>
    </row>
    <row r="42" spans="1:7" x14ac:dyDescent="0.35">
      <c r="A42" s="64" t="s">
        <v>1094</v>
      </c>
      <c r="B42" s="62" t="str">
        <f t="shared" ref="B42:B55" si="2">IF(OR(ISNUMBER(SEARCH("{", A42)),ISNUMBER(SEARCH("[", A42))), "", IFERROR(MID(A42, SEARCH("""", A42) +1, SEARCH("""", A42, SEARCH("""",A42) +1) - SEARCH("""", A42) -1), ""))</f>
        <v/>
      </c>
      <c r="C42" s="62" t="str">
        <f>IF(B42="", "", VLOOKUP(B42,'API Data Dictionary'!C:J,8,FALSE))</f>
        <v/>
      </c>
      <c r="D42" s="62" t="str">
        <f>IF(B42="", "", VLOOKUP(B42,'API Data Dictionary'!C:D,2,FALSE))</f>
        <v/>
      </c>
      <c r="E42" s="62" t="str">
        <f>IF(IF(B42="", "", VLOOKUP(B42,'API Data Dictionary'!C:E,3,FALSE))=0, "", IF(B42="", "", VLOOKUP(B42,'API Data Dictionary'!C:E,3,FALSE)))</f>
        <v/>
      </c>
      <c r="F42" s="62" t="str">
        <f>IF(IF(B42="", "", VLOOKUP(B42,'API Data Dictionary'!C:F,4,FALSE))=0, "", IF(B42="", "", VLOOKUP(B42,'API Data Dictionary'!C:F,4,FALSE)))</f>
        <v/>
      </c>
      <c r="G42" s="62" t="str">
        <f>IF(IF(B42="", "", VLOOKUP(B42,'API Data Dictionary'!C:G,5,FALSE))=0, "", IF(B42="", "", VLOOKUP(B42,'API Data Dictionary'!C:G,5,FALSE)))</f>
        <v/>
      </c>
    </row>
    <row r="43" spans="1:7" x14ac:dyDescent="0.35">
      <c r="A43" s="64" t="s">
        <v>1350</v>
      </c>
      <c r="B43" s="62" t="str">
        <f t="shared" si="2"/>
        <v>success</v>
      </c>
      <c r="C43" s="62" t="s">
        <v>68</v>
      </c>
      <c r="D43" s="62" t="str">
        <f>IF(B43="", "", VLOOKUP(B43,'API Data Dictionary'!C:D,2,FALSE))</f>
        <v>string - Boolean</v>
      </c>
      <c r="E43" s="62">
        <f>IF(IF(B43="", "", VLOOKUP(B43,'API Data Dictionary'!C:E,3,FALSE))=0, "", IF(B43="", "", VLOOKUP(B43,'API Data Dictionary'!C:E,3,FALSE)))</f>
        <v>100</v>
      </c>
      <c r="F43" s="62" t="str">
        <f>IF(IF(B43="", "", VLOOKUP(B43,'API Data Dictionary'!C:F,4,FALSE))=0, "", IF(B43="", "", VLOOKUP(B43,'API Data Dictionary'!C:F,4,FALSE)))</f>
        <v/>
      </c>
      <c r="G43" s="62" t="str">
        <f>IF(IF(B43="", "", VLOOKUP(B43,'API Data Dictionary'!C:G,5,FALSE))=0, "", IF(B43="", "", VLOOKUP(B43,'API Data Dictionary'!C:G,5,FALSE)))</f>
        <v>Returns true when successful call/connection</v>
      </c>
    </row>
    <row r="44" spans="1:7" x14ac:dyDescent="0.35">
      <c r="A44" s="64" t="s">
        <v>1377</v>
      </c>
      <c r="B44" s="62" t="str">
        <f t="shared" si="2"/>
        <v/>
      </c>
      <c r="C44" s="62" t="str">
        <f>IF(B44="", "", VLOOKUP(B44,'API Data Dictionary'!C:J,8,FALSE))</f>
        <v/>
      </c>
      <c r="D44" s="62" t="str">
        <f>IF(B44="", "", VLOOKUP(B44,'API Data Dictionary'!C:D,2,FALSE))</f>
        <v/>
      </c>
      <c r="E44" s="62" t="str">
        <f>IF(IF(B44="", "", VLOOKUP(B44,'API Data Dictionary'!C:E,3,FALSE))=0, "", IF(B44="", "", VLOOKUP(B44,'API Data Dictionary'!C:E,3,FALSE)))</f>
        <v/>
      </c>
      <c r="F44" s="62" t="str">
        <f>IF(IF(B44="", "", VLOOKUP(B44,'API Data Dictionary'!C:F,4,FALSE))=0, "", IF(B44="", "", VLOOKUP(B44,'API Data Dictionary'!C:F,4,FALSE)))</f>
        <v/>
      </c>
      <c r="G44" s="62" t="str">
        <f>IF(IF(B44="", "", VLOOKUP(B44,'API Data Dictionary'!C:G,5,FALSE))=0, "", IF(B44="", "", VLOOKUP(B44,'API Data Dictionary'!C:G,5,FALSE)))</f>
        <v/>
      </c>
    </row>
    <row r="45" spans="1:7" x14ac:dyDescent="0.35">
      <c r="A45" s="64" t="s">
        <v>1378</v>
      </c>
      <c r="B45" s="62" t="str">
        <f t="shared" si="2"/>
        <v>agentCode</v>
      </c>
      <c r="C45" s="62" t="s">
        <v>68</v>
      </c>
      <c r="D45" s="62" t="str">
        <f>IF(B45="", "", VLOOKUP(B45,'API Data Dictionary'!C:D,2,FALSE))</f>
        <v>string</v>
      </c>
      <c r="E45" s="62">
        <f>IF(IF(B45="", "", VLOOKUP(B45,'API Data Dictionary'!C:E,3,FALSE))=0, "", IF(B45="", "", VLOOKUP(B45,'API Data Dictionary'!C:E,3,FALSE)))</f>
        <v>50</v>
      </c>
      <c r="F45" s="62" t="str">
        <f>IF(IF(B45="", "", VLOOKUP(B45,'API Data Dictionary'!C:F,4,FALSE))=0, "", IF(B45="", "", VLOOKUP(B45,'API Data Dictionary'!C:F,4,FALSE)))</f>
        <v/>
      </c>
      <c r="G45" s="62" t="str">
        <f>IF(IF(B45="", "", VLOOKUP(B45,'API Data Dictionary'!C:G,5,FALSE))=0, "", IF(B45="", "", VLOOKUP(B45,'API Data Dictionary'!C:G,5,FALSE)))</f>
        <v>AgentCode is the Unique Key provided to the Agent when onboarding as a Barbon Customer.
An AgentID may be linked to many Properties being managed by that Agent and Each property may be linked to 1 or more TenancyID's.</v>
      </c>
    </row>
    <row r="46" spans="1:7" x14ac:dyDescent="0.35">
      <c r="A46" s="64" t="s">
        <v>1379</v>
      </c>
      <c r="B46" s="62" t="str">
        <f t="shared" si="2"/>
        <v>propertyTenancyId</v>
      </c>
      <c r="C46" s="62" t="s">
        <v>68</v>
      </c>
      <c r="D46" s="62" t="str">
        <f>IF(B46="", "", VLOOKUP(B46,'API Data Dictionary'!C:D,2,FALSE))</f>
        <v>integer</v>
      </c>
      <c r="E46" s="62" t="str">
        <f>IF(IF(B46="", "", VLOOKUP(B46,'API Data Dictionary'!C:E,3,FALSE))=0, "", IF(B46="", "", VLOOKUP(B46,'API Data Dictionary'!C:E,3,FALSE)))</f>
        <v/>
      </c>
      <c r="F46" s="62" t="str">
        <f>IF(IF(B46="", "", VLOOKUP(B46,'API Data Dictionary'!C:F,4,FALSE))=0, "", IF(B46="", "", VLOOKUP(B46,'API Data Dictionary'!C:F,4,FALSE)))</f>
        <v/>
      </c>
      <c r="G46" s="62" t="str">
        <f>IF(IF(B46="", "", VLOOKUP(B46,'API Data Dictionary'!C:G,5,FALSE))=0, "", IF(B46="", "", VLOOKUP(B46,'API Data Dictionary'!C:G,5,FALSE)))</f>
        <v>The ID of the property tenancy</v>
      </c>
    </row>
    <row r="47" spans="1:7" x14ac:dyDescent="0.35">
      <c r="A47" s="64" t="s">
        <v>1380</v>
      </c>
      <c r="B47" s="62" t="str">
        <f t="shared" si="2"/>
        <v/>
      </c>
      <c r="C47" s="62" t="str">
        <f>IF(B47="", "", VLOOKUP(B47,'API Data Dictionary'!C:J,8,FALSE))</f>
        <v/>
      </c>
      <c r="D47" s="62" t="str">
        <f>IF(B47="", "", VLOOKUP(B47,'API Data Dictionary'!C:D,2,FALSE))</f>
        <v/>
      </c>
      <c r="E47" s="62" t="str">
        <f>IF(IF(B47="", "", VLOOKUP(B47,'API Data Dictionary'!C:E,3,FALSE))=0, "", IF(B47="", "", VLOOKUP(B47,'API Data Dictionary'!C:E,3,FALSE)))</f>
        <v/>
      </c>
      <c r="F47" s="62" t="str">
        <f>IF(IF(B47="", "", VLOOKUP(B47,'API Data Dictionary'!C:F,4,FALSE))=0, "", IF(B47="", "", VLOOKUP(B47,'API Data Dictionary'!C:F,4,FALSE)))</f>
        <v/>
      </c>
      <c r="G47" s="62" t="str">
        <f>IF(IF(B47="", "", VLOOKUP(B47,'API Data Dictionary'!C:G,5,FALSE))=0, "", IF(B47="", "", VLOOKUP(B47,'API Data Dictionary'!C:G,5,FALSE)))</f>
        <v/>
      </c>
    </row>
    <row r="48" spans="1:7" x14ac:dyDescent="0.35">
      <c r="A48" s="64" t="s">
        <v>1381</v>
      </c>
      <c r="B48" s="62" t="str">
        <f t="shared" si="2"/>
        <v/>
      </c>
      <c r="C48" s="62" t="str">
        <f>IF(B48="", "", VLOOKUP(B48,'API Data Dictionary'!C:J,8,FALSE))</f>
        <v/>
      </c>
      <c r="D48" s="62" t="str">
        <f>IF(B48="", "", VLOOKUP(B48,'API Data Dictionary'!C:D,2,FALSE))</f>
        <v/>
      </c>
      <c r="E48" s="62" t="str">
        <f>IF(IF(B48="", "", VLOOKUP(B48,'API Data Dictionary'!C:E,3,FALSE))=0, "", IF(B48="", "", VLOOKUP(B48,'API Data Dictionary'!C:E,3,FALSE)))</f>
        <v/>
      </c>
      <c r="F48" s="62" t="str">
        <f>IF(IF(B48="", "", VLOOKUP(B48,'API Data Dictionary'!C:F,4,FALSE))=0, "", IF(B48="", "", VLOOKUP(B48,'API Data Dictionary'!C:F,4,FALSE)))</f>
        <v/>
      </c>
      <c r="G48" s="62" t="str">
        <f>IF(IF(B48="", "", VLOOKUP(B48,'API Data Dictionary'!C:G,5,FALSE))=0, "", IF(B48="", "", VLOOKUP(B48,'API Data Dictionary'!C:G,5,FALSE)))</f>
        <v/>
      </c>
    </row>
    <row r="49" spans="1:7" x14ac:dyDescent="0.35">
      <c r="A49" s="64" t="s">
        <v>1382</v>
      </c>
      <c r="B49" s="62" t="str">
        <f t="shared" si="2"/>
        <v>applicantID</v>
      </c>
      <c r="C49" s="62" t="s">
        <v>68</v>
      </c>
      <c r="D49" s="62" t="str">
        <f>IF(B49="", "", VLOOKUP(B49,'API Data Dictionary'!C:D,2,FALSE))</f>
        <v>integer</v>
      </c>
      <c r="E49" s="62" t="str">
        <f>IF(IF(B49="", "", VLOOKUP(B49,'API Data Dictionary'!C:E,3,FALSE))=0, "", IF(B49="", "", VLOOKUP(B49,'API Data Dictionary'!C:E,3,FALSE)))</f>
        <v/>
      </c>
      <c r="F49" s="62" t="str">
        <f>IF(IF(B49="", "", VLOOKUP(B49,'API Data Dictionary'!C:F,4,FALSE))=0, "", IF(B49="", "", VLOOKUP(B49,'API Data Dictionary'!C:F,4,FALSE)))</f>
        <v/>
      </c>
      <c r="G49" s="62" t="str">
        <f>IF(IF(B49="", "", VLOOKUP(B49,'API Data Dictionary'!C:G,5,FALSE))=0, "", IF(B49="", "", VLOOKUP(B49,'API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50" spans="1:7" x14ac:dyDescent="0.35">
      <c r="A50" s="64" t="s">
        <v>1385</v>
      </c>
      <c r="B50" s="62" t="str">
        <f t="shared" si="2"/>
        <v>applicantName</v>
      </c>
      <c r="C50" s="62" t="s">
        <v>68</v>
      </c>
      <c r="D50" s="62" t="s">
        <v>64</v>
      </c>
      <c r="E50" s="62">
        <v>50</v>
      </c>
      <c r="F50" s="62"/>
      <c r="G50" s="62" t="s">
        <v>1386</v>
      </c>
    </row>
    <row r="51" spans="1:7" x14ac:dyDescent="0.35">
      <c r="A51" s="64" t="s">
        <v>1117</v>
      </c>
      <c r="B51" s="62" t="str">
        <f t="shared" si="2"/>
        <v/>
      </c>
      <c r="C51" s="62" t="str">
        <f>IF(B51="", "", VLOOKUP(B51,'API Data Dictionary'!C:J,8,FALSE))</f>
        <v/>
      </c>
      <c r="D51" s="62" t="str">
        <f>IF(B51="", "", VLOOKUP(B51,'API Data Dictionary'!C:D,2,FALSE))</f>
        <v/>
      </c>
      <c r="E51" s="62" t="str">
        <f>IF(IF(B51="", "", VLOOKUP(B51,'API Data Dictionary'!C:E,3,FALSE))=0, "", IF(B51="", "", VLOOKUP(B51,'API Data Dictionary'!C:E,3,FALSE)))</f>
        <v/>
      </c>
      <c r="F51" s="62" t="str">
        <f>IF(IF(B51="", "", VLOOKUP(B51,'API Data Dictionary'!C:F,4,FALSE))=0, "", IF(B51="", "", VLOOKUP(B51,'API Data Dictionary'!C:F,4,FALSE)))</f>
        <v/>
      </c>
      <c r="G51" s="62" t="str">
        <f>IF(IF(B51="", "", VLOOKUP(B51,'API Data Dictionary'!C:G,5,FALSE))=0, "", IF(B51="", "", VLOOKUP(B51,'API Data Dictionary'!C:G,5,FALSE)))</f>
        <v/>
      </c>
    </row>
    <row r="52" spans="1:7" x14ac:dyDescent="0.35">
      <c r="A52" s="64" t="s">
        <v>1383</v>
      </c>
      <c r="B52" s="62" t="str">
        <f t="shared" si="2"/>
        <v/>
      </c>
      <c r="C52" s="62" t="str">
        <f>IF(B52="", "", VLOOKUP(B52,'API Data Dictionary'!C:J,8,FALSE))</f>
        <v/>
      </c>
      <c r="D52" s="62" t="str">
        <f>IF(B52="", "", VLOOKUP(B52,'API Data Dictionary'!C:D,2,FALSE))</f>
        <v/>
      </c>
      <c r="E52" s="62" t="str">
        <f>IF(IF(B52="", "", VLOOKUP(B52,'API Data Dictionary'!C:E,3,FALSE))=0, "", IF(B52="", "", VLOOKUP(B52,'API Data Dictionary'!C:E,3,FALSE)))</f>
        <v/>
      </c>
      <c r="F52" s="62" t="str">
        <f>IF(IF(B52="", "", VLOOKUP(B52,'API Data Dictionary'!C:F,4,FALSE))=0, "", IF(B52="", "", VLOOKUP(B52,'API Data Dictionary'!C:F,4,FALSE)))</f>
        <v/>
      </c>
      <c r="G52" s="62" t="str">
        <f>IF(IF(B52="", "", VLOOKUP(B52,'API Data Dictionary'!C:G,5,FALSE))=0, "", IF(B52="", "", VLOOKUP(B52,'API Data Dictionary'!C:G,5,FALSE)))</f>
        <v/>
      </c>
    </row>
    <row r="53" spans="1:7" x14ac:dyDescent="0.35">
      <c r="A53" s="64" t="s">
        <v>1105</v>
      </c>
      <c r="B53" s="62" t="str">
        <f t="shared" si="2"/>
        <v/>
      </c>
      <c r="C53" s="62" t="str">
        <f>IF(B53="", "", VLOOKUP(B53,'API Data Dictionary'!C:J,8,FALSE))</f>
        <v/>
      </c>
      <c r="D53" s="62" t="str">
        <f>IF(B53="", "", VLOOKUP(B53,'API Data Dictionary'!C:D,2,FALSE))</f>
        <v/>
      </c>
      <c r="E53" s="62" t="str">
        <f>IF(IF(B53="", "", VLOOKUP(B53,'API Data Dictionary'!C:E,3,FALSE))=0, "", IF(B53="", "", VLOOKUP(B53,'API Data Dictionary'!C:E,3,FALSE)))</f>
        <v/>
      </c>
      <c r="F53" s="62" t="str">
        <f>IF(IF(B53="", "", VLOOKUP(B53,'API Data Dictionary'!C:F,4,FALSE))=0, "", IF(B53="", "", VLOOKUP(B53,'API Data Dictionary'!C:F,4,FALSE)))</f>
        <v/>
      </c>
      <c r="G53" s="62" t="str">
        <f>IF(IF(B53="", "", VLOOKUP(B53,'API Data Dictionary'!C:G,5,FALSE))=0, "", IF(B53="", "", VLOOKUP(B53,'API Data Dictionary'!C:G,5,FALSE)))</f>
        <v/>
      </c>
    </row>
    <row r="54" spans="1:7" x14ac:dyDescent="0.35">
      <c r="A54" s="64" t="s">
        <v>1405</v>
      </c>
      <c r="B54" s="62" t="str">
        <f t="shared" si="2"/>
        <v>message</v>
      </c>
      <c r="C54" s="62" t="s">
        <v>68</v>
      </c>
      <c r="D54" s="62" t="str">
        <f>IF(B54="", "", VLOOKUP(B54,'API Data Dictionary'!C:D,2,FALSE))</f>
        <v>string</v>
      </c>
      <c r="E54" s="62">
        <f>IF(IF(B54="", "", VLOOKUP(B54,'API Data Dictionary'!C:E,3,FALSE))=0, "", IF(B54="", "", VLOOKUP(B54,'API Data Dictionary'!C:E,3,FALSE)))</f>
        <v>100</v>
      </c>
      <c r="F54" s="62" t="str">
        <f>IF(IF(B54="", "", VLOOKUP(B54,'API Data Dictionary'!C:F,4,FALSE))=0, "", IF(B54="", "", VLOOKUP(B54,'API Data Dictionary'!C:F,4,FALSE)))</f>
        <v/>
      </c>
      <c r="G54" s="62" t="str">
        <f>IF(IF(B54="", "", VLOOKUP(B54,'API Data Dictionary'!C:G,5,FALSE))=0, "", IF(B54="", "", VLOOKUP(B54,'API Data Dictionary'!C:G,5,FALSE)))</f>
        <v>return value, null or success, unless there has been error</v>
      </c>
    </row>
    <row r="55" spans="1:7" x14ac:dyDescent="0.35">
      <c r="A55" s="64" t="s">
        <v>1120</v>
      </c>
      <c r="B55" s="62" t="str">
        <f t="shared" si="2"/>
        <v/>
      </c>
      <c r="C55" s="62" t="str">
        <f>IF(B55="", "", VLOOKUP(B55,'API Data Dictionary'!C:J,8,FALSE))</f>
        <v/>
      </c>
      <c r="D55" s="62" t="str">
        <f>IF(B55="", "", VLOOKUP(B55,'API Data Dictionary'!C:D,2,FALSE))</f>
        <v/>
      </c>
      <c r="E55" s="62" t="str">
        <f>IF(IF(B55="", "", VLOOKUP(B55,'API Data Dictionary'!C:E,3,FALSE))=0, "", IF(B55="", "", VLOOKUP(B55,'API Data Dictionary'!C:E,3,FALSE)))</f>
        <v/>
      </c>
      <c r="F55" s="62" t="str">
        <f>IF(IF(B55="", "", VLOOKUP(B55,'API Data Dictionary'!C:F,4,FALSE))=0, "", IF(B55="", "", VLOOKUP(B55,'API Data Dictionary'!C:F,4,FALSE)))</f>
        <v/>
      </c>
      <c r="G55" s="62" t="str">
        <f>IF(IF(B55="", "", VLOOKUP(B55,'API Data Dictionary'!C:G,5,FALSE))=0, "", IF(B55="", "", VLOOKUP(B55,'API Data Dictionary'!C:G,5,FALSE)))</f>
        <v/>
      </c>
    </row>
    <row r="56" spans="1:7" x14ac:dyDescent="0.35">
      <c r="E56"/>
    </row>
    <row r="57" spans="1:7" x14ac:dyDescent="0.35">
      <c r="A57" s="219" t="s">
        <v>1625</v>
      </c>
      <c r="B57" s="220"/>
      <c r="C57" s="220"/>
      <c r="D57" s="220"/>
      <c r="E57" s="220"/>
      <c r="F57" s="220"/>
      <c r="G57" s="220"/>
    </row>
    <row r="58" spans="1:7" x14ac:dyDescent="0.35">
      <c r="A58" s="88" t="s">
        <v>1561</v>
      </c>
      <c r="B58" s="62" t="s">
        <v>1359</v>
      </c>
      <c r="C58" s="89" t="s">
        <v>1359</v>
      </c>
      <c r="D58" s="62" t="s">
        <v>64</v>
      </c>
      <c r="E58" s="89">
        <v>100</v>
      </c>
      <c r="F58" s="89"/>
      <c r="G58" s="89" t="s">
        <v>1562</v>
      </c>
    </row>
    <row r="59" spans="1:7" x14ac:dyDescent="0.35">
      <c r="E59"/>
    </row>
    <row r="60" spans="1:7" x14ac:dyDescent="0.35">
      <c r="A60" s="219" t="s">
        <v>1764</v>
      </c>
      <c r="B60" s="220"/>
      <c r="C60" s="220"/>
      <c r="D60" s="220"/>
      <c r="E60" s="220"/>
      <c r="F60" s="220"/>
      <c r="G60" s="220"/>
    </row>
    <row r="61" spans="1:7" x14ac:dyDescent="0.35">
      <c r="A61" s="88" t="s">
        <v>1763</v>
      </c>
      <c r="B61" s="62" t="s">
        <v>1359</v>
      </c>
      <c r="C61" s="89" t="s">
        <v>1359</v>
      </c>
      <c r="D61" s="62" t="s">
        <v>64</v>
      </c>
      <c r="E61" s="89">
        <v>100</v>
      </c>
      <c r="F61" s="89"/>
      <c r="G61" s="89" t="s">
        <v>1765</v>
      </c>
    </row>
    <row r="63" spans="1:7" x14ac:dyDescent="0.35">
      <c r="A63" s="220" t="s">
        <v>1747</v>
      </c>
      <c r="B63" s="220"/>
      <c r="C63" s="220"/>
      <c r="D63" s="220"/>
      <c r="E63" s="220"/>
      <c r="F63" s="220"/>
      <c r="G63" s="220"/>
    </row>
    <row r="64" spans="1:7" x14ac:dyDescent="0.35">
      <c r="A64" s="108" t="s">
        <v>1094</v>
      </c>
      <c r="B64" s="89" t="str">
        <f t="shared" ref="B64:B83" si="3">IF(OR(ISNUMBER(SEARCH("{", A64)),ISNUMBER(SEARCH("[", A64))), "", IFERROR(MID(A64, SEARCH("""", A64) +1, SEARCH("""", A64, SEARCH("""",A64) +1) - SEARCH("""", A64) -1), ""))</f>
        <v/>
      </c>
      <c r="C64" s="89" t="str">
        <f>IF(B64="", "", VLOOKUP(B64,'API Data Dictionary'!C:J,8,FALSE))</f>
        <v/>
      </c>
      <c r="D64" s="89" t="str">
        <f>IF(B64="", "", VLOOKUP(B64,'API Data Dictionary'!C:D,2,FALSE))</f>
        <v/>
      </c>
      <c r="E64" s="89" t="str">
        <f>IF(IF(B64="", "", VLOOKUP(B64,'API Data Dictionary'!C:E,3,FALSE))=0, "", IF(B64="", "", VLOOKUP(B64,'API Data Dictionary'!C:E,3,FALSE)))</f>
        <v/>
      </c>
      <c r="F64" s="89" t="str">
        <f>IF(IF(B64="", "", VLOOKUP(B64,'API Data Dictionary'!C:F,4,FALSE))=0, "", IF(B64="", "", VLOOKUP(B64,'API Data Dictionary'!C:F,4,FALSE)))</f>
        <v/>
      </c>
      <c r="G64" s="89" t="str">
        <f>IF(IF(B64="", "", VLOOKUP(B64,'API Data Dictionary'!C:G,5,FALSE))=0, "", IF(B64="", "", VLOOKUP(B64,'API Data Dictionary'!C:G,5,FALSE)))</f>
        <v/>
      </c>
    </row>
    <row r="65" spans="1:7" x14ac:dyDescent="0.35">
      <c r="A65" s="108" t="s">
        <v>1574</v>
      </c>
      <c r="B65" s="89" t="str">
        <f t="shared" si="3"/>
        <v>success</v>
      </c>
      <c r="C65" s="89" t="s">
        <v>68</v>
      </c>
      <c r="D65" s="89" t="str">
        <f>IF(B65="", "", VLOOKUP(B65,'API Data Dictionary'!C:D,2,FALSE))</f>
        <v>string - Boolean</v>
      </c>
      <c r="E65" s="89">
        <f>IF(IF(B65="", "", VLOOKUP(B65,'API Data Dictionary'!C:E,3,FALSE))=0, "", IF(B65="", "", VLOOKUP(B65,'API Data Dictionary'!C:E,3,FALSE)))</f>
        <v>100</v>
      </c>
      <c r="F65" s="89" t="str">
        <f>IF(IF(B65="", "", VLOOKUP(B65,'API Data Dictionary'!C:F,4,FALSE))=0, "", IF(B65="", "", VLOOKUP(B65,'API Data Dictionary'!C:F,4,FALSE)))</f>
        <v/>
      </c>
      <c r="G65" s="89" t="str">
        <f>IF(IF(B65="", "", VLOOKUP(B65,'API Data Dictionary'!C:G,5,FALSE))=0, "", IF(B65="", "", VLOOKUP(B65,'API Data Dictionary'!C:G,5,FALSE)))</f>
        <v>Returns true when successful call/connection</v>
      </c>
    </row>
    <row r="66" spans="1:7" x14ac:dyDescent="0.35">
      <c r="A66" s="108" t="s">
        <v>1377</v>
      </c>
      <c r="B66" s="89" t="str">
        <f t="shared" si="3"/>
        <v/>
      </c>
      <c r="C66" s="89" t="str">
        <f>IF(B66="", "", VLOOKUP(B66,'API Data Dictionary'!C:J,8,FALSE))</f>
        <v/>
      </c>
      <c r="D66" s="89" t="str">
        <f>IF(B66="", "", VLOOKUP(B66,'API Data Dictionary'!C:D,2,FALSE))</f>
        <v/>
      </c>
      <c r="E66" s="89" t="str">
        <f>IF(IF(B66="", "", VLOOKUP(B66,'API Data Dictionary'!C:E,3,FALSE))=0, "", IF(B66="", "", VLOOKUP(B66,'API Data Dictionary'!C:E,3,FALSE)))</f>
        <v/>
      </c>
      <c r="F66" s="89" t="str">
        <f>IF(IF(B66="", "", VLOOKUP(B66,'API Data Dictionary'!C:F,4,FALSE))=0, "", IF(B66="", "", VLOOKUP(B66,'API Data Dictionary'!C:F,4,FALSE)))</f>
        <v/>
      </c>
      <c r="G66" s="89" t="str">
        <f>IF(IF(B66="", "", VLOOKUP(B66,'API Data Dictionary'!C:G,5,FALSE))=0, "", IF(B66="", "", VLOOKUP(B66,'API Data Dictionary'!C:G,5,FALSE)))</f>
        <v/>
      </c>
    </row>
    <row r="67" spans="1:7" x14ac:dyDescent="0.35">
      <c r="A67" s="108" t="s">
        <v>1564</v>
      </c>
      <c r="B67" s="89" t="s">
        <v>1589</v>
      </c>
      <c r="C67" s="89" t="s">
        <v>68</v>
      </c>
      <c r="D67" s="89" t="s">
        <v>1593</v>
      </c>
      <c r="E67" s="89"/>
      <c r="F67" s="89"/>
      <c r="G67" s="89"/>
    </row>
    <row r="68" spans="1:7" x14ac:dyDescent="0.35">
      <c r="A68" s="108" t="s">
        <v>1565</v>
      </c>
      <c r="B68" s="89" t="s">
        <v>1590</v>
      </c>
      <c r="C68" s="89" t="s">
        <v>68</v>
      </c>
      <c r="D68" s="89" t="s">
        <v>64</v>
      </c>
      <c r="E68" s="109" t="s">
        <v>1594</v>
      </c>
      <c r="F68" s="89"/>
      <c r="G68" s="89"/>
    </row>
    <row r="69" spans="1:7" x14ac:dyDescent="0.35">
      <c r="A69" s="108" t="s">
        <v>1605</v>
      </c>
      <c r="B69" s="89" t="s">
        <v>1591</v>
      </c>
      <c r="C69" s="89" t="s">
        <v>68</v>
      </c>
      <c r="D69" s="89" t="s">
        <v>64</v>
      </c>
      <c r="E69" s="109" t="s">
        <v>1594</v>
      </c>
      <c r="F69" s="89"/>
      <c r="G69" s="89"/>
    </row>
    <row r="70" spans="1:7" x14ac:dyDescent="0.35">
      <c r="A70" s="108" t="s">
        <v>1566</v>
      </c>
      <c r="B70" s="89"/>
      <c r="C70" s="89"/>
      <c r="D70" s="89"/>
      <c r="E70" s="109"/>
      <c r="F70" s="89"/>
      <c r="G70" s="89"/>
    </row>
    <row r="71" spans="1:7" x14ac:dyDescent="0.35">
      <c r="A71" s="108" t="s">
        <v>1413</v>
      </c>
      <c r="B71" s="89"/>
      <c r="C71" s="89"/>
      <c r="D71" s="89"/>
      <c r="E71" s="109"/>
      <c r="F71" s="89" t="str">
        <f>IF(IF(B71="", "", VLOOKUP(B71,'API Data Dictionary'!C:F,4,FALSE))=0, "", IF(B71="", "", VLOOKUP(B71,'API Data Dictionary'!C:F,4,FALSE)))</f>
        <v/>
      </c>
      <c r="G71" s="89"/>
    </row>
    <row r="72" spans="1:7" x14ac:dyDescent="0.35">
      <c r="A72" s="108" t="s">
        <v>1576</v>
      </c>
      <c r="B72" s="89" t="s">
        <v>1579</v>
      </c>
      <c r="C72" s="89" t="s">
        <v>68</v>
      </c>
      <c r="D72" s="89" t="s">
        <v>64</v>
      </c>
      <c r="E72" s="109" t="s">
        <v>1594</v>
      </c>
      <c r="F72" s="89"/>
      <c r="G72" s="89"/>
    </row>
    <row r="73" spans="1:7" x14ac:dyDescent="0.35">
      <c r="A73" s="108" t="s">
        <v>1577</v>
      </c>
      <c r="B73" s="89" t="s">
        <v>1580</v>
      </c>
      <c r="C73" s="89" t="s">
        <v>68</v>
      </c>
      <c r="D73" s="89" t="s">
        <v>64</v>
      </c>
      <c r="E73" s="109" t="s">
        <v>1594</v>
      </c>
      <c r="F73" s="89"/>
      <c r="G73" s="89"/>
    </row>
    <row r="74" spans="1:7" x14ac:dyDescent="0.35">
      <c r="A74" s="108" t="s">
        <v>1105</v>
      </c>
      <c r="B74" s="89"/>
      <c r="C74" s="89"/>
      <c r="D74" s="89"/>
      <c r="E74" s="109"/>
      <c r="F74" s="89"/>
      <c r="G74" s="89"/>
    </row>
    <row r="75" spans="1:7" x14ac:dyDescent="0.35">
      <c r="A75" s="108" t="s">
        <v>1606</v>
      </c>
      <c r="B75" s="89" t="s">
        <v>1592</v>
      </c>
      <c r="C75" s="89" t="s">
        <v>68</v>
      </c>
      <c r="D75" s="89" t="s">
        <v>64</v>
      </c>
      <c r="E75" s="109" t="s">
        <v>1594</v>
      </c>
      <c r="F75" s="89"/>
      <c r="G75" s="89"/>
    </row>
    <row r="76" spans="1:7" x14ac:dyDescent="0.35">
      <c r="A76" s="108" t="s">
        <v>1120</v>
      </c>
      <c r="B76" s="89"/>
      <c r="C76" s="89"/>
      <c r="D76" s="89"/>
      <c r="E76" s="109"/>
      <c r="F76" s="89"/>
      <c r="G76" s="89"/>
    </row>
    <row r="77" spans="1:7" x14ac:dyDescent="0.35">
      <c r="A77" s="103"/>
      <c r="E77"/>
    </row>
    <row r="78" spans="1:7" x14ac:dyDescent="0.35">
      <c r="A78" s="220" t="s">
        <v>1598</v>
      </c>
      <c r="B78" s="220"/>
      <c r="C78" s="220"/>
      <c r="D78" s="220"/>
      <c r="E78" s="220"/>
      <c r="F78" s="220"/>
      <c r="G78" s="220"/>
    </row>
    <row r="79" spans="1:7" x14ac:dyDescent="0.35">
      <c r="A79" s="110" t="s">
        <v>1094</v>
      </c>
      <c r="B79" s="89" t="str">
        <f t="shared" si="3"/>
        <v/>
      </c>
      <c r="C79" s="89" t="str">
        <f>IF(B79="", "", VLOOKUP(B79,'API Data Dictionary'!C:J,8,FALSE))</f>
        <v/>
      </c>
      <c r="D79" s="89" t="str">
        <f>IF(B79="", "", VLOOKUP(B79,'API Data Dictionary'!C:D,2,FALSE))</f>
        <v/>
      </c>
      <c r="E79" s="89" t="str">
        <f>IF(IF(B79="", "", VLOOKUP(B79,'API Data Dictionary'!C:E,3,FALSE))=0, "", IF(B79="", "", VLOOKUP(B79,'API Data Dictionary'!C:E,3,FALSE)))</f>
        <v/>
      </c>
      <c r="F79" s="89" t="str">
        <f>IF(IF(B79="", "", VLOOKUP(B79,'API Data Dictionary'!C:F,4,FALSE))=0, "", IF(B79="", "", VLOOKUP(B79,'API Data Dictionary'!C:F,4,FALSE)))</f>
        <v/>
      </c>
      <c r="G79" s="89" t="str">
        <f>IF(IF(B79="", "", VLOOKUP(B79,'API Data Dictionary'!C:G,5,FALSE))=0, "", IF(B79="", "", VLOOKUP(B79,'API Data Dictionary'!C:G,5,FALSE)))</f>
        <v/>
      </c>
    </row>
    <row r="80" spans="1:7" x14ac:dyDescent="0.35">
      <c r="A80" s="110" t="s">
        <v>1567</v>
      </c>
      <c r="B80" s="89" t="str">
        <f t="shared" si="3"/>
        <v>success</v>
      </c>
      <c r="C80" s="89" t="s">
        <v>68</v>
      </c>
      <c r="D80" s="89" t="str">
        <f>IF(B80="", "", VLOOKUP(B80,'API Data Dictionary'!C:D,2,FALSE))</f>
        <v>string - Boolean</v>
      </c>
      <c r="E80" s="89">
        <f>IF(IF(B80="", "", VLOOKUP(B80,'API Data Dictionary'!C:E,3,FALSE))=0, "", IF(B80="", "", VLOOKUP(B80,'API Data Dictionary'!C:E,3,FALSE)))</f>
        <v>100</v>
      </c>
      <c r="F80" s="89" t="str">
        <f>IF(IF(B80="", "", VLOOKUP(B80,'API Data Dictionary'!C:F,4,FALSE))=0, "", IF(B80="", "", VLOOKUP(B80,'API Data Dictionary'!C:F,4,FALSE)))</f>
        <v/>
      </c>
      <c r="G80" s="89" t="str">
        <f>IF(IF(B80="", "", VLOOKUP(B80,'API Data Dictionary'!C:G,5,FALSE))=0, "", IF(B80="", "", VLOOKUP(B80,'API Data Dictionary'!C:G,5,FALSE)))</f>
        <v>Returns true when successful call/connection</v>
      </c>
    </row>
    <row r="81" spans="1:7" x14ac:dyDescent="0.35">
      <c r="A81" s="110" t="s">
        <v>1596</v>
      </c>
      <c r="B81" s="89" t="str">
        <f t="shared" si="3"/>
        <v>payload</v>
      </c>
      <c r="C81" s="89" t="s">
        <v>68</v>
      </c>
      <c r="D81" s="89" t="str">
        <f>IF(B81="", "", VLOOKUP(B81,'API Data Dictionary'!C:D,2,FALSE))</f>
        <v>string</v>
      </c>
      <c r="E81" s="89">
        <f>IF(IF(B81="", "", VLOOKUP(B81,'API Data Dictionary'!C:E,3,FALSE))=0, "", IF(B81="", "", VLOOKUP(B81,'API Data Dictionary'!C:E,3,FALSE)))</f>
        <v>100</v>
      </c>
      <c r="F81" s="89" t="str">
        <f>IF(IF(B81="", "", VLOOKUP(B81,'API Data Dictionary'!C:F,4,FALSE))=0, "", IF(B81="", "", VLOOKUP(B81,'API Data Dictionary'!C:F,4,FALSE)))</f>
        <v/>
      </c>
      <c r="G81" s="89" t="str">
        <f>IF(IF(B81="", "", VLOOKUP(B81,'API Data Dictionary'!C:G,5,FALSE))=0, "", IF(B81="", "", VLOOKUP(B81,'API Data Dictionary'!C:G,5,FALSE)))</f>
        <v>Returns healthy when connection has worked properly</v>
      </c>
    </row>
    <row r="82" spans="1:7" x14ac:dyDescent="0.35">
      <c r="A82" s="110" t="s">
        <v>1597</v>
      </c>
      <c r="B82" s="89" t="str">
        <f t="shared" si="3"/>
        <v>message</v>
      </c>
      <c r="C82" s="89" t="s">
        <v>68</v>
      </c>
      <c r="D82" s="89" t="str">
        <f>IF(B82="", "", VLOOKUP(B82,'API Data Dictionary'!C:D,2,FALSE))</f>
        <v>string</v>
      </c>
      <c r="E82" s="89">
        <f>IF(IF(B82="", "", VLOOKUP(B82,'API Data Dictionary'!C:E,3,FALSE))=0, "", IF(B82="", "", VLOOKUP(B82,'API Data Dictionary'!C:E,3,FALSE)))</f>
        <v>100</v>
      </c>
      <c r="F82" s="89" t="str">
        <f>IF(IF(B82="", "", VLOOKUP(B82,'API Data Dictionary'!C:F,4,FALSE))=0, "", IF(B82="", "", VLOOKUP(B82,'API Data Dictionary'!C:F,4,FALSE)))</f>
        <v/>
      </c>
      <c r="G82" s="89" t="str">
        <f>IF(IF(B82="", "", VLOOKUP(B82,'API Data Dictionary'!C:G,5,FALSE))=0, "", IF(B82="", "", VLOOKUP(B82,'API Data Dictionary'!C:G,5,FALSE)))</f>
        <v>return value, null or success, unless there has been error</v>
      </c>
    </row>
    <row r="83" spans="1:7" x14ac:dyDescent="0.35">
      <c r="A83" s="110" t="s">
        <v>1120</v>
      </c>
      <c r="B83" s="89" t="str">
        <f t="shared" si="3"/>
        <v/>
      </c>
      <c r="C83" s="89" t="str">
        <f>IF(B83="", "", VLOOKUP(B83,'API Data Dictionary'!C:J,8,FALSE))</f>
        <v/>
      </c>
      <c r="D83" s="89" t="str">
        <f>IF(B83="", "", VLOOKUP(B83,'API Data Dictionary'!C:D,2,FALSE))</f>
        <v/>
      </c>
      <c r="E83" s="89" t="str">
        <f>IF(IF(B83="", "", VLOOKUP(B83,'API Data Dictionary'!C:E,3,FALSE))=0, "", IF(B83="", "", VLOOKUP(B83,'API Data Dictionary'!C:E,3,FALSE)))</f>
        <v/>
      </c>
      <c r="F83" s="89" t="str">
        <f>IF(IF(B83="", "", VLOOKUP(B83,'API Data Dictionary'!C:F,4,FALSE))=0, "", IF(B83="", "", VLOOKUP(B83,'API Data Dictionary'!C:F,4,FALSE)))</f>
        <v/>
      </c>
      <c r="G83" s="89" t="str">
        <f>IF(IF(B83="", "", VLOOKUP(B83,'API Data Dictionary'!C:G,5,FALSE))=0, "", IF(B83="", "", VLOOKUP(B83,'API Data Dictionary'!C:G,5,FALSE)))</f>
        <v/>
      </c>
    </row>
  </sheetData>
  <mergeCells count="6">
    <mergeCell ref="A2:G2"/>
    <mergeCell ref="A41:G41"/>
    <mergeCell ref="A63:G63"/>
    <mergeCell ref="A78:G78"/>
    <mergeCell ref="A57:G57"/>
    <mergeCell ref="A60:G60"/>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E5573-F861-4631-A9EA-D36E6A17EE05}">
  <sheetPr>
    <tabColor rgb="FF4472C4"/>
  </sheetPr>
  <dimension ref="A1:G54"/>
  <sheetViews>
    <sheetView tabSelected="1" zoomScaleNormal="100" workbookViewId="0">
      <selection activeCell="A4" sqref="A4"/>
    </sheetView>
  </sheetViews>
  <sheetFormatPr defaultRowHeight="14.5" x14ac:dyDescent="0.35"/>
  <cols>
    <col min="1" max="1" width="64.81640625" bestFit="1" customWidth="1"/>
    <col min="2" max="2" width="22.1796875" bestFit="1" customWidth="1"/>
    <col min="3" max="3" width="16" bestFit="1" customWidth="1"/>
    <col min="4" max="4" width="21.26953125" bestFit="1" customWidth="1"/>
    <col min="5" max="5" width="10.54296875" customWidth="1"/>
    <col min="6" max="6" width="14.453125" customWidth="1"/>
    <col min="7" max="7" width="255.6328125" bestFit="1" customWidth="1"/>
  </cols>
  <sheetData>
    <row r="1" spans="1:7" ht="43.5" x14ac:dyDescent="0.35">
      <c r="A1" s="63" t="s">
        <v>1800</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B26" si="0">IF(OR(ISNUMBER(SEARCH("{", A3)),ISNUMBER(SEARCH("[", A3))), "", IFERROR(MID(A3, SEARCH("""", A3) +1, SEARCH("""", A3, SEARCH("""",A3) +1) - SEARCH("""", A3) -1), ""))</f>
        <v/>
      </c>
      <c r="C3" s="62" t="str">
        <f>IF(B3="", "", VLOOKUP(B3,'API Data Dictionary'!C:N,12,FALSE))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x14ac:dyDescent="0.35">
      <c r="A4" s="64" t="s">
        <v>1795</v>
      </c>
      <c r="B4" s="62" t="str">
        <f t="shared" si="0"/>
        <v>applicantId</v>
      </c>
      <c r="C4" s="62" t="str">
        <f>IF(B4="", "", VLOOKUP(B4,'API Data Dictionary'!C:N,12,FALSE))</f>
        <v>M</v>
      </c>
      <c r="D4" s="62" t="str">
        <f>IF(B4="", "", VLOOKUP(B4,'API Data Dictionary'!C:D,2,FALSE))</f>
        <v>integer</v>
      </c>
      <c r="E4" s="62" t="str">
        <f>IF(IF(B4="", "", VLOOKUP(B4,'API Data Dictionary'!C:E,3,FALSE))=0, "", IF(B4="", "", VLOOKUP(B4,'API Data Dictionary'!C:E,3,FALSE)))</f>
        <v/>
      </c>
      <c r="F4" s="62" t="str">
        <f>IF(IF(B4="", "", VLOOKUP(B4,'API Data Dictionary'!C:F,4,FALSE))=0, "", IF(B4="", "", VLOOKUP(B4,'API Data Dictionary'!C:F,4,FALSE)))</f>
        <v/>
      </c>
      <c r="G4" s="62" t="str">
        <f>IF(IF(B4="", "", VLOOKUP(B4,'API Data Dictionary'!C:G,5,FALSE))=0, "", IF(B4="", "", VLOOKUP(B4,'API Data Dictionary'!C:G,5,FALSE)))</f>
        <v>ApplicantID is a unique identifier for a person / Company to be referenced. 
ApplicantID is created through API Methods:
CreateReferenceWithAllData
CreateReferenceWithInputFromApplicant
CreateCompanyReferenceWithAllData
CreateCompanyReferenceWithInputFromApplicant
AddApplicantToTenancy</v>
      </c>
    </row>
    <row r="5" spans="1:7" x14ac:dyDescent="0.35">
      <c r="A5" s="64" t="s">
        <v>1120</v>
      </c>
      <c r="B5" s="62" t="str">
        <f t="shared" si="0"/>
        <v/>
      </c>
      <c r="C5" s="62" t="str">
        <f>IF(B5="", "", VLOOKUP(B5,'API Data Dictionary'!C:N,12,FALSE))</f>
        <v/>
      </c>
      <c r="D5" s="62" t="str">
        <f>IF(B5="", "", VLOOKUP(B5,'API Data Dictionary'!C:D,2,FALSE))</f>
        <v/>
      </c>
      <c r="E5" s="62" t="str">
        <f>IF(IF(B5="", "", VLOOKUP(B5,'API Data Dictionary'!C:E,3,FALSE))=0, "", IF(B5="", "", VLOOKUP(B5,'API Data Dictionary'!C:E,3,FALSE)))</f>
        <v/>
      </c>
      <c r="F5" s="62" t="str">
        <f>IF(IF(B5="", "", VLOOKUP(B5,'API Data Dictionary'!C:F,4,FALSE))=0, "", IF(B5="", "", VLOOKUP(B5,'API Data Dictionary'!C:F,4,FALSE)))</f>
        <v/>
      </c>
      <c r="G5" s="62" t="str">
        <f>IF(IF(B5="", "", VLOOKUP(B5,'API Data Dictionary'!C:G,5,FALSE))=0, "", IF(B5="", "", VLOOKUP(B5,'API Data Dictionary'!C:G,5,FALSE)))</f>
        <v/>
      </c>
    </row>
    <row r="6" spans="1:7" x14ac:dyDescent="0.35">
      <c r="A6" s="64"/>
      <c r="B6" s="62" t="str">
        <f t="shared" si="0"/>
        <v/>
      </c>
      <c r="C6" s="62" t="str">
        <f>IF(B6="", "", VLOOKUP(B6,'API Data Dictionary'!C:N,12,FALSE))</f>
        <v/>
      </c>
      <c r="D6" s="62" t="str">
        <f>IF(B6="", "", VLOOKUP(B6,'API Data Dictionary'!C:D,2,FALSE))</f>
        <v/>
      </c>
      <c r="E6" s="62" t="str">
        <f>IF(IF(B6="", "", VLOOKUP(B6,'API Data Dictionary'!C:E,3,FALSE))=0, "", IF(B6="", "", VLOOKUP(B6,'API Data Dictionary'!C:E,3,FALSE)))</f>
        <v/>
      </c>
      <c r="F6" s="62" t="str">
        <f>IF(IF(B6="", "", VLOOKUP(B6,'API Data Dictionary'!C:F,4,FALSE))=0, "", IF(B6="", "", VLOOKUP(B6,'API Data Dictionary'!C:F,4,FALSE)))</f>
        <v/>
      </c>
      <c r="G6" s="62" t="str">
        <f>IF(IF(B6="", "", VLOOKUP(B6,'API Data Dictionary'!C:G,5,FALSE))=0, "", IF(B6="", "", VLOOKUP(B6,'API Data Dictionary'!C:G,5,FALSE)))</f>
        <v/>
      </c>
    </row>
    <row r="7" spans="1:7" x14ac:dyDescent="0.35">
      <c r="A7" s="103"/>
      <c r="B7" s="103"/>
      <c r="C7" s="103"/>
      <c r="D7" s="103"/>
      <c r="E7" s="103"/>
      <c r="F7" s="103"/>
      <c r="G7" s="103"/>
    </row>
    <row r="8" spans="1:7" x14ac:dyDescent="0.35">
      <c r="A8" s="222" t="s">
        <v>1751</v>
      </c>
      <c r="B8" s="222"/>
      <c r="C8" s="222"/>
      <c r="D8" s="222"/>
      <c r="E8" s="222"/>
      <c r="F8" s="222"/>
      <c r="G8" s="222"/>
    </row>
    <row r="9" spans="1:7" x14ac:dyDescent="0.35">
      <c r="A9" s="64" t="s">
        <v>1094</v>
      </c>
      <c r="B9" s="62" t="str">
        <f t="shared" si="0"/>
        <v/>
      </c>
      <c r="C9" s="62" t="str">
        <f>IF(B9="", "", VLOOKUP(B9,'API Data Dictionary'!C:N,12,FALSE))</f>
        <v/>
      </c>
      <c r="D9" s="62" t="str">
        <f>IF(B9="", "", VLOOKUP(B9,'API Data Dictionary'!C:D,2,FALSE))</f>
        <v/>
      </c>
      <c r="E9" s="62" t="str">
        <f>IF(IF(B9="", "", VLOOKUP(B9,'API Data Dictionary'!C:E,3,FALSE))=0, "", IF(B9="", "", VLOOKUP(B9,'API Data Dictionary'!C:E,3,FALSE)))</f>
        <v/>
      </c>
      <c r="F9" s="62" t="str">
        <f>IF(IF(B9="", "", VLOOKUP(B9,'API Data Dictionary'!C:F,4,FALSE))=0, "", IF(B9="", "", VLOOKUP(B9,'API Data Dictionary'!C:F,4,FALSE)))</f>
        <v/>
      </c>
      <c r="G9" s="62" t="str">
        <f>IF(IF(B9="", "", VLOOKUP(B9,'API Data Dictionary'!C:G,5,FALSE))=0, "", IF(B9="", "", VLOOKUP(B9,'API Data Dictionary'!C:G,5,FALSE)))</f>
        <v/>
      </c>
    </row>
    <row r="10" spans="1:7" x14ac:dyDescent="0.35">
      <c r="A10" s="64" t="s">
        <v>1350</v>
      </c>
      <c r="B10" s="62" t="str">
        <f t="shared" si="0"/>
        <v>success</v>
      </c>
      <c r="C10" s="62" t="s">
        <v>68</v>
      </c>
      <c r="D10" s="62" t="str">
        <f>IF(B10="", "", VLOOKUP(B10,'API Data Dictionary'!C:D,2,FALSE))</f>
        <v>string - Boolean</v>
      </c>
      <c r="E10" s="62">
        <f>IF(IF(B10="", "", VLOOKUP(B10,'API Data Dictionary'!C:E,3,FALSE))=0, "", IF(B10="", "", VLOOKUP(B10,'API Data Dictionary'!C:E,3,FALSE)))</f>
        <v>100</v>
      </c>
      <c r="F10" s="62" t="str">
        <f>IF(IF(B10="", "", VLOOKUP(B10,'API Data Dictionary'!C:F,4,FALSE))=0, "", IF(B10="", "", VLOOKUP(B10,'API Data Dictionary'!C:F,4,FALSE)))</f>
        <v/>
      </c>
      <c r="G10" s="62" t="str">
        <f>IF(IF(B10="", "", VLOOKUP(B10,'API Data Dictionary'!C:G,5,FALSE))=0, "", IF(B10="", "", VLOOKUP(B10,'API Data Dictionary'!C:G,5,FALSE)))</f>
        <v>Returns true when successful call/connection</v>
      </c>
    </row>
    <row r="11" spans="1:7" x14ac:dyDescent="0.35">
      <c r="A11" s="64" t="s">
        <v>1377</v>
      </c>
      <c r="B11" s="62" t="str">
        <f t="shared" si="0"/>
        <v/>
      </c>
      <c r="C11" s="62" t="str">
        <f>IF(B11="", "", VLOOKUP(B11,'API Data Dictionary'!C:N,12,FALSE))</f>
        <v/>
      </c>
      <c r="D11" s="62" t="str">
        <f>IF(B11="", "", VLOOKUP(B11,'API Data Dictionary'!C:D,2,FALSE))</f>
        <v/>
      </c>
      <c r="E11" s="62" t="str">
        <f>IF(IF(B11="", "", VLOOKUP(B11,'API Data Dictionary'!C:E,3,FALSE))=0, "", IF(B11="", "", VLOOKUP(B11,'API Data Dictionary'!C:E,3,FALSE)))</f>
        <v/>
      </c>
      <c r="F11" s="62" t="str">
        <f>IF(IF(B11="", "", VLOOKUP(B11,'API Data Dictionary'!C:F,4,FALSE))=0, "", IF(B11="", "", VLOOKUP(B11,'API Data Dictionary'!C:F,4,FALSE)))</f>
        <v/>
      </c>
      <c r="G11" s="62" t="str">
        <f>IF(IF(B11="", "", VLOOKUP(B11,'API Data Dictionary'!C:G,5,FALSE))=0, "", IF(B11="", "", VLOOKUP(B11,'API Data Dictionary'!C:G,5,FALSE)))</f>
        <v/>
      </c>
    </row>
    <row r="12" spans="1:7" x14ac:dyDescent="0.35">
      <c r="A12" s="64" t="s">
        <v>1378</v>
      </c>
      <c r="B12" s="62" t="str">
        <f t="shared" si="0"/>
        <v>agentCode</v>
      </c>
      <c r="C12" s="62" t="s">
        <v>68</v>
      </c>
      <c r="D12" s="62" t="str">
        <f>IF(B12="", "", VLOOKUP(B12,'API Data Dictionary'!C:D,2,FALSE))</f>
        <v>string</v>
      </c>
      <c r="E12" s="62">
        <f>IF(IF(B12="", "", VLOOKUP(B12,'API Data Dictionary'!C:E,3,FALSE))=0, "", IF(B12="", "", VLOOKUP(B12,'API Data Dictionary'!C:E,3,FALSE)))</f>
        <v>50</v>
      </c>
      <c r="F12" s="62" t="str">
        <f>IF(IF(B12="", "", VLOOKUP(B12,'API Data Dictionary'!C:F,4,FALSE))=0, "", IF(B12="", "", VLOOKUP(B12,'API Data Dictionary'!C:F,4,FALSE)))</f>
        <v/>
      </c>
      <c r="G12" s="62" t="str">
        <f>IF(IF(B12="", "", VLOOKUP(B12,'API Data Dictionary'!C:G,5,FALSE))=0, "", IF(B12="", "", VLOOKUP(B12,'API Data Dictionary'!C:G,5,FALSE)))</f>
        <v>AgentCode is the Unique Key provided to the Agent when onboarding as a Barbon Customer.
An AgentID may be linked to many Properties being managed by that Agent and Each property may be linked to 1 or more TenancyID's.</v>
      </c>
    </row>
    <row r="13" spans="1:7" x14ac:dyDescent="0.35">
      <c r="A13" s="64" t="s">
        <v>1796</v>
      </c>
      <c r="B13" s="62" t="str">
        <f t="shared" si="0"/>
        <v/>
      </c>
      <c r="C13" s="62" t="str">
        <f>IF(B13="", "", VLOOKUP(B13,'API Data Dictionary'!C:N,12,FALSE))</f>
        <v/>
      </c>
      <c r="D13" s="62" t="str">
        <f>IF(B13="", "", VLOOKUP(B13,'API Data Dictionary'!C:D,2,FALSE))</f>
        <v/>
      </c>
      <c r="E13" s="62" t="str">
        <f>IF(IF(B13="", "", VLOOKUP(B13,'API Data Dictionary'!C:E,3,FALSE))=0, "", IF(B13="", "", VLOOKUP(B13,'API Data Dictionary'!C:E,3,FALSE)))</f>
        <v/>
      </c>
      <c r="F13" s="62" t="str">
        <f>IF(IF(B13="", "", VLOOKUP(B13,'API Data Dictionary'!C:F,4,FALSE))=0, "", IF(B13="", "", VLOOKUP(B13,'API Data Dictionary'!C:F,4,FALSE)))</f>
        <v/>
      </c>
      <c r="G13" s="62" t="str">
        <f>IF(IF(B13="", "", VLOOKUP(B13,'API Data Dictionary'!C:G,5,FALSE))=0, "", IF(B13="", "", VLOOKUP(B13,'API Data Dictionary'!C:G,5,FALSE)))</f>
        <v/>
      </c>
    </row>
    <row r="14" spans="1:7" x14ac:dyDescent="0.35">
      <c r="A14" s="64" t="s">
        <v>1381</v>
      </c>
      <c r="B14" s="62" t="str">
        <f t="shared" si="0"/>
        <v/>
      </c>
      <c r="C14" s="62" t="str">
        <f>IF(B14="", "", VLOOKUP(B14,'API Data Dictionary'!C:N,12,FALSE))</f>
        <v/>
      </c>
      <c r="D14" s="62" t="str">
        <f>IF(B14="", "", VLOOKUP(B14,'API Data Dictionary'!C:D,2,FALSE))</f>
        <v/>
      </c>
      <c r="E14" s="62" t="str">
        <f>IF(IF(B14="", "", VLOOKUP(B14,'API Data Dictionary'!C:E,3,FALSE))=0, "", IF(B14="", "", VLOOKUP(B14,'API Data Dictionary'!C:E,3,FALSE)))</f>
        <v/>
      </c>
      <c r="F14" s="62" t="str">
        <f>IF(IF(B14="", "", VLOOKUP(B14,'API Data Dictionary'!C:F,4,FALSE))=0, "", IF(B14="", "", VLOOKUP(B14,'API Data Dictionary'!C:F,4,FALSE)))</f>
        <v/>
      </c>
      <c r="G14" s="62" t="str">
        <f>IF(IF(B14="", "", VLOOKUP(B14,'API Data Dictionary'!C:G,5,FALSE))=0, "", IF(B14="", "", VLOOKUP(B14,'API Data Dictionary'!C:G,5,FALSE)))</f>
        <v/>
      </c>
    </row>
    <row r="15" spans="1:7" x14ac:dyDescent="0.35">
      <c r="A15" s="64" t="s">
        <v>1813</v>
      </c>
      <c r="B15" s="62" t="str">
        <f t="shared" si="0"/>
        <v>noteDescription</v>
      </c>
      <c r="C15" s="62" t="s">
        <v>68</v>
      </c>
      <c r="D15" s="62" t="s">
        <v>64</v>
      </c>
      <c r="E15" s="62">
        <v>5000</v>
      </c>
      <c r="F15" s="62"/>
      <c r="G15" s="62" t="s">
        <v>1799</v>
      </c>
    </row>
    <row r="16" spans="1:7" x14ac:dyDescent="0.35">
      <c r="A16" s="64" t="s">
        <v>1814</v>
      </c>
      <c r="B16" s="62" t="s">
        <v>1797</v>
      </c>
      <c r="C16" s="62" t="s">
        <v>68</v>
      </c>
      <c r="D16" s="62" t="s">
        <v>89</v>
      </c>
      <c r="E16" s="62" t="s">
        <v>1433</v>
      </c>
      <c r="F16" s="62" t="s">
        <v>90</v>
      </c>
      <c r="G16" s="62" t="s">
        <v>1798</v>
      </c>
    </row>
    <row r="17" spans="1:7" x14ac:dyDescent="0.35">
      <c r="A17" s="64" t="s">
        <v>1188</v>
      </c>
      <c r="B17" s="62" t="str">
        <f t="shared" si="0"/>
        <v/>
      </c>
      <c r="C17" s="62" t="str">
        <f>IF(B17="", "", VLOOKUP(B17,'API Data Dictionary'!C:N,12,FALSE))</f>
        <v/>
      </c>
      <c r="D17" s="62" t="str">
        <f>IF(B17="", "", VLOOKUP(B17,'API Data Dictionary'!C:D,2,FALSE))</f>
        <v/>
      </c>
      <c r="E17" s="62" t="str">
        <f>IF(IF(B17="", "", VLOOKUP(B17,'API Data Dictionary'!C:E,3,FALSE))=0, "", IF(B17="", "", VLOOKUP(B17,'API Data Dictionary'!C:E,3,FALSE)))</f>
        <v/>
      </c>
      <c r="F17" s="62" t="str">
        <f>IF(IF(B17="", "", VLOOKUP(B17,'API Data Dictionary'!C:F,4,FALSE))=0, "", IF(B17="", "", VLOOKUP(B17,'API Data Dictionary'!C:F,4,FALSE)))</f>
        <v/>
      </c>
      <c r="G17" s="62" t="str">
        <f>IF(IF(B17="", "", VLOOKUP(B17,'API Data Dictionary'!C:G,5,FALSE))=0, "", IF(B17="", "", VLOOKUP(B17,'API Data Dictionary'!C:G,5,FALSE)))</f>
        <v/>
      </c>
    </row>
    <row r="18" spans="1:7" x14ac:dyDescent="0.35">
      <c r="A18" s="64" t="s">
        <v>1381</v>
      </c>
      <c r="B18" s="62" t="str">
        <f t="shared" si="0"/>
        <v/>
      </c>
      <c r="C18" s="62" t="str">
        <f>IF(B18="", "", VLOOKUP(B18,'API Data Dictionary'!C:N,12,FALSE))</f>
        <v/>
      </c>
      <c r="D18" s="62" t="str">
        <f>IF(B18="", "", VLOOKUP(B18,'API Data Dictionary'!C:D,2,FALSE))</f>
        <v/>
      </c>
      <c r="E18" s="62" t="str">
        <f>IF(IF(B18="", "", VLOOKUP(B18,'API Data Dictionary'!C:E,3,FALSE))=0, "", IF(B18="", "", VLOOKUP(B18,'API Data Dictionary'!C:E,3,FALSE)))</f>
        <v/>
      </c>
      <c r="F18" s="62" t="str">
        <f>IF(IF(B18="", "", VLOOKUP(B18,'API Data Dictionary'!C:F,4,FALSE))=0, "", IF(B18="", "", VLOOKUP(B18,'API Data Dictionary'!C:F,4,FALSE)))</f>
        <v/>
      </c>
      <c r="G18" s="62" t="str">
        <f>IF(IF(B18="", "", VLOOKUP(B18,'API Data Dictionary'!C:G,5,FALSE))=0, "", IF(B18="", "", VLOOKUP(B18,'API Data Dictionary'!C:G,5,FALSE)))</f>
        <v/>
      </c>
    </row>
    <row r="19" spans="1:7" x14ac:dyDescent="0.35">
      <c r="A19" s="64" t="s">
        <v>1813</v>
      </c>
      <c r="B19" s="62" t="str">
        <f t="shared" ref="B19" si="1">IF(OR(ISNUMBER(SEARCH("{", A19)),ISNUMBER(SEARCH("[", A19))), "", IFERROR(MID(A19, SEARCH("""", A19) +1, SEARCH("""", A19, SEARCH("""",A19) +1) - SEARCH("""", A19) -1), ""))</f>
        <v>noteDescription</v>
      </c>
      <c r="C19" s="62" t="s">
        <v>68</v>
      </c>
      <c r="D19" s="62" t="s">
        <v>64</v>
      </c>
      <c r="E19" s="62">
        <v>5000</v>
      </c>
      <c r="F19" s="62"/>
      <c r="G19" s="62" t="s">
        <v>1799</v>
      </c>
    </row>
    <row r="20" spans="1:7" x14ac:dyDescent="0.35">
      <c r="A20" s="64" t="s">
        <v>1814</v>
      </c>
      <c r="B20" s="62" t="s">
        <v>1797</v>
      </c>
      <c r="C20" s="62" t="s">
        <v>68</v>
      </c>
      <c r="D20" s="62" t="s">
        <v>89</v>
      </c>
      <c r="E20" s="62" t="s">
        <v>1433</v>
      </c>
      <c r="F20" s="62" t="s">
        <v>90</v>
      </c>
      <c r="G20" s="62" t="s">
        <v>1798</v>
      </c>
    </row>
    <row r="21" spans="1:7" x14ac:dyDescent="0.35">
      <c r="A21" s="64" t="s">
        <v>1117</v>
      </c>
      <c r="B21" s="62" t="str">
        <f t="shared" si="0"/>
        <v/>
      </c>
      <c r="C21" s="62" t="str">
        <f>IF(B21="", "", VLOOKUP(B21,'API Data Dictionary'!C:N,12,FALSE))</f>
        <v/>
      </c>
      <c r="D21" s="62" t="str">
        <f>IF(B21="", "", VLOOKUP(B21,'API Data Dictionary'!C:D,2,FALSE))</f>
        <v/>
      </c>
      <c r="E21" s="62" t="str">
        <f>IF(IF(B21="", "", VLOOKUP(B21,'API Data Dictionary'!C:E,3,FALSE))=0, "", IF(B21="", "", VLOOKUP(B21,'API Data Dictionary'!C:E,3,FALSE)))</f>
        <v/>
      </c>
      <c r="F21" s="62" t="str">
        <f>IF(IF(B21="", "", VLOOKUP(B21,'API Data Dictionary'!C:F,4,FALSE))=0, "", IF(B21="", "", VLOOKUP(B21,'API Data Dictionary'!C:F,4,FALSE)))</f>
        <v/>
      </c>
      <c r="G21" s="62" t="str">
        <f>IF(IF(B21="", "", VLOOKUP(B21,'API Data Dictionary'!C:G,5,FALSE))=0, "", IF(B21="", "", VLOOKUP(B21,'API Data Dictionary'!C:G,5,FALSE)))</f>
        <v/>
      </c>
    </row>
    <row r="22" spans="1:7" x14ac:dyDescent="0.35">
      <c r="A22" s="64" t="s">
        <v>1383</v>
      </c>
      <c r="B22" s="62" t="str">
        <f t="shared" si="0"/>
        <v/>
      </c>
      <c r="C22" s="62" t="str">
        <f>IF(B22="", "", VLOOKUP(B22,'API Data Dictionary'!C:N,12,FALSE))</f>
        <v/>
      </c>
      <c r="D22" s="62" t="str">
        <f>IF(B22="", "", VLOOKUP(B22,'API Data Dictionary'!C:D,2,FALSE))</f>
        <v/>
      </c>
      <c r="E22" s="62" t="str">
        <f>IF(IF(B22="", "", VLOOKUP(B22,'API Data Dictionary'!C:E,3,FALSE))=0, "", IF(B22="", "", VLOOKUP(B22,'API Data Dictionary'!C:E,3,FALSE)))</f>
        <v/>
      </c>
      <c r="F22" s="62" t="str">
        <f>IF(IF(B22="", "", VLOOKUP(B22,'API Data Dictionary'!C:F,4,FALSE))=0, "", IF(B22="", "", VLOOKUP(B22,'API Data Dictionary'!C:F,4,FALSE)))</f>
        <v/>
      </c>
      <c r="G22" s="62" t="str">
        <f>IF(IF(B22="", "", VLOOKUP(B22,'API Data Dictionary'!C:G,5,FALSE))=0, "", IF(B22="", "", VLOOKUP(B22,'API Data Dictionary'!C:G,5,FALSE)))</f>
        <v/>
      </c>
    </row>
    <row r="23" spans="1:7" x14ac:dyDescent="0.35">
      <c r="A23" s="64" t="s">
        <v>1105</v>
      </c>
      <c r="B23" s="62" t="str">
        <f t="shared" si="0"/>
        <v/>
      </c>
      <c r="C23" s="62" t="str">
        <f>IF(B23="", "", VLOOKUP(B23,'API Data Dictionary'!C:N,12,FALSE))</f>
        <v/>
      </c>
      <c r="D23" s="62" t="str">
        <f>IF(B23="", "", VLOOKUP(B23,'API Data Dictionary'!C:D,2,FALSE))</f>
        <v/>
      </c>
      <c r="E23" s="62" t="str">
        <f>IF(IF(B23="", "", VLOOKUP(B23,'API Data Dictionary'!C:E,3,FALSE))=0, "", IF(B23="", "", VLOOKUP(B23,'API Data Dictionary'!C:E,3,FALSE)))</f>
        <v/>
      </c>
      <c r="F23" s="62" t="str">
        <f>IF(IF(B23="", "", VLOOKUP(B23,'API Data Dictionary'!C:F,4,FALSE))=0, "", IF(B23="", "", VLOOKUP(B23,'API Data Dictionary'!C:F,4,FALSE)))</f>
        <v/>
      </c>
      <c r="G23" s="62" t="str">
        <f>IF(IF(B23="", "", VLOOKUP(B23,'API Data Dictionary'!C:G,5,FALSE))=0, "", IF(B23="", "", VLOOKUP(B23,'API Data Dictionary'!C:G,5,FALSE)))</f>
        <v/>
      </c>
    </row>
    <row r="24" spans="1:7" x14ac:dyDescent="0.35">
      <c r="A24" s="64" t="s">
        <v>1815</v>
      </c>
      <c r="B24" s="62" t="str">
        <f t="shared" si="0"/>
        <v>message</v>
      </c>
      <c r="C24" s="62" t="s">
        <v>68</v>
      </c>
      <c r="D24" s="62" t="str">
        <f>IF(B24="", "", VLOOKUP(B24,'API Data Dictionary'!C:D,2,FALSE))</f>
        <v>string</v>
      </c>
      <c r="E24" s="62">
        <f>IF(IF(B24="", "", VLOOKUP(B24,'API Data Dictionary'!C:E,3,FALSE))=0, "", IF(B24="", "", VLOOKUP(B24,'API Data Dictionary'!C:E,3,FALSE)))</f>
        <v>100</v>
      </c>
      <c r="F24" s="62" t="str">
        <f>IF(IF(B24="", "", VLOOKUP(B24,'API Data Dictionary'!C:F,4,FALSE))=0, "", IF(B24="", "", VLOOKUP(B24,'API Data Dictionary'!C:F,4,FALSE)))</f>
        <v/>
      </c>
      <c r="G24" s="62" t="str">
        <f>IF(IF(B24="", "", VLOOKUP(B24,'API Data Dictionary'!C:G,5,FALSE))=0, "", IF(B24="", "", VLOOKUP(B24,'API Data Dictionary'!C:G,5,FALSE)))</f>
        <v>return value, null or success, unless there has been error</v>
      </c>
    </row>
    <row r="25" spans="1:7" x14ac:dyDescent="0.35">
      <c r="A25" s="64" t="s">
        <v>1120</v>
      </c>
      <c r="B25" s="62" t="str">
        <f t="shared" si="0"/>
        <v/>
      </c>
      <c r="C25" s="62" t="str">
        <f>IF(B25="", "", VLOOKUP(B25,'API Data Dictionary'!C:N,12,FALSE))</f>
        <v/>
      </c>
      <c r="D25" s="62" t="str">
        <f>IF(B25="", "", VLOOKUP(B25,'API Data Dictionary'!C:D,2,FALSE))</f>
        <v/>
      </c>
      <c r="E25" s="62" t="str">
        <f>IF(IF(B25="", "", VLOOKUP(B25,'API Data Dictionary'!C:E,3,FALSE))=0, "", IF(B25="", "", VLOOKUP(B25,'API Data Dictionary'!C:E,3,FALSE)))</f>
        <v/>
      </c>
      <c r="F25" s="62" t="str">
        <f>IF(IF(B25="", "", VLOOKUP(B25,'API Data Dictionary'!C:F,4,FALSE))=0, "", IF(B25="", "", VLOOKUP(B25,'API Data Dictionary'!C:F,4,FALSE)))</f>
        <v/>
      </c>
      <c r="G25" s="62" t="str">
        <f>IF(IF(B25="", "", VLOOKUP(B25,'API Data Dictionary'!C:G,5,FALSE))=0, "", IF(B25="", "", VLOOKUP(B25,'API Data Dictionary'!C:G,5,FALSE)))</f>
        <v/>
      </c>
    </row>
    <row r="26" spans="1:7" x14ac:dyDescent="0.35">
      <c r="A26" s="64"/>
      <c r="B26" s="62" t="str">
        <f t="shared" si="0"/>
        <v/>
      </c>
      <c r="C26" s="62" t="str">
        <f>IF(B26="", "", VLOOKUP(B26,'API Data Dictionary'!C:N,12,FALSE))</f>
        <v/>
      </c>
      <c r="D26" s="62" t="str">
        <f>IF(B26="", "", VLOOKUP(B26,'API Data Dictionary'!C:D,2,FALSE))</f>
        <v/>
      </c>
      <c r="E26" s="62" t="str">
        <f>IF(IF(B26="", "", VLOOKUP(B26,'API Data Dictionary'!C:E,3,FALSE))=0, "", IF(B26="", "", VLOOKUP(B26,'API Data Dictionary'!C:E,3,FALSE)))</f>
        <v/>
      </c>
      <c r="F26" s="62" t="str">
        <f>IF(IF(B26="", "", VLOOKUP(B26,'API Data Dictionary'!C:F,4,FALSE))=0, "", IF(B26="", "", VLOOKUP(B26,'API Data Dictionary'!C:F,4,FALSE)))</f>
        <v/>
      </c>
      <c r="G26" s="62" t="str">
        <f>IF(IF(B26="", "", VLOOKUP(B26,'API Data Dictionary'!C:G,5,FALSE))=0, "", IF(B26="", "", VLOOKUP(B26,'API Data Dictionary'!C:G,5,FALSE)))</f>
        <v/>
      </c>
    </row>
    <row r="28" spans="1:7" x14ac:dyDescent="0.35">
      <c r="A28" s="219" t="s">
        <v>1625</v>
      </c>
      <c r="B28" s="220"/>
      <c r="C28" s="220"/>
      <c r="D28" s="220"/>
      <c r="E28" s="220"/>
      <c r="F28" s="220"/>
      <c r="G28" s="220"/>
    </row>
    <row r="29" spans="1:7" x14ac:dyDescent="0.35">
      <c r="A29" s="88" t="s">
        <v>1561</v>
      </c>
      <c r="B29" s="62" t="s">
        <v>1359</v>
      </c>
      <c r="C29" s="89" t="s">
        <v>1359</v>
      </c>
      <c r="D29" s="62" t="s">
        <v>64</v>
      </c>
      <c r="E29" s="89">
        <v>100</v>
      </c>
      <c r="F29" s="89"/>
      <c r="G29" s="89" t="s">
        <v>1562</v>
      </c>
    </row>
    <row r="31" spans="1:7" x14ac:dyDescent="0.35">
      <c r="A31" s="219" t="s">
        <v>1764</v>
      </c>
      <c r="B31" s="220"/>
      <c r="C31" s="220"/>
      <c r="D31" s="220"/>
      <c r="E31" s="220"/>
      <c r="F31" s="220"/>
      <c r="G31" s="220"/>
    </row>
    <row r="32" spans="1:7" x14ac:dyDescent="0.35">
      <c r="A32" s="88" t="s">
        <v>1763</v>
      </c>
      <c r="B32" s="62" t="s">
        <v>1359</v>
      </c>
      <c r="C32" s="89" t="s">
        <v>1359</v>
      </c>
      <c r="D32" s="62" t="s">
        <v>64</v>
      </c>
      <c r="E32" s="89">
        <v>100</v>
      </c>
      <c r="F32" s="89"/>
      <c r="G32" s="89" t="s">
        <v>1765</v>
      </c>
    </row>
    <row r="34" spans="1:7" x14ac:dyDescent="0.35">
      <c r="A34" s="219" t="s">
        <v>1608</v>
      </c>
      <c r="B34" s="219"/>
      <c r="C34" s="219"/>
      <c r="D34" s="219"/>
      <c r="E34" s="219"/>
      <c r="F34" s="219"/>
      <c r="G34" s="223"/>
    </row>
    <row r="35" spans="1:7" x14ac:dyDescent="0.35">
      <c r="A35" s="64" t="s">
        <v>1094</v>
      </c>
      <c r="B35" s="62" t="str">
        <f>IF(OR(ISNUMBER(SEARCH("{", A35)),ISNUMBER(SEARCH("[", A35))), "", IFERROR(MID(A35, SEARCH("""", A35) +1, SEARCH("""", A35, SEARCH("""",A35) +1) - SEARCH("""", A35) -1), ""))</f>
        <v/>
      </c>
      <c r="C35" s="62" t="str">
        <f>IF(B35="", "", VLOOKUP(B35,'API Data Dictionary'!C:N,12,FALSE))</f>
        <v/>
      </c>
      <c r="D35" s="62" t="str">
        <f>IF(B35="", "", VLOOKUP(B35,'API Data Dictionary'!C:D,2,FALSE))</f>
        <v/>
      </c>
      <c r="E35" s="62" t="str">
        <f>IF(IF(B35="", "", VLOOKUP(B35,'API Data Dictionary'!C:E,3,FALSE))=0, "", IF(B35="", "", VLOOKUP(B35,'API Data Dictionary'!C:E,3,FALSE)))</f>
        <v/>
      </c>
      <c r="F35" s="62" t="str">
        <f>IF(IF(B35="", "", VLOOKUP(B35,'API Data Dictionary'!C:F,4,FALSE))=0, "", IF(B35="", "", VLOOKUP(B35,'API Data Dictionary'!C:F,4,FALSE)))</f>
        <v/>
      </c>
      <c r="G35" s="62" t="str">
        <f>IF(IF(B35="", "", VLOOKUP(B35,'API Data Dictionary'!C:G,5,FALSE))=0, "", IF(B35="", "", VLOOKUP(B35,'API Data Dictionary'!C:G,5,FALSE)))</f>
        <v/>
      </c>
    </row>
    <row r="36" spans="1:7" x14ac:dyDescent="0.35">
      <c r="A36" s="64" t="s">
        <v>1574</v>
      </c>
      <c r="B36" s="62" t="str">
        <f>IF(OR(ISNUMBER(SEARCH("{", A36)),ISNUMBER(SEARCH("[", A36))), "", IFERROR(MID(A36, SEARCH("""", A36) +1, SEARCH("""", A36, SEARCH("""",A36) +1) - SEARCH("""", A36) -1), ""))</f>
        <v>success</v>
      </c>
      <c r="C36" s="62" t="s">
        <v>68</v>
      </c>
      <c r="D36" s="62" t="str">
        <f>IF(B36="", "", VLOOKUP(B36,'API Data Dictionary'!C:D,2,FALSE))</f>
        <v>string - Boolean</v>
      </c>
      <c r="E36" s="62">
        <f>IF(IF(B36="", "", VLOOKUP(B36,'API Data Dictionary'!C:E,3,FALSE))=0, "", IF(B36="", "", VLOOKUP(B36,'API Data Dictionary'!C:E,3,FALSE)))</f>
        <v>100</v>
      </c>
      <c r="F36" s="62" t="str">
        <f>IF(IF(B36="", "", VLOOKUP(B36,'API Data Dictionary'!C:F,4,FALSE))=0, "", IF(B36="", "", VLOOKUP(B36,'API Data Dictionary'!C:F,4,FALSE)))</f>
        <v/>
      </c>
      <c r="G36" s="62" t="str">
        <f>IF(IF(B36="", "", VLOOKUP(B36,'API Data Dictionary'!C:G,5,FALSE))=0, "", IF(B36="", "", VLOOKUP(B36,'API Data Dictionary'!C:G,5,FALSE)))</f>
        <v>Returns true when successful call/connection</v>
      </c>
    </row>
    <row r="37" spans="1:7" x14ac:dyDescent="0.35">
      <c r="A37" s="64" t="s">
        <v>1377</v>
      </c>
      <c r="B37" s="62" t="str">
        <f>IF(OR(ISNUMBER(SEARCH("{", A37)),ISNUMBER(SEARCH("[", A37))), "", IFERROR(MID(A37, SEARCH("""", A37) +1, SEARCH("""", A37, SEARCH("""",A37) +1) - SEARCH("""", A37) -1), ""))</f>
        <v/>
      </c>
      <c r="C37" s="62"/>
      <c r="D37" s="62" t="str">
        <f>IF(B37="", "", VLOOKUP(B37,'API Data Dictionary'!C:D,2,FALSE))</f>
        <v/>
      </c>
      <c r="E37" s="62" t="str">
        <f>IF(IF(B37="", "", VLOOKUP(B37,'API Data Dictionary'!C:E,3,FALSE))=0, "", IF(B37="", "", VLOOKUP(B37,'API Data Dictionary'!C:E,3,FALSE)))</f>
        <v/>
      </c>
      <c r="F37" s="62" t="str">
        <f>IF(IF(B37="", "", VLOOKUP(B37,'API Data Dictionary'!C:F,4,FALSE))=0, "", IF(B37="", "", VLOOKUP(B37,'API Data Dictionary'!C:F,4,FALSE)))</f>
        <v/>
      </c>
      <c r="G37" s="62" t="str">
        <f>IF(IF(B37="", "", VLOOKUP(B37,'API Data Dictionary'!C:G,5,FALSE))=0, "", IF(B37="", "", VLOOKUP(B37,'API Data Dictionary'!C:G,5,FALSE)))</f>
        <v/>
      </c>
    </row>
    <row r="38" spans="1:7" x14ac:dyDescent="0.35">
      <c r="A38" s="64" t="s">
        <v>1564</v>
      </c>
      <c r="B38" s="62" t="s">
        <v>1589</v>
      </c>
      <c r="C38" s="62" t="s">
        <v>68</v>
      </c>
      <c r="D38" t="s">
        <v>1593</v>
      </c>
      <c r="E38" s="62"/>
      <c r="F38" s="62"/>
      <c r="G38" s="62"/>
    </row>
    <row r="39" spans="1:7" x14ac:dyDescent="0.35">
      <c r="A39" s="64" t="s">
        <v>1573</v>
      </c>
      <c r="B39" s="62" t="s">
        <v>1590</v>
      </c>
      <c r="C39" s="62" t="s">
        <v>68</v>
      </c>
      <c r="D39" s="62" t="s">
        <v>64</v>
      </c>
      <c r="E39" s="106" t="s">
        <v>1594</v>
      </c>
      <c r="F39" s="62"/>
      <c r="G39" s="62"/>
    </row>
    <row r="40" spans="1:7" x14ac:dyDescent="0.35">
      <c r="A40" s="64" t="s">
        <v>1575</v>
      </c>
      <c r="B40" s="62" t="s">
        <v>1591</v>
      </c>
      <c r="C40" s="62" t="s">
        <v>68</v>
      </c>
      <c r="D40" s="62" t="s">
        <v>64</v>
      </c>
      <c r="E40" s="106" t="s">
        <v>1594</v>
      </c>
      <c r="F40" s="62"/>
      <c r="G40" s="62"/>
    </row>
    <row r="41" spans="1:7" x14ac:dyDescent="0.35">
      <c r="A41" s="64" t="s">
        <v>1566</v>
      </c>
      <c r="B41" s="62"/>
      <c r="C41" s="62"/>
      <c r="D41" s="62"/>
      <c r="E41" s="62"/>
      <c r="F41" s="62"/>
      <c r="G41" s="62"/>
    </row>
    <row r="42" spans="1:7" x14ac:dyDescent="0.35">
      <c r="A42" s="64" t="s">
        <v>1413</v>
      </c>
      <c r="B42" s="62"/>
      <c r="C42" s="62"/>
      <c r="D42" s="62"/>
      <c r="E42" s="62"/>
      <c r="F42" s="62"/>
      <c r="G42" s="62"/>
    </row>
    <row r="43" spans="1:7" x14ac:dyDescent="0.35">
      <c r="A43" s="64" t="s">
        <v>1576</v>
      </c>
      <c r="B43" s="62" t="s">
        <v>1579</v>
      </c>
      <c r="C43" s="62" t="s">
        <v>68</v>
      </c>
      <c r="D43" s="62" t="s">
        <v>64</v>
      </c>
      <c r="E43" s="106" t="s">
        <v>1594</v>
      </c>
      <c r="F43" s="62"/>
      <c r="G43" s="62"/>
    </row>
    <row r="44" spans="1:7" x14ac:dyDescent="0.35">
      <c r="A44" s="64" t="s">
        <v>1577</v>
      </c>
      <c r="B44" s="62" t="s">
        <v>1580</v>
      </c>
      <c r="C44" s="62" t="s">
        <v>68</v>
      </c>
      <c r="D44" s="62" t="s">
        <v>64</v>
      </c>
      <c r="E44" s="106" t="s">
        <v>1594</v>
      </c>
      <c r="F44" s="62"/>
      <c r="G44" s="62"/>
    </row>
    <row r="45" spans="1:7" x14ac:dyDescent="0.35">
      <c r="A45" s="64" t="s">
        <v>1105</v>
      </c>
      <c r="B45" s="62" t="str">
        <f t="shared" ref="B45" si="2">IF(OR(ISNUMBER(SEARCH("{", A45)),ISNUMBER(SEARCH("[", A45))), "", IFERROR(MID(A45, SEARCH("""", A45) +1, SEARCH("""", A45, SEARCH("""",A45) +1) - SEARCH("""", A45) -1), ""))</f>
        <v/>
      </c>
      <c r="C45" s="62" t="str">
        <f>IF(B45="", "", VLOOKUP(B45,'API Data Dictionary'!C:L,10,FALSE))</f>
        <v/>
      </c>
      <c r="D45" s="62" t="str">
        <f>IF(B45="", "", VLOOKUP(B45,'API Data Dictionary'!C:D,2,FALSE))</f>
        <v/>
      </c>
      <c r="E45" s="106" t="str">
        <f>IF(IF(B45="", "", VLOOKUP(B45,'API Data Dictionary'!C:E,3,FALSE))=0, "", IF(B45="", "", VLOOKUP(B45,'API Data Dictionary'!C:E,3,FALSE)))</f>
        <v/>
      </c>
      <c r="F45" s="62" t="str">
        <f>IF(IF(B45="", "", VLOOKUP(B45,'API Data Dictionary'!C:F,4,FALSE))=0, "", IF(B45="", "", VLOOKUP(B45,'API Data Dictionary'!C:F,4,FALSE)))</f>
        <v/>
      </c>
      <c r="G45" s="62"/>
    </row>
    <row r="46" spans="1:7" x14ac:dyDescent="0.35">
      <c r="A46" s="64" t="s">
        <v>1578</v>
      </c>
      <c r="B46" s="62" t="s">
        <v>1592</v>
      </c>
      <c r="C46" s="62" t="s">
        <v>68</v>
      </c>
      <c r="D46" s="62" t="s">
        <v>64</v>
      </c>
      <c r="E46" s="106" t="s">
        <v>1594</v>
      </c>
      <c r="F46" s="62"/>
      <c r="G46" s="62"/>
    </row>
    <row r="47" spans="1:7" x14ac:dyDescent="0.35">
      <c r="A47" s="64" t="s">
        <v>1120</v>
      </c>
      <c r="B47" s="62" t="str">
        <f t="shared" ref="B47" si="3">IF(OR(ISNUMBER(SEARCH("{", A47)),ISNUMBER(SEARCH("[", A47))), "", IFERROR(MID(A47, SEARCH("""", A47) +1, SEARCH("""", A47, SEARCH("""",A47) +1) - SEARCH("""", A47) -1), ""))</f>
        <v/>
      </c>
      <c r="C47" s="62" t="str">
        <f>IF(B47="", "", VLOOKUP(B47,'API Data Dictionary'!C:N,12,FALSE))</f>
        <v/>
      </c>
      <c r="D47" s="62" t="str">
        <f>IF(B47="", "", VLOOKUP(B47,'API Data Dictionary'!C:D,2,FALSE))</f>
        <v/>
      </c>
      <c r="E47" s="62" t="str">
        <f>IF(IF(B47="", "", VLOOKUP(B47,'API Data Dictionary'!C:E,3,FALSE))=0, "", IF(B47="", "", VLOOKUP(B47,'API Data Dictionary'!C:E,3,FALSE)))</f>
        <v/>
      </c>
      <c r="F47" s="62" t="str">
        <f>IF(IF(B47="", "", VLOOKUP(B47,'API Data Dictionary'!C:F,4,FALSE))=0, "", IF(B47="", "", VLOOKUP(B47,'API Data Dictionary'!C:F,4,FALSE)))</f>
        <v/>
      </c>
      <c r="G47" s="62" t="str">
        <f>IF(IF(B47="", "", VLOOKUP(B47,'API Data Dictionary'!C:G,5,FALSE))=0, "", IF(B47="", "", VLOOKUP(B47,'API Data Dictionary'!C:G,5,FALSE)))</f>
        <v/>
      </c>
    </row>
    <row r="49" spans="1:7" x14ac:dyDescent="0.35">
      <c r="A49" s="220" t="s">
        <v>1598</v>
      </c>
      <c r="B49" s="220"/>
      <c r="C49" s="220"/>
      <c r="D49" s="220"/>
      <c r="E49" s="220"/>
      <c r="F49" s="220"/>
      <c r="G49" s="220"/>
    </row>
    <row r="50" spans="1:7" x14ac:dyDescent="0.35">
      <c r="A50" s="110" t="s">
        <v>1094</v>
      </c>
      <c r="B50" s="89" t="str">
        <f t="shared" ref="B50:B54" si="4">IF(OR(ISNUMBER(SEARCH("{", A50)),ISNUMBER(SEARCH("[", A50))), "", IFERROR(MID(A50, SEARCH("""", A50) +1, SEARCH("""", A50, SEARCH("""",A50) +1) - SEARCH("""", A50) -1), ""))</f>
        <v/>
      </c>
      <c r="C50" s="89" t="str">
        <f>IF(B50="", "", VLOOKUP(B50,'API Data Dictionary'!C:J,8,FALSE))</f>
        <v/>
      </c>
      <c r="D50" s="89" t="str">
        <f>IF(B50="", "", VLOOKUP(B50,'API Data Dictionary'!C:D,2,FALSE))</f>
        <v/>
      </c>
      <c r="E50" s="89" t="str">
        <f>IF(IF(B50="", "", VLOOKUP(B50,'API Data Dictionary'!C:E,3,FALSE))=0, "", IF(B50="", "", VLOOKUP(B50,'API Data Dictionary'!C:E,3,FALSE)))</f>
        <v/>
      </c>
      <c r="F50" s="89" t="str">
        <f>IF(IF(B50="", "", VLOOKUP(B50,'API Data Dictionary'!C:F,4,FALSE))=0, "", IF(B50="", "", VLOOKUP(B50,'API Data Dictionary'!C:F,4,FALSE)))</f>
        <v/>
      </c>
      <c r="G50" s="89" t="str">
        <f>IF(IF(B50="", "", VLOOKUP(B50,'API Data Dictionary'!C:G,5,FALSE))=0, "", IF(B50="", "", VLOOKUP(B50,'API Data Dictionary'!C:G,5,FALSE)))</f>
        <v/>
      </c>
    </row>
    <row r="51" spans="1:7" x14ac:dyDescent="0.35">
      <c r="A51" s="110" t="s">
        <v>1567</v>
      </c>
      <c r="B51" s="89" t="str">
        <f t="shared" si="4"/>
        <v>success</v>
      </c>
      <c r="C51" s="89" t="s">
        <v>68</v>
      </c>
      <c r="D51" s="89" t="str">
        <f>IF(B51="", "", VLOOKUP(B51,'API Data Dictionary'!C:D,2,FALSE))</f>
        <v>string - Boolean</v>
      </c>
      <c r="E51" s="89">
        <f>IF(IF(B51="", "", VLOOKUP(B51,'API Data Dictionary'!C:E,3,FALSE))=0, "", IF(B51="", "", VLOOKUP(B51,'API Data Dictionary'!C:E,3,FALSE)))</f>
        <v>100</v>
      </c>
      <c r="F51" s="89" t="str">
        <f>IF(IF(B51="", "", VLOOKUP(B51,'API Data Dictionary'!C:F,4,FALSE))=0, "", IF(B51="", "", VLOOKUP(B51,'API Data Dictionary'!C:F,4,FALSE)))</f>
        <v/>
      </c>
      <c r="G51" s="89" t="str">
        <f>IF(IF(B51="", "", VLOOKUP(B51,'API Data Dictionary'!C:G,5,FALSE))=0, "", IF(B51="", "", VLOOKUP(B51,'API Data Dictionary'!C:G,5,FALSE)))</f>
        <v>Returns true when successful call/connection</v>
      </c>
    </row>
    <row r="52" spans="1:7" x14ac:dyDescent="0.35">
      <c r="A52" s="110" t="s">
        <v>1596</v>
      </c>
      <c r="B52" s="89" t="str">
        <f t="shared" si="4"/>
        <v>payload</v>
      </c>
      <c r="C52" s="89" t="s">
        <v>68</v>
      </c>
      <c r="D52" s="89" t="str">
        <f>IF(B52="", "", VLOOKUP(B52,'API Data Dictionary'!C:D,2,FALSE))</f>
        <v>string</v>
      </c>
      <c r="E52" s="89">
        <f>IF(IF(B52="", "", VLOOKUP(B52,'API Data Dictionary'!C:E,3,FALSE))=0, "", IF(B52="", "", VLOOKUP(B52,'API Data Dictionary'!C:E,3,FALSE)))</f>
        <v>100</v>
      </c>
      <c r="F52" s="89" t="str">
        <f>IF(IF(B52="", "", VLOOKUP(B52,'API Data Dictionary'!C:F,4,FALSE))=0, "", IF(B52="", "", VLOOKUP(B52,'API Data Dictionary'!C:F,4,FALSE)))</f>
        <v/>
      </c>
      <c r="G52" s="89" t="str">
        <f>IF(IF(B52="", "", VLOOKUP(B52,'API Data Dictionary'!C:G,5,FALSE))=0, "", IF(B52="", "", VLOOKUP(B52,'API Data Dictionary'!C:G,5,FALSE)))</f>
        <v>Returns healthy when connection has worked properly</v>
      </c>
    </row>
    <row r="53" spans="1:7" x14ac:dyDescent="0.35">
      <c r="A53" s="110" t="s">
        <v>1597</v>
      </c>
      <c r="B53" s="89" t="str">
        <f t="shared" si="4"/>
        <v>message</v>
      </c>
      <c r="C53" s="89" t="s">
        <v>68</v>
      </c>
      <c r="D53" s="89" t="str">
        <f>IF(B53="", "", VLOOKUP(B53,'API Data Dictionary'!C:D,2,FALSE))</f>
        <v>string</v>
      </c>
      <c r="E53" s="89">
        <f>IF(IF(B53="", "", VLOOKUP(B53,'API Data Dictionary'!C:E,3,FALSE))=0, "", IF(B53="", "", VLOOKUP(B53,'API Data Dictionary'!C:E,3,FALSE)))</f>
        <v>100</v>
      </c>
      <c r="F53" s="89" t="str">
        <f>IF(IF(B53="", "", VLOOKUP(B53,'API Data Dictionary'!C:F,4,FALSE))=0, "", IF(B53="", "", VLOOKUP(B53,'API Data Dictionary'!C:F,4,FALSE)))</f>
        <v/>
      </c>
      <c r="G53" s="89" t="str">
        <f>IF(IF(B53="", "", VLOOKUP(B53,'API Data Dictionary'!C:G,5,FALSE))=0, "", IF(B53="", "", VLOOKUP(B53,'API Data Dictionary'!C:G,5,FALSE)))</f>
        <v>return value, null or success, unless there has been error</v>
      </c>
    </row>
    <row r="54" spans="1:7" x14ac:dyDescent="0.35">
      <c r="A54" s="110" t="s">
        <v>1120</v>
      </c>
      <c r="B54" s="89" t="str">
        <f t="shared" si="4"/>
        <v/>
      </c>
      <c r="C54" s="89" t="str">
        <f>IF(B54="", "", VLOOKUP(B54,'API Data Dictionary'!C:J,8,FALSE))</f>
        <v/>
      </c>
      <c r="D54" s="89" t="str">
        <f>IF(B54="", "", VLOOKUP(B54,'API Data Dictionary'!C:D,2,FALSE))</f>
        <v/>
      </c>
      <c r="E54" s="89" t="str">
        <f>IF(IF(B54="", "", VLOOKUP(B54,'API Data Dictionary'!C:E,3,FALSE))=0, "", IF(B54="", "", VLOOKUP(B54,'API Data Dictionary'!C:E,3,FALSE)))</f>
        <v/>
      </c>
      <c r="F54" s="89" t="str">
        <f>IF(IF(B54="", "", VLOOKUP(B54,'API Data Dictionary'!C:F,4,FALSE))=0, "", IF(B54="", "", VLOOKUP(B54,'API Data Dictionary'!C:F,4,FALSE)))</f>
        <v/>
      </c>
      <c r="G54" s="89" t="str">
        <f>IF(IF(B54="", "", VLOOKUP(B54,'API Data Dictionary'!C:G,5,FALSE))=0, "", IF(B54="", "", VLOOKUP(B54,'API Data Dictionary'!C:G,5,FALSE)))</f>
        <v/>
      </c>
    </row>
  </sheetData>
  <mergeCells count="6">
    <mergeCell ref="A2:G2"/>
    <mergeCell ref="A8:G8"/>
    <mergeCell ref="A28:G28"/>
    <mergeCell ref="A31:G31"/>
    <mergeCell ref="A34:G34"/>
    <mergeCell ref="A49:G49"/>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14D68-CD52-46D6-8D55-63D81B0D5C5C}">
  <sheetPr>
    <tabColor rgb="FF4472C4"/>
  </sheetPr>
  <dimension ref="A1:G58"/>
  <sheetViews>
    <sheetView topLeftCell="A4" zoomScaleNormal="100" workbookViewId="0">
      <selection activeCell="A16" sqref="A16"/>
    </sheetView>
  </sheetViews>
  <sheetFormatPr defaultRowHeight="14.5" x14ac:dyDescent="0.35"/>
  <cols>
    <col min="1" max="1" width="64.81640625" bestFit="1" customWidth="1"/>
    <col min="2" max="2" width="22.1796875" bestFit="1" customWidth="1"/>
    <col min="3" max="3" width="16" bestFit="1" customWidth="1"/>
    <col min="4" max="4" width="21.26953125" bestFit="1" customWidth="1"/>
    <col min="5" max="5" width="10.54296875" customWidth="1"/>
    <col min="6" max="6" width="14.453125" customWidth="1"/>
    <col min="7" max="7" width="255.6328125" bestFit="1" customWidth="1"/>
  </cols>
  <sheetData>
    <row r="1" spans="1:7" ht="43.5" x14ac:dyDescent="0.35">
      <c r="A1" s="63" t="s">
        <v>1978</v>
      </c>
      <c r="B1" s="63" t="s">
        <v>1090</v>
      </c>
      <c r="C1" s="63" t="s">
        <v>1091</v>
      </c>
      <c r="D1" s="63" t="s">
        <v>1092</v>
      </c>
      <c r="E1" s="63" t="s">
        <v>57</v>
      </c>
      <c r="F1" s="63" t="s">
        <v>58</v>
      </c>
      <c r="G1" s="63" t="s">
        <v>1093</v>
      </c>
    </row>
    <row r="2" spans="1:7" x14ac:dyDescent="0.35">
      <c r="A2" s="221" t="s">
        <v>1123</v>
      </c>
      <c r="B2" s="221"/>
      <c r="C2" s="221"/>
      <c r="D2" s="221"/>
      <c r="E2" s="221"/>
      <c r="F2" s="221"/>
      <c r="G2" s="221"/>
    </row>
    <row r="3" spans="1:7" x14ac:dyDescent="0.35">
      <c r="A3" s="64" t="s">
        <v>1094</v>
      </c>
      <c r="B3" s="62" t="str">
        <f t="shared" ref="B3:B30" si="0">IF(OR(ISNUMBER(SEARCH("{", A3)),ISNUMBER(SEARCH("[", A3))), "", IFERROR(MID(A3, SEARCH("""", A3) +1, SEARCH("""", A3, SEARCH("""",A3) +1) - SEARCH("""", A3) -1), ""))</f>
        <v/>
      </c>
      <c r="C3" s="62" t="str">
        <f>IF(B3="", "", VLOOKUP(B3,'API Data Dictionary'!C:N,12,FALSE))</f>
        <v/>
      </c>
      <c r="D3" s="62" t="str">
        <f>IF(B3="", "", VLOOKUP(B3,'API Data Dictionary'!C:D,2,FALSE))</f>
        <v/>
      </c>
      <c r="E3" s="62" t="str">
        <f>IF(IF(B3="", "", VLOOKUP(B3,'API Data Dictionary'!C:E,3,FALSE))=0, "", IF(B3="", "", VLOOKUP(B3,'API Data Dictionary'!C:E,3,FALSE)))</f>
        <v/>
      </c>
      <c r="F3" s="62" t="str">
        <f>IF(IF(B3="", "", VLOOKUP(B3,'API Data Dictionary'!C:F,4,FALSE))=0, "", IF(B3="", "", VLOOKUP(B3,'API Data Dictionary'!C:F,4,FALSE)))</f>
        <v/>
      </c>
      <c r="G3" s="62" t="str">
        <f>IF(IF(B3="", "", VLOOKUP(B3,'API Data Dictionary'!C:G,5,FALSE))=0, "", IF(B3="", "", VLOOKUP(B3,'API Data Dictionary'!C:G,5,FALSE)))</f>
        <v/>
      </c>
    </row>
    <row r="4" spans="1:7" ht="15" customHeight="1" x14ac:dyDescent="0.35">
      <c r="A4" s="64" t="s">
        <v>1979</v>
      </c>
      <c r="B4" s="62" t="str">
        <f t="shared" si="0"/>
        <v>agentCode</v>
      </c>
      <c r="C4" s="62" t="s">
        <v>68</v>
      </c>
      <c r="D4" s="62" t="str">
        <f>IF(B4="", "", VLOOKUP(B4,'API Data Dictionary'!C:D,2,FALSE))</f>
        <v>string</v>
      </c>
      <c r="E4" s="62">
        <f>IF(IF(B4="", "", VLOOKUP(B4,'API Data Dictionary'!C:E,3,FALSE))=0, "", IF(B4="", "", VLOOKUP(B4,'API Data Dictionary'!C:E,3,FALSE)))</f>
        <v>50</v>
      </c>
      <c r="F4" s="62" t="str">
        <f>IF(IF(B4="", "", VLOOKUP(B4,'API Data Dictionary'!C:F,4,FALSE))=0, "", IF(B4="", "", VLOOKUP(B4,'API Data Dictionary'!C:F,4,FALSE)))</f>
        <v/>
      </c>
      <c r="G4" s="62"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x14ac:dyDescent="0.35">
      <c r="A5" s="64" t="s">
        <v>1980</v>
      </c>
      <c r="B5" s="62" t="s">
        <v>1981</v>
      </c>
      <c r="C5" s="62" t="s">
        <v>68</v>
      </c>
      <c r="D5" s="62" t="s">
        <v>89</v>
      </c>
      <c r="E5" s="62" t="s">
        <v>1433</v>
      </c>
      <c r="F5" s="62" t="s">
        <v>90</v>
      </c>
      <c r="G5" s="62" t="s">
        <v>1982</v>
      </c>
    </row>
    <row r="6" spans="1:7" x14ac:dyDescent="0.35">
      <c r="A6" s="64" t="s">
        <v>1986</v>
      </c>
      <c r="B6" s="62" t="s">
        <v>1985</v>
      </c>
      <c r="C6" s="62" t="s">
        <v>66</v>
      </c>
      <c r="D6" s="62" t="s">
        <v>89</v>
      </c>
      <c r="E6" s="62" t="s">
        <v>1433</v>
      </c>
      <c r="F6" s="62" t="s">
        <v>90</v>
      </c>
      <c r="G6" s="62" t="s">
        <v>1982</v>
      </c>
    </row>
    <row r="7" spans="1:7" x14ac:dyDescent="0.35">
      <c r="A7" s="64" t="s">
        <v>1120</v>
      </c>
      <c r="B7" s="62" t="str">
        <f t="shared" si="0"/>
        <v/>
      </c>
      <c r="C7" s="62" t="str">
        <f>IF(B7="", "", VLOOKUP(B7,'API Data Dictionary'!C:N,12,FALSE))</f>
        <v/>
      </c>
      <c r="D7" s="62" t="str">
        <f>IF(B7="", "", VLOOKUP(B7,'API Data Dictionary'!C:D,2,FALSE))</f>
        <v/>
      </c>
      <c r="E7" s="62" t="str">
        <f>IF(IF(B7="", "", VLOOKUP(B7,'API Data Dictionary'!C:E,3,FALSE))=0, "", IF(B7="", "", VLOOKUP(B7,'API Data Dictionary'!C:E,3,FALSE)))</f>
        <v/>
      </c>
      <c r="F7" s="62" t="str">
        <f>IF(IF(B7="", "", VLOOKUP(B7,'API Data Dictionary'!C:F,4,FALSE))=0, "", IF(B7="", "", VLOOKUP(B7,'API Data Dictionary'!C:F,4,FALSE)))</f>
        <v/>
      </c>
      <c r="G7" s="62" t="str">
        <f>IF(IF(B7="", "", VLOOKUP(B7,'API Data Dictionary'!C:G,5,FALSE))=0, "", IF(B7="", "", VLOOKUP(B7,'API Data Dictionary'!C:G,5,FALSE)))</f>
        <v/>
      </c>
    </row>
    <row r="8" spans="1:7" x14ac:dyDescent="0.35">
      <c r="A8" s="64"/>
      <c r="B8" s="62" t="str">
        <f t="shared" si="0"/>
        <v/>
      </c>
      <c r="C8" s="62" t="str">
        <f>IF(B8="", "", VLOOKUP(B8,'API Data Dictionary'!C:N,12,FALSE))</f>
        <v/>
      </c>
      <c r="D8" s="62" t="str">
        <f>IF(B8="", "", VLOOKUP(B8,'API Data Dictionary'!C:D,2,FALSE))</f>
        <v/>
      </c>
      <c r="E8" s="62" t="str">
        <f>IF(IF(B8="", "", VLOOKUP(B8,'API Data Dictionary'!C:E,3,FALSE))=0, "", IF(B8="", "", VLOOKUP(B8,'API Data Dictionary'!C:E,3,FALSE)))</f>
        <v/>
      </c>
      <c r="F8" s="62" t="str">
        <f>IF(IF(B8="", "", VLOOKUP(B8,'API Data Dictionary'!C:F,4,FALSE))=0, "", IF(B8="", "", VLOOKUP(B8,'API Data Dictionary'!C:F,4,FALSE)))</f>
        <v/>
      </c>
      <c r="G8" s="62" t="str">
        <f>IF(IF(B8="", "", VLOOKUP(B8,'API Data Dictionary'!C:G,5,FALSE))=0, "", IF(B8="", "", VLOOKUP(B8,'API Data Dictionary'!C:G,5,FALSE)))</f>
        <v/>
      </c>
    </row>
    <row r="9" spans="1:7" x14ac:dyDescent="0.35">
      <c r="A9" s="103"/>
      <c r="B9" s="103"/>
      <c r="C9" s="103"/>
      <c r="D9" s="103"/>
      <c r="E9" s="103"/>
      <c r="F9" s="103"/>
      <c r="G9" s="103"/>
    </row>
    <row r="10" spans="1:7" x14ac:dyDescent="0.35">
      <c r="A10" s="222" t="s">
        <v>1751</v>
      </c>
      <c r="B10" s="222"/>
      <c r="C10" s="222"/>
      <c r="D10" s="222"/>
      <c r="E10" s="222"/>
      <c r="F10" s="222"/>
      <c r="G10" s="222"/>
    </row>
    <row r="11" spans="1:7" x14ac:dyDescent="0.35">
      <c r="A11" s="64" t="s">
        <v>1094</v>
      </c>
      <c r="B11" s="62" t="str">
        <f t="shared" si="0"/>
        <v/>
      </c>
      <c r="C11" s="62" t="str">
        <f>IF(B11="", "", VLOOKUP(B11,'API Data Dictionary'!C:N,12,FALSE))</f>
        <v/>
      </c>
      <c r="D11" s="62" t="str">
        <f>IF(B11="", "", VLOOKUP(B11,'API Data Dictionary'!C:D,2,FALSE))</f>
        <v/>
      </c>
      <c r="E11" s="62" t="str">
        <f>IF(IF(B11="", "", VLOOKUP(B11,'API Data Dictionary'!C:E,3,FALSE))=0, "", IF(B11="", "", VLOOKUP(B11,'API Data Dictionary'!C:E,3,FALSE)))</f>
        <v/>
      </c>
      <c r="F11" s="62" t="str">
        <f>IF(IF(B11="", "", VLOOKUP(B11,'API Data Dictionary'!C:F,4,FALSE))=0, "", IF(B11="", "", VLOOKUP(B11,'API Data Dictionary'!C:F,4,FALSE)))</f>
        <v/>
      </c>
      <c r="G11" s="62" t="str">
        <f>IF(IF(B11="", "", VLOOKUP(B11,'API Data Dictionary'!C:G,5,FALSE))=0, "", IF(B11="", "", VLOOKUP(B11,'API Data Dictionary'!C:G,5,FALSE)))</f>
        <v/>
      </c>
    </row>
    <row r="12" spans="1:7" x14ac:dyDescent="0.35">
      <c r="A12" s="64" t="s">
        <v>1350</v>
      </c>
      <c r="B12" s="62" t="str">
        <f t="shared" si="0"/>
        <v>success</v>
      </c>
      <c r="C12" s="62" t="s">
        <v>68</v>
      </c>
      <c r="D12" s="62" t="str">
        <f>IF(B12="", "", VLOOKUP(B12,'API Data Dictionary'!C:D,2,FALSE))</f>
        <v>string - Boolean</v>
      </c>
      <c r="E12" s="62">
        <f>IF(IF(B12="", "", VLOOKUP(B12,'API Data Dictionary'!C:E,3,FALSE))=0, "", IF(B12="", "", VLOOKUP(B12,'API Data Dictionary'!C:E,3,FALSE)))</f>
        <v>100</v>
      </c>
      <c r="F12" s="62" t="str">
        <f>IF(IF(B12="", "", VLOOKUP(B12,'API Data Dictionary'!C:F,4,FALSE))=0, "", IF(B12="", "", VLOOKUP(B12,'API Data Dictionary'!C:F,4,FALSE)))</f>
        <v/>
      </c>
      <c r="G12" s="62" t="str">
        <f>IF(IF(B12="", "", VLOOKUP(B12,'API Data Dictionary'!C:G,5,FALSE))=0, "", IF(B12="", "", VLOOKUP(B12,'API Data Dictionary'!C:G,5,FALSE)))</f>
        <v>Returns true when successful call/connection</v>
      </c>
    </row>
    <row r="13" spans="1:7" x14ac:dyDescent="0.35">
      <c r="A13" s="64" t="s">
        <v>1377</v>
      </c>
      <c r="B13" s="62" t="str">
        <f t="shared" si="0"/>
        <v/>
      </c>
      <c r="C13" s="62" t="str">
        <f>IF(B13="", "", VLOOKUP(B13,'API Data Dictionary'!C:N,12,FALSE))</f>
        <v/>
      </c>
      <c r="D13" s="62" t="str">
        <f>IF(B13="", "", VLOOKUP(B13,'API Data Dictionary'!C:D,2,FALSE))</f>
        <v/>
      </c>
      <c r="E13" s="62" t="str">
        <f>IF(IF(B13="", "", VLOOKUP(B13,'API Data Dictionary'!C:E,3,FALSE))=0, "", IF(B13="", "", VLOOKUP(B13,'API Data Dictionary'!C:E,3,FALSE)))</f>
        <v/>
      </c>
      <c r="F13" s="62" t="str">
        <f>IF(IF(B13="", "", VLOOKUP(B13,'API Data Dictionary'!C:F,4,FALSE))=0, "", IF(B13="", "", VLOOKUP(B13,'API Data Dictionary'!C:F,4,FALSE)))</f>
        <v/>
      </c>
      <c r="G13" s="62" t="str">
        <f>IF(IF(B13="", "", VLOOKUP(B13,'API Data Dictionary'!C:G,5,FALSE))=0, "", IF(B13="", "", VLOOKUP(B13,'API Data Dictionary'!C:G,5,FALSE)))</f>
        <v/>
      </c>
    </row>
    <row r="14" spans="1:7" x14ac:dyDescent="0.35">
      <c r="A14" s="64" t="s">
        <v>1726</v>
      </c>
      <c r="B14" s="62" t="str">
        <f t="shared" si="0"/>
        <v>agentCode</v>
      </c>
      <c r="C14" s="62" t="s">
        <v>68</v>
      </c>
      <c r="D14" s="62" t="str">
        <f>IF(B14="", "", VLOOKUP(B14,'API Data Dictionary'!C:D,2,FALSE))</f>
        <v>string</v>
      </c>
      <c r="E14" s="62">
        <f>IF(IF(B14="", "", VLOOKUP(B14,'API Data Dictionary'!C:E,3,FALSE))=0, "", IF(B14="", "", VLOOKUP(B14,'API Data Dictionary'!C:E,3,FALSE)))</f>
        <v>50</v>
      </c>
      <c r="F14" s="62" t="str">
        <f>IF(IF(B14="", "", VLOOKUP(B14,'API Data Dictionary'!C:F,4,FALSE))=0, "", IF(B14="", "", VLOOKUP(B14,'API Data Dictionary'!C:F,4,FALSE)))</f>
        <v/>
      </c>
      <c r="G14" s="62" t="str">
        <f>IF(IF(B14="", "", VLOOKUP(B14,'API Data Dictionary'!C:G,5,FALSE))=0, "", IF(B14="", "", VLOOKUP(B14,'API Data Dictionary'!C:G,5,FALSE)))</f>
        <v>AgentCode is the Unique Key provided to the Agent when onboarding as a Barbon Customer.
An AgentID may be linked to many Properties being managed by that Agent and Each property may be linked to 1 or more TenancyID's.</v>
      </c>
    </row>
    <row r="15" spans="1:7" x14ac:dyDescent="0.35">
      <c r="A15" s="64" t="s">
        <v>1796</v>
      </c>
      <c r="B15" s="62" t="str">
        <f t="shared" si="0"/>
        <v/>
      </c>
      <c r="C15" s="62" t="str">
        <f>IF(B15="", "", VLOOKUP(B15,'API Data Dictionary'!C:N,12,FALSE))</f>
        <v/>
      </c>
      <c r="D15" s="62" t="str">
        <f>IF(B15="", "", VLOOKUP(B15,'API Data Dictionary'!C:D,2,FALSE))</f>
        <v/>
      </c>
      <c r="E15" s="62" t="str">
        <f>IF(IF(B15="", "", VLOOKUP(B15,'API Data Dictionary'!C:E,3,FALSE))=0, "", IF(B15="", "", VLOOKUP(B15,'API Data Dictionary'!C:E,3,FALSE)))</f>
        <v/>
      </c>
      <c r="F15" s="62" t="str">
        <f>IF(IF(B15="", "", VLOOKUP(B15,'API Data Dictionary'!C:F,4,FALSE))=0, "", IF(B15="", "", VLOOKUP(B15,'API Data Dictionary'!C:F,4,FALSE)))</f>
        <v/>
      </c>
      <c r="G15" s="62" t="str">
        <f>IF(IF(B15="", "", VLOOKUP(B15,'API Data Dictionary'!C:G,5,FALSE))=0, "", IF(B15="", "", VLOOKUP(B15,'API Data Dictionary'!C:G,5,FALSE)))</f>
        <v/>
      </c>
    </row>
    <row r="16" spans="1:7" x14ac:dyDescent="0.35">
      <c r="A16" s="64" t="s">
        <v>1381</v>
      </c>
      <c r="B16" s="62" t="str">
        <f t="shared" si="0"/>
        <v/>
      </c>
      <c r="C16" s="62" t="str">
        <f>IF(B16="", "", VLOOKUP(B16,'API Data Dictionary'!C:N,12,FALSE))</f>
        <v/>
      </c>
      <c r="D16" s="62" t="str">
        <f>IF(B16="", "", VLOOKUP(B16,'API Data Dictionary'!C:D,2,FALSE))</f>
        <v/>
      </c>
      <c r="E16" s="62" t="str">
        <f>IF(IF(B16="", "", VLOOKUP(B16,'API Data Dictionary'!C:E,3,FALSE))=0, "", IF(B16="", "", VLOOKUP(B16,'API Data Dictionary'!C:E,3,FALSE)))</f>
        <v/>
      </c>
      <c r="F16" s="62" t="str">
        <f>IF(IF(B16="", "", VLOOKUP(B16,'API Data Dictionary'!C:F,4,FALSE))=0, "", IF(B16="", "", VLOOKUP(B16,'API Data Dictionary'!C:F,4,FALSE)))</f>
        <v/>
      </c>
      <c r="G16" s="62" t="str">
        <f>IF(IF(B16="", "", VLOOKUP(B16,'API Data Dictionary'!C:G,5,FALSE))=0, "", IF(B16="", "", VLOOKUP(B16,'API Data Dictionary'!C:G,5,FALSE)))</f>
        <v/>
      </c>
    </row>
    <row r="17" spans="1:7" x14ac:dyDescent="0.35">
      <c r="A17" s="64" t="s">
        <v>1983</v>
      </c>
      <c r="B17" s="62" t="str">
        <f t="shared" si="0"/>
        <v>applicantID</v>
      </c>
      <c r="C17" s="62"/>
      <c r="D17" s="62"/>
      <c r="E17" s="62"/>
      <c r="F17" s="62"/>
      <c r="G17" s="62"/>
    </row>
    <row r="18" spans="1:7" x14ac:dyDescent="0.35">
      <c r="A18" s="64" t="s">
        <v>1813</v>
      </c>
      <c r="B18" s="62" t="str">
        <f t="shared" si="0"/>
        <v>noteDescription</v>
      </c>
      <c r="C18" s="62" t="s">
        <v>68</v>
      </c>
      <c r="D18" s="62" t="s">
        <v>64</v>
      </c>
      <c r="E18" s="62">
        <v>5000</v>
      </c>
      <c r="F18" s="62"/>
      <c r="G18" s="62" t="s">
        <v>1799</v>
      </c>
    </row>
    <row r="19" spans="1:7" x14ac:dyDescent="0.35">
      <c r="A19" s="64" t="s">
        <v>1814</v>
      </c>
      <c r="B19" s="62" t="s">
        <v>1797</v>
      </c>
      <c r="C19" s="62" t="s">
        <v>68</v>
      </c>
      <c r="D19" s="62" t="s">
        <v>89</v>
      </c>
      <c r="E19" s="62" t="s">
        <v>1433</v>
      </c>
      <c r="F19" s="62" t="s">
        <v>90</v>
      </c>
      <c r="G19" s="62" t="s">
        <v>1798</v>
      </c>
    </row>
    <row r="20" spans="1:7" x14ac:dyDescent="0.35">
      <c r="A20" s="64" t="s">
        <v>1188</v>
      </c>
      <c r="B20" s="62" t="str">
        <f t="shared" si="0"/>
        <v/>
      </c>
      <c r="C20" s="62" t="str">
        <f>IF(B20="", "", VLOOKUP(B20,'API Data Dictionary'!C:N,12,FALSE))</f>
        <v/>
      </c>
      <c r="D20" s="62" t="str">
        <f>IF(B20="", "", VLOOKUP(B20,'API Data Dictionary'!C:D,2,FALSE))</f>
        <v/>
      </c>
      <c r="E20" s="62" t="str">
        <f>IF(IF(B20="", "", VLOOKUP(B20,'API Data Dictionary'!C:E,3,FALSE))=0, "", IF(B20="", "", VLOOKUP(B20,'API Data Dictionary'!C:E,3,FALSE)))</f>
        <v/>
      </c>
      <c r="F20" s="62" t="str">
        <f>IF(IF(B20="", "", VLOOKUP(B20,'API Data Dictionary'!C:F,4,FALSE))=0, "", IF(B20="", "", VLOOKUP(B20,'API Data Dictionary'!C:F,4,FALSE)))</f>
        <v/>
      </c>
      <c r="G20" s="62" t="str">
        <f>IF(IF(B20="", "", VLOOKUP(B20,'API Data Dictionary'!C:G,5,FALSE))=0, "", IF(B20="", "", VLOOKUP(B20,'API Data Dictionary'!C:G,5,FALSE)))</f>
        <v/>
      </c>
    </row>
    <row r="21" spans="1:7" x14ac:dyDescent="0.35">
      <c r="A21" s="64" t="s">
        <v>1381</v>
      </c>
      <c r="B21" s="62" t="str">
        <f t="shared" si="0"/>
        <v/>
      </c>
      <c r="C21" s="62" t="str">
        <f>IF(B21="", "", VLOOKUP(B21,'API Data Dictionary'!C:N,12,FALSE))</f>
        <v/>
      </c>
      <c r="D21" s="62" t="str">
        <f>IF(B21="", "", VLOOKUP(B21,'API Data Dictionary'!C:D,2,FALSE))</f>
        <v/>
      </c>
      <c r="E21" s="62" t="str">
        <f>IF(IF(B21="", "", VLOOKUP(B21,'API Data Dictionary'!C:E,3,FALSE))=0, "", IF(B21="", "", VLOOKUP(B21,'API Data Dictionary'!C:E,3,FALSE)))</f>
        <v/>
      </c>
      <c r="F21" s="62" t="str">
        <f>IF(IF(B21="", "", VLOOKUP(B21,'API Data Dictionary'!C:F,4,FALSE))=0, "", IF(B21="", "", VLOOKUP(B21,'API Data Dictionary'!C:F,4,FALSE)))</f>
        <v/>
      </c>
      <c r="G21" s="62" t="str">
        <f>IF(IF(B21="", "", VLOOKUP(B21,'API Data Dictionary'!C:G,5,FALSE))=0, "", IF(B21="", "", VLOOKUP(B21,'API Data Dictionary'!C:G,5,FALSE)))</f>
        <v/>
      </c>
    </row>
    <row r="22" spans="1:7" x14ac:dyDescent="0.35">
      <c r="A22" s="64" t="s">
        <v>1984</v>
      </c>
      <c r="B22" s="62" t="str">
        <f t="shared" si="0"/>
        <v>applicantID</v>
      </c>
      <c r="C22" s="62"/>
      <c r="D22" s="62"/>
      <c r="E22" s="62"/>
      <c r="F22" s="62"/>
      <c r="G22" s="62"/>
    </row>
    <row r="23" spans="1:7" x14ac:dyDescent="0.35">
      <c r="A23" s="64" t="s">
        <v>1813</v>
      </c>
      <c r="B23" s="62" t="str">
        <f t="shared" si="0"/>
        <v>noteDescription</v>
      </c>
      <c r="C23" s="62" t="s">
        <v>68</v>
      </c>
      <c r="D23" s="62" t="s">
        <v>64</v>
      </c>
      <c r="E23" s="62">
        <v>5000</v>
      </c>
      <c r="F23" s="62"/>
      <c r="G23" s="62" t="s">
        <v>1799</v>
      </c>
    </row>
    <row r="24" spans="1:7" x14ac:dyDescent="0.35">
      <c r="A24" s="64" t="s">
        <v>1814</v>
      </c>
      <c r="B24" s="62" t="s">
        <v>1797</v>
      </c>
      <c r="C24" s="62" t="s">
        <v>68</v>
      </c>
      <c r="D24" s="62" t="s">
        <v>89</v>
      </c>
      <c r="E24" s="62" t="s">
        <v>1433</v>
      </c>
      <c r="F24" s="62" t="s">
        <v>90</v>
      </c>
      <c r="G24" s="62" t="s">
        <v>1798</v>
      </c>
    </row>
    <row r="25" spans="1:7" x14ac:dyDescent="0.35">
      <c r="A25" s="64" t="s">
        <v>1117</v>
      </c>
      <c r="B25" s="62" t="str">
        <f t="shared" si="0"/>
        <v/>
      </c>
      <c r="C25" s="62" t="str">
        <f>IF(B25="", "", VLOOKUP(B25,'API Data Dictionary'!C:N,12,FALSE))</f>
        <v/>
      </c>
      <c r="D25" s="62" t="str">
        <f>IF(B25="", "", VLOOKUP(B25,'API Data Dictionary'!C:D,2,FALSE))</f>
        <v/>
      </c>
      <c r="E25" s="62" t="str">
        <f>IF(IF(B25="", "", VLOOKUP(B25,'API Data Dictionary'!C:E,3,FALSE))=0, "", IF(B25="", "", VLOOKUP(B25,'API Data Dictionary'!C:E,3,FALSE)))</f>
        <v/>
      </c>
      <c r="F25" s="62" t="str">
        <f>IF(IF(B25="", "", VLOOKUP(B25,'API Data Dictionary'!C:F,4,FALSE))=0, "", IF(B25="", "", VLOOKUP(B25,'API Data Dictionary'!C:F,4,FALSE)))</f>
        <v/>
      </c>
      <c r="G25" s="62" t="str">
        <f>IF(IF(B25="", "", VLOOKUP(B25,'API Data Dictionary'!C:G,5,FALSE))=0, "", IF(B25="", "", VLOOKUP(B25,'API Data Dictionary'!C:G,5,FALSE)))</f>
        <v/>
      </c>
    </row>
    <row r="26" spans="1:7" x14ac:dyDescent="0.35">
      <c r="A26" s="64" t="s">
        <v>1383</v>
      </c>
      <c r="B26" s="62" t="str">
        <f t="shared" si="0"/>
        <v/>
      </c>
      <c r="C26" s="62" t="str">
        <f>IF(B26="", "", VLOOKUP(B26,'API Data Dictionary'!C:N,12,FALSE))</f>
        <v/>
      </c>
      <c r="D26" s="62" t="str">
        <f>IF(B26="", "", VLOOKUP(B26,'API Data Dictionary'!C:D,2,FALSE))</f>
        <v/>
      </c>
      <c r="E26" s="62" t="str">
        <f>IF(IF(B26="", "", VLOOKUP(B26,'API Data Dictionary'!C:E,3,FALSE))=0, "", IF(B26="", "", VLOOKUP(B26,'API Data Dictionary'!C:E,3,FALSE)))</f>
        <v/>
      </c>
      <c r="F26" s="62" t="str">
        <f>IF(IF(B26="", "", VLOOKUP(B26,'API Data Dictionary'!C:F,4,FALSE))=0, "", IF(B26="", "", VLOOKUP(B26,'API Data Dictionary'!C:F,4,FALSE)))</f>
        <v/>
      </c>
      <c r="G26" s="62" t="str">
        <f>IF(IF(B26="", "", VLOOKUP(B26,'API Data Dictionary'!C:G,5,FALSE))=0, "", IF(B26="", "", VLOOKUP(B26,'API Data Dictionary'!C:G,5,FALSE)))</f>
        <v/>
      </c>
    </row>
    <row r="27" spans="1:7" x14ac:dyDescent="0.35">
      <c r="A27" s="64" t="s">
        <v>1105</v>
      </c>
      <c r="B27" s="62" t="str">
        <f t="shared" si="0"/>
        <v/>
      </c>
      <c r="C27" s="62" t="str">
        <f>IF(B27="", "", VLOOKUP(B27,'API Data Dictionary'!C:N,12,FALSE))</f>
        <v/>
      </c>
      <c r="D27" s="62" t="str">
        <f>IF(B27="", "", VLOOKUP(B27,'API Data Dictionary'!C:D,2,FALSE))</f>
        <v/>
      </c>
      <c r="E27" s="62" t="str">
        <f>IF(IF(B27="", "", VLOOKUP(B27,'API Data Dictionary'!C:E,3,FALSE))=0, "", IF(B27="", "", VLOOKUP(B27,'API Data Dictionary'!C:E,3,FALSE)))</f>
        <v/>
      </c>
      <c r="F27" s="62" t="str">
        <f>IF(IF(B27="", "", VLOOKUP(B27,'API Data Dictionary'!C:F,4,FALSE))=0, "", IF(B27="", "", VLOOKUP(B27,'API Data Dictionary'!C:F,4,FALSE)))</f>
        <v/>
      </c>
      <c r="G27" s="62" t="str">
        <f>IF(IF(B27="", "", VLOOKUP(B27,'API Data Dictionary'!C:G,5,FALSE))=0, "", IF(B27="", "", VLOOKUP(B27,'API Data Dictionary'!C:G,5,FALSE)))</f>
        <v/>
      </c>
    </row>
    <row r="28" spans="1:7" x14ac:dyDescent="0.35">
      <c r="A28" s="64" t="s">
        <v>1815</v>
      </c>
      <c r="B28" s="62" t="str">
        <f t="shared" si="0"/>
        <v>message</v>
      </c>
      <c r="C28" s="62" t="s">
        <v>68</v>
      </c>
      <c r="D28" s="62" t="str">
        <f>IF(B28="", "", VLOOKUP(B28,'API Data Dictionary'!C:D,2,FALSE))</f>
        <v>string</v>
      </c>
      <c r="E28" s="62">
        <f>IF(IF(B28="", "", VLOOKUP(B28,'API Data Dictionary'!C:E,3,FALSE))=0, "", IF(B28="", "", VLOOKUP(B28,'API Data Dictionary'!C:E,3,FALSE)))</f>
        <v>100</v>
      </c>
      <c r="F28" s="62" t="str">
        <f>IF(IF(B28="", "", VLOOKUP(B28,'API Data Dictionary'!C:F,4,FALSE))=0, "", IF(B28="", "", VLOOKUP(B28,'API Data Dictionary'!C:F,4,FALSE)))</f>
        <v/>
      </c>
      <c r="G28" s="62" t="str">
        <f>IF(IF(B28="", "", VLOOKUP(B28,'API Data Dictionary'!C:G,5,FALSE))=0, "", IF(B28="", "", VLOOKUP(B28,'API Data Dictionary'!C:G,5,FALSE)))</f>
        <v>return value, null or success, unless there has been error</v>
      </c>
    </row>
    <row r="29" spans="1:7" x14ac:dyDescent="0.35">
      <c r="A29" s="64" t="s">
        <v>1120</v>
      </c>
      <c r="B29" s="62" t="str">
        <f t="shared" si="0"/>
        <v/>
      </c>
      <c r="C29" s="62" t="str">
        <f>IF(B29="", "", VLOOKUP(B29,'API Data Dictionary'!C:N,12,FALSE))</f>
        <v/>
      </c>
      <c r="D29" s="62" t="str">
        <f>IF(B29="", "", VLOOKUP(B29,'API Data Dictionary'!C:D,2,FALSE))</f>
        <v/>
      </c>
      <c r="E29" s="62" t="str">
        <f>IF(IF(B29="", "", VLOOKUP(B29,'API Data Dictionary'!C:E,3,FALSE))=0, "", IF(B29="", "", VLOOKUP(B29,'API Data Dictionary'!C:E,3,FALSE)))</f>
        <v/>
      </c>
      <c r="F29" s="62" t="str">
        <f>IF(IF(B29="", "", VLOOKUP(B29,'API Data Dictionary'!C:F,4,FALSE))=0, "", IF(B29="", "", VLOOKUP(B29,'API Data Dictionary'!C:F,4,FALSE)))</f>
        <v/>
      </c>
      <c r="G29" s="62" t="str">
        <f>IF(IF(B29="", "", VLOOKUP(B29,'API Data Dictionary'!C:G,5,FALSE))=0, "", IF(B29="", "", VLOOKUP(B29,'API Data Dictionary'!C:G,5,FALSE)))</f>
        <v/>
      </c>
    </row>
    <row r="30" spans="1:7" x14ac:dyDescent="0.35">
      <c r="A30" s="64"/>
      <c r="B30" s="62" t="str">
        <f t="shared" si="0"/>
        <v/>
      </c>
      <c r="C30" s="62" t="str">
        <f>IF(B30="", "", VLOOKUP(B30,'API Data Dictionary'!C:N,12,FALSE))</f>
        <v/>
      </c>
      <c r="D30" s="62" t="str">
        <f>IF(B30="", "", VLOOKUP(B30,'API Data Dictionary'!C:D,2,FALSE))</f>
        <v/>
      </c>
      <c r="E30" s="62" t="str">
        <f>IF(IF(B30="", "", VLOOKUP(B30,'API Data Dictionary'!C:E,3,FALSE))=0, "", IF(B30="", "", VLOOKUP(B30,'API Data Dictionary'!C:E,3,FALSE)))</f>
        <v/>
      </c>
      <c r="F30" s="62" t="str">
        <f>IF(IF(B30="", "", VLOOKUP(B30,'API Data Dictionary'!C:F,4,FALSE))=0, "", IF(B30="", "", VLOOKUP(B30,'API Data Dictionary'!C:F,4,FALSE)))</f>
        <v/>
      </c>
      <c r="G30" s="62" t="str">
        <f>IF(IF(B30="", "", VLOOKUP(B30,'API Data Dictionary'!C:G,5,FALSE))=0, "", IF(B30="", "", VLOOKUP(B30,'API Data Dictionary'!C:G,5,FALSE)))</f>
        <v/>
      </c>
    </row>
    <row r="32" spans="1:7" x14ac:dyDescent="0.35">
      <c r="A32" s="219" t="s">
        <v>1625</v>
      </c>
      <c r="B32" s="220"/>
      <c r="C32" s="220"/>
      <c r="D32" s="220"/>
      <c r="E32" s="220"/>
      <c r="F32" s="220"/>
      <c r="G32" s="220"/>
    </row>
    <row r="33" spans="1:7" x14ac:dyDescent="0.35">
      <c r="A33" s="88" t="s">
        <v>1561</v>
      </c>
      <c r="B33" s="62" t="s">
        <v>1359</v>
      </c>
      <c r="C33" s="89" t="s">
        <v>1359</v>
      </c>
      <c r="D33" s="62" t="s">
        <v>64</v>
      </c>
      <c r="E33" s="89">
        <v>100</v>
      </c>
      <c r="F33" s="89"/>
      <c r="G33" s="89" t="s">
        <v>1562</v>
      </c>
    </row>
    <row r="35" spans="1:7" x14ac:dyDescent="0.35">
      <c r="A35" s="219" t="s">
        <v>1764</v>
      </c>
      <c r="B35" s="220"/>
      <c r="C35" s="220"/>
      <c r="D35" s="220"/>
      <c r="E35" s="220"/>
      <c r="F35" s="220"/>
      <c r="G35" s="220"/>
    </row>
    <row r="36" spans="1:7" x14ac:dyDescent="0.35">
      <c r="A36" s="88" t="s">
        <v>1763</v>
      </c>
      <c r="B36" s="62" t="s">
        <v>1359</v>
      </c>
      <c r="C36" s="89" t="s">
        <v>1359</v>
      </c>
      <c r="D36" s="62" t="s">
        <v>64</v>
      </c>
      <c r="E36" s="89">
        <v>100</v>
      </c>
      <c r="F36" s="89"/>
      <c r="G36" s="89" t="s">
        <v>1765</v>
      </c>
    </row>
    <row r="38" spans="1:7" x14ac:dyDescent="0.35">
      <c r="A38" s="219" t="s">
        <v>1608</v>
      </c>
      <c r="B38" s="219"/>
      <c r="C38" s="219"/>
      <c r="D38" s="219"/>
      <c r="E38" s="219"/>
      <c r="F38" s="219"/>
      <c r="G38" s="223"/>
    </row>
    <row r="39" spans="1:7" x14ac:dyDescent="0.35">
      <c r="A39" s="64" t="s">
        <v>1094</v>
      </c>
      <c r="B39" s="62" t="str">
        <f>IF(OR(ISNUMBER(SEARCH("{", A39)),ISNUMBER(SEARCH("[", A39))), "", IFERROR(MID(A39, SEARCH("""", A39) +1, SEARCH("""", A39, SEARCH("""",A39) +1) - SEARCH("""", A39) -1), ""))</f>
        <v/>
      </c>
      <c r="C39" s="62" t="str">
        <f>IF(B39="", "", VLOOKUP(B39,'API Data Dictionary'!C:N,12,FALSE))</f>
        <v/>
      </c>
      <c r="D39" s="62" t="str">
        <f>IF(B39="", "", VLOOKUP(B39,'API Data Dictionary'!C:D,2,FALSE))</f>
        <v/>
      </c>
      <c r="E39" s="62" t="str">
        <f>IF(IF(B39="", "", VLOOKUP(B39,'API Data Dictionary'!C:E,3,FALSE))=0, "", IF(B39="", "", VLOOKUP(B39,'API Data Dictionary'!C:E,3,FALSE)))</f>
        <v/>
      </c>
      <c r="F39" s="62" t="str">
        <f>IF(IF(B39="", "", VLOOKUP(B39,'API Data Dictionary'!C:F,4,FALSE))=0, "", IF(B39="", "", VLOOKUP(B39,'API Data Dictionary'!C:F,4,FALSE)))</f>
        <v/>
      </c>
      <c r="G39" s="62" t="str">
        <f>IF(IF(B39="", "", VLOOKUP(B39,'API Data Dictionary'!C:G,5,FALSE))=0, "", IF(B39="", "", VLOOKUP(B39,'API Data Dictionary'!C:G,5,FALSE)))</f>
        <v/>
      </c>
    </row>
    <row r="40" spans="1:7" x14ac:dyDescent="0.35">
      <c r="A40" s="64" t="s">
        <v>1574</v>
      </c>
      <c r="B40" s="62" t="str">
        <f>IF(OR(ISNUMBER(SEARCH("{", A40)),ISNUMBER(SEARCH("[", A40))), "", IFERROR(MID(A40, SEARCH("""", A40) +1, SEARCH("""", A40, SEARCH("""",A40) +1) - SEARCH("""", A40) -1), ""))</f>
        <v>success</v>
      </c>
      <c r="C40" s="62" t="s">
        <v>68</v>
      </c>
      <c r="D40" s="62" t="str">
        <f>IF(B40="", "", VLOOKUP(B40,'API Data Dictionary'!C:D,2,FALSE))</f>
        <v>string - Boolean</v>
      </c>
      <c r="E40" s="62">
        <f>IF(IF(B40="", "", VLOOKUP(B40,'API Data Dictionary'!C:E,3,FALSE))=0, "", IF(B40="", "", VLOOKUP(B40,'API Data Dictionary'!C:E,3,FALSE)))</f>
        <v>100</v>
      </c>
      <c r="F40" s="62" t="str">
        <f>IF(IF(B40="", "", VLOOKUP(B40,'API Data Dictionary'!C:F,4,FALSE))=0, "", IF(B40="", "", VLOOKUP(B40,'API Data Dictionary'!C:F,4,FALSE)))</f>
        <v/>
      </c>
      <c r="G40" s="62" t="str">
        <f>IF(IF(B40="", "", VLOOKUP(B40,'API Data Dictionary'!C:G,5,FALSE))=0, "", IF(B40="", "", VLOOKUP(B40,'API Data Dictionary'!C:G,5,FALSE)))</f>
        <v>Returns true when successful call/connection</v>
      </c>
    </row>
    <row r="41" spans="1:7" x14ac:dyDescent="0.35">
      <c r="A41" s="64" t="s">
        <v>1377</v>
      </c>
      <c r="B41" s="62" t="str">
        <f>IF(OR(ISNUMBER(SEARCH("{", A41)),ISNUMBER(SEARCH("[", A41))), "", IFERROR(MID(A41, SEARCH("""", A41) +1, SEARCH("""", A41, SEARCH("""",A41) +1) - SEARCH("""", A41) -1), ""))</f>
        <v/>
      </c>
      <c r="C41" s="62"/>
      <c r="D41" s="62" t="str">
        <f>IF(B41="", "", VLOOKUP(B41,'API Data Dictionary'!C:D,2,FALSE))</f>
        <v/>
      </c>
      <c r="E41" s="62" t="str">
        <f>IF(IF(B41="", "", VLOOKUP(B41,'API Data Dictionary'!C:E,3,FALSE))=0, "", IF(B41="", "", VLOOKUP(B41,'API Data Dictionary'!C:E,3,FALSE)))</f>
        <v/>
      </c>
      <c r="F41" s="62" t="str">
        <f>IF(IF(B41="", "", VLOOKUP(B41,'API Data Dictionary'!C:F,4,FALSE))=0, "", IF(B41="", "", VLOOKUP(B41,'API Data Dictionary'!C:F,4,FALSE)))</f>
        <v/>
      </c>
      <c r="G41" s="62" t="str">
        <f>IF(IF(B41="", "", VLOOKUP(B41,'API Data Dictionary'!C:G,5,FALSE))=0, "", IF(B41="", "", VLOOKUP(B41,'API Data Dictionary'!C:G,5,FALSE)))</f>
        <v/>
      </c>
    </row>
    <row r="42" spans="1:7" x14ac:dyDescent="0.35">
      <c r="A42" s="64" t="s">
        <v>1564</v>
      </c>
      <c r="B42" s="62" t="s">
        <v>1589</v>
      </c>
      <c r="C42" s="62" t="s">
        <v>68</v>
      </c>
      <c r="D42" t="s">
        <v>1593</v>
      </c>
      <c r="E42" s="62"/>
      <c r="F42" s="62"/>
      <c r="G42" s="62"/>
    </row>
    <row r="43" spans="1:7" x14ac:dyDescent="0.35">
      <c r="A43" s="64" t="s">
        <v>1573</v>
      </c>
      <c r="B43" s="62" t="s">
        <v>1590</v>
      </c>
      <c r="C43" s="62" t="s">
        <v>68</v>
      </c>
      <c r="D43" s="62" t="s">
        <v>64</v>
      </c>
      <c r="E43" s="106" t="s">
        <v>1594</v>
      </c>
      <c r="F43" s="62"/>
      <c r="G43" s="62"/>
    </row>
    <row r="44" spans="1:7" x14ac:dyDescent="0.35">
      <c r="A44" s="64" t="s">
        <v>1575</v>
      </c>
      <c r="B44" s="62" t="s">
        <v>1591</v>
      </c>
      <c r="C44" s="62" t="s">
        <v>68</v>
      </c>
      <c r="D44" s="62" t="s">
        <v>64</v>
      </c>
      <c r="E44" s="106" t="s">
        <v>1594</v>
      </c>
      <c r="F44" s="62"/>
      <c r="G44" s="62"/>
    </row>
    <row r="45" spans="1:7" x14ac:dyDescent="0.35">
      <c r="A45" s="64" t="s">
        <v>1566</v>
      </c>
      <c r="B45" s="62"/>
      <c r="C45" s="62"/>
      <c r="D45" s="62"/>
      <c r="E45" s="62"/>
      <c r="F45" s="62"/>
      <c r="G45" s="62"/>
    </row>
    <row r="46" spans="1:7" x14ac:dyDescent="0.35">
      <c r="A46" s="64" t="s">
        <v>1413</v>
      </c>
      <c r="B46" s="62"/>
      <c r="C46" s="62"/>
      <c r="D46" s="62"/>
      <c r="E46" s="62"/>
      <c r="F46" s="62"/>
      <c r="G46" s="62"/>
    </row>
    <row r="47" spans="1:7" x14ac:dyDescent="0.35">
      <c r="A47" s="64" t="s">
        <v>1576</v>
      </c>
      <c r="B47" s="62" t="s">
        <v>1579</v>
      </c>
      <c r="C47" s="62" t="s">
        <v>68</v>
      </c>
      <c r="D47" s="62" t="s">
        <v>64</v>
      </c>
      <c r="E47" s="106" t="s">
        <v>1594</v>
      </c>
      <c r="F47" s="62"/>
      <c r="G47" s="62"/>
    </row>
    <row r="48" spans="1:7" x14ac:dyDescent="0.35">
      <c r="A48" s="64" t="s">
        <v>1577</v>
      </c>
      <c r="B48" s="62" t="s">
        <v>1580</v>
      </c>
      <c r="C48" s="62" t="s">
        <v>68</v>
      </c>
      <c r="D48" s="62" t="s">
        <v>64</v>
      </c>
      <c r="E48" s="106" t="s">
        <v>1594</v>
      </c>
      <c r="F48" s="62"/>
      <c r="G48" s="62"/>
    </row>
    <row r="49" spans="1:7" x14ac:dyDescent="0.35">
      <c r="A49" s="64" t="s">
        <v>1105</v>
      </c>
      <c r="B49" s="62" t="str">
        <f t="shared" ref="B49" si="1">IF(OR(ISNUMBER(SEARCH("{", A49)),ISNUMBER(SEARCH("[", A49))), "", IFERROR(MID(A49, SEARCH("""", A49) +1, SEARCH("""", A49, SEARCH("""",A49) +1) - SEARCH("""", A49) -1), ""))</f>
        <v/>
      </c>
      <c r="C49" s="62" t="str">
        <f>IF(B49="", "", VLOOKUP(B49,'API Data Dictionary'!C:L,10,FALSE))</f>
        <v/>
      </c>
      <c r="D49" s="62" t="str">
        <f>IF(B49="", "", VLOOKUP(B49,'API Data Dictionary'!C:D,2,FALSE))</f>
        <v/>
      </c>
      <c r="E49" s="106" t="str">
        <f>IF(IF(B49="", "", VLOOKUP(B49,'API Data Dictionary'!C:E,3,FALSE))=0, "", IF(B49="", "", VLOOKUP(B49,'API Data Dictionary'!C:E,3,FALSE)))</f>
        <v/>
      </c>
      <c r="F49" s="62" t="str">
        <f>IF(IF(B49="", "", VLOOKUP(B49,'API Data Dictionary'!C:F,4,FALSE))=0, "", IF(B49="", "", VLOOKUP(B49,'API Data Dictionary'!C:F,4,FALSE)))</f>
        <v/>
      </c>
      <c r="G49" s="62"/>
    </row>
    <row r="50" spans="1:7" x14ac:dyDescent="0.35">
      <c r="A50" s="64" t="s">
        <v>1578</v>
      </c>
      <c r="B50" s="62" t="s">
        <v>1592</v>
      </c>
      <c r="C50" s="62" t="s">
        <v>68</v>
      </c>
      <c r="D50" s="62" t="s">
        <v>64</v>
      </c>
      <c r="E50" s="106" t="s">
        <v>1594</v>
      </c>
      <c r="F50" s="62"/>
      <c r="G50" s="62"/>
    </row>
    <row r="51" spans="1:7" x14ac:dyDescent="0.35">
      <c r="A51" s="64" t="s">
        <v>1120</v>
      </c>
      <c r="B51" s="62" t="str">
        <f t="shared" ref="B51" si="2">IF(OR(ISNUMBER(SEARCH("{", A51)),ISNUMBER(SEARCH("[", A51))), "", IFERROR(MID(A51, SEARCH("""", A51) +1, SEARCH("""", A51, SEARCH("""",A51) +1) - SEARCH("""", A51) -1), ""))</f>
        <v/>
      </c>
      <c r="C51" s="62" t="str">
        <f>IF(B51="", "", VLOOKUP(B51,'API Data Dictionary'!C:N,12,FALSE))</f>
        <v/>
      </c>
      <c r="D51" s="62" t="str">
        <f>IF(B51="", "", VLOOKUP(B51,'API Data Dictionary'!C:D,2,FALSE))</f>
        <v/>
      </c>
      <c r="E51" s="62" t="str">
        <f>IF(IF(B51="", "", VLOOKUP(B51,'API Data Dictionary'!C:E,3,FALSE))=0, "", IF(B51="", "", VLOOKUP(B51,'API Data Dictionary'!C:E,3,FALSE)))</f>
        <v/>
      </c>
      <c r="F51" s="62" t="str">
        <f>IF(IF(B51="", "", VLOOKUP(B51,'API Data Dictionary'!C:F,4,FALSE))=0, "", IF(B51="", "", VLOOKUP(B51,'API Data Dictionary'!C:F,4,FALSE)))</f>
        <v/>
      </c>
      <c r="G51" s="62" t="str">
        <f>IF(IF(B51="", "", VLOOKUP(B51,'API Data Dictionary'!C:G,5,FALSE))=0, "", IF(B51="", "", VLOOKUP(B51,'API Data Dictionary'!C:G,5,FALSE)))</f>
        <v/>
      </c>
    </row>
    <row r="53" spans="1:7" x14ac:dyDescent="0.35">
      <c r="A53" s="220" t="s">
        <v>1598</v>
      </c>
      <c r="B53" s="220"/>
      <c r="C53" s="220"/>
      <c r="D53" s="220"/>
      <c r="E53" s="220"/>
      <c r="F53" s="220"/>
      <c r="G53" s="220"/>
    </row>
    <row r="54" spans="1:7" x14ac:dyDescent="0.35">
      <c r="A54" s="110" t="s">
        <v>1094</v>
      </c>
      <c r="B54" s="89" t="str">
        <f t="shared" ref="B54:B58" si="3">IF(OR(ISNUMBER(SEARCH("{", A54)),ISNUMBER(SEARCH("[", A54))), "", IFERROR(MID(A54, SEARCH("""", A54) +1, SEARCH("""", A54, SEARCH("""",A54) +1) - SEARCH("""", A54) -1), ""))</f>
        <v/>
      </c>
      <c r="C54" s="89" t="str">
        <f>IF(B54="", "", VLOOKUP(B54,'API Data Dictionary'!C:J,8,FALSE))</f>
        <v/>
      </c>
      <c r="D54" s="89" t="str">
        <f>IF(B54="", "", VLOOKUP(B54,'API Data Dictionary'!C:D,2,FALSE))</f>
        <v/>
      </c>
      <c r="E54" s="89" t="str">
        <f>IF(IF(B54="", "", VLOOKUP(B54,'API Data Dictionary'!C:E,3,FALSE))=0, "", IF(B54="", "", VLOOKUP(B54,'API Data Dictionary'!C:E,3,FALSE)))</f>
        <v/>
      </c>
      <c r="F54" s="89" t="str">
        <f>IF(IF(B54="", "", VLOOKUP(B54,'API Data Dictionary'!C:F,4,FALSE))=0, "", IF(B54="", "", VLOOKUP(B54,'API Data Dictionary'!C:F,4,FALSE)))</f>
        <v/>
      </c>
      <c r="G54" s="89" t="str">
        <f>IF(IF(B54="", "", VLOOKUP(B54,'API Data Dictionary'!C:G,5,FALSE))=0, "", IF(B54="", "", VLOOKUP(B54,'API Data Dictionary'!C:G,5,FALSE)))</f>
        <v/>
      </c>
    </row>
    <row r="55" spans="1:7" x14ac:dyDescent="0.35">
      <c r="A55" s="110" t="s">
        <v>1567</v>
      </c>
      <c r="B55" s="89" t="str">
        <f t="shared" si="3"/>
        <v>success</v>
      </c>
      <c r="C55" s="89" t="s">
        <v>68</v>
      </c>
      <c r="D55" s="89" t="str">
        <f>IF(B55="", "", VLOOKUP(B55,'API Data Dictionary'!C:D,2,FALSE))</f>
        <v>string - Boolean</v>
      </c>
      <c r="E55" s="89">
        <f>IF(IF(B55="", "", VLOOKUP(B55,'API Data Dictionary'!C:E,3,FALSE))=0, "", IF(B55="", "", VLOOKUP(B55,'API Data Dictionary'!C:E,3,FALSE)))</f>
        <v>100</v>
      </c>
      <c r="F55" s="89" t="str">
        <f>IF(IF(B55="", "", VLOOKUP(B55,'API Data Dictionary'!C:F,4,FALSE))=0, "", IF(B55="", "", VLOOKUP(B55,'API Data Dictionary'!C:F,4,FALSE)))</f>
        <v/>
      </c>
      <c r="G55" s="89" t="str">
        <f>IF(IF(B55="", "", VLOOKUP(B55,'API Data Dictionary'!C:G,5,FALSE))=0, "", IF(B55="", "", VLOOKUP(B55,'API Data Dictionary'!C:G,5,FALSE)))</f>
        <v>Returns true when successful call/connection</v>
      </c>
    </row>
    <row r="56" spans="1:7" x14ac:dyDescent="0.35">
      <c r="A56" s="110" t="s">
        <v>1596</v>
      </c>
      <c r="B56" s="89" t="str">
        <f t="shared" si="3"/>
        <v>payload</v>
      </c>
      <c r="C56" s="89" t="s">
        <v>68</v>
      </c>
      <c r="D56" s="89" t="str">
        <f>IF(B56="", "", VLOOKUP(B56,'API Data Dictionary'!C:D,2,FALSE))</f>
        <v>string</v>
      </c>
      <c r="E56" s="89">
        <f>IF(IF(B56="", "", VLOOKUP(B56,'API Data Dictionary'!C:E,3,FALSE))=0, "", IF(B56="", "", VLOOKUP(B56,'API Data Dictionary'!C:E,3,FALSE)))</f>
        <v>100</v>
      </c>
      <c r="F56" s="89" t="str">
        <f>IF(IF(B56="", "", VLOOKUP(B56,'API Data Dictionary'!C:F,4,FALSE))=0, "", IF(B56="", "", VLOOKUP(B56,'API Data Dictionary'!C:F,4,FALSE)))</f>
        <v/>
      </c>
      <c r="G56" s="89" t="str">
        <f>IF(IF(B56="", "", VLOOKUP(B56,'API Data Dictionary'!C:G,5,FALSE))=0, "", IF(B56="", "", VLOOKUP(B56,'API Data Dictionary'!C:G,5,FALSE)))</f>
        <v>Returns healthy when connection has worked properly</v>
      </c>
    </row>
    <row r="57" spans="1:7" x14ac:dyDescent="0.35">
      <c r="A57" s="110" t="s">
        <v>1597</v>
      </c>
      <c r="B57" s="89" t="str">
        <f t="shared" si="3"/>
        <v>message</v>
      </c>
      <c r="C57" s="89" t="s">
        <v>68</v>
      </c>
      <c r="D57" s="89" t="str">
        <f>IF(B57="", "", VLOOKUP(B57,'API Data Dictionary'!C:D,2,FALSE))</f>
        <v>string</v>
      </c>
      <c r="E57" s="89">
        <f>IF(IF(B57="", "", VLOOKUP(B57,'API Data Dictionary'!C:E,3,FALSE))=0, "", IF(B57="", "", VLOOKUP(B57,'API Data Dictionary'!C:E,3,FALSE)))</f>
        <v>100</v>
      </c>
      <c r="F57" s="89" t="str">
        <f>IF(IF(B57="", "", VLOOKUP(B57,'API Data Dictionary'!C:F,4,FALSE))=0, "", IF(B57="", "", VLOOKUP(B57,'API Data Dictionary'!C:F,4,FALSE)))</f>
        <v/>
      </c>
      <c r="G57" s="89" t="str">
        <f>IF(IF(B57="", "", VLOOKUP(B57,'API Data Dictionary'!C:G,5,FALSE))=0, "", IF(B57="", "", VLOOKUP(B57,'API Data Dictionary'!C:G,5,FALSE)))</f>
        <v>return value, null or success, unless there has been error</v>
      </c>
    </row>
    <row r="58" spans="1:7" x14ac:dyDescent="0.35">
      <c r="A58" s="110" t="s">
        <v>1120</v>
      </c>
      <c r="B58" s="89" t="str">
        <f t="shared" si="3"/>
        <v/>
      </c>
      <c r="C58" s="89" t="str">
        <f>IF(B58="", "", VLOOKUP(B58,'API Data Dictionary'!C:J,8,FALSE))</f>
        <v/>
      </c>
      <c r="D58" s="89" t="str">
        <f>IF(B58="", "", VLOOKUP(B58,'API Data Dictionary'!C:D,2,FALSE))</f>
        <v/>
      </c>
      <c r="E58" s="89" t="str">
        <f>IF(IF(B58="", "", VLOOKUP(B58,'API Data Dictionary'!C:E,3,FALSE))=0, "", IF(B58="", "", VLOOKUP(B58,'API Data Dictionary'!C:E,3,FALSE)))</f>
        <v/>
      </c>
      <c r="F58" s="89" t="str">
        <f>IF(IF(B58="", "", VLOOKUP(B58,'API Data Dictionary'!C:F,4,FALSE))=0, "", IF(B58="", "", VLOOKUP(B58,'API Data Dictionary'!C:F,4,FALSE)))</f>
        <v/>
      </c>
      <c r="G58" s="89" t="str">
        <f>IF(IF(B58="", "", VLOOKUP(B58,'API Data Dictionary'!C:G,5,FALSE))=0, "", IF(B58="", "", VLOOKUP(B58,'API Data Dictionary'!C:G,5,FALSE)))</f>
        <v/>
      </c>
    </row>
  </sheetData>
  <mergeCells count="6">
    <mergeCell ref="A2:G2"/>
    <mergeCell ref="A10:G10"/>
    <mergeCell ref="A32:G32"/>
    <mergeCell ref="A35:G35"/>
    <mergeCell ref="A38:G38"/>
    <mergeCell ref="A53:G5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Custom Software</TermName>
          <TermId xmlns="http://schemas.microsoft.com/office/infopath/2007/PartnerControls">cecfb662-fc63-4c9e-b6e4-2e3797fe6f4f</TermId>
        </TermInfo>
      </Terms>
    </nae5750f31d8428b9a1182bd8e59d390>
    <k6ebf865df8440b3a55c1aa81c9bae7c xmlns="1ffbd5dc-7a64-4097-8396-87f6c90b212f">
      <Terms xmlns="http://schemas.microsoft.com/office/infopath/2007/PartnerControls"/>
    </k6ebf865df8440b3a55c1aa81c9bae7c>
    <f0dc22cb723843c1bfbb2e8bcc9db6e4 xmlns="1ffbd5dc-7a64-4097-8396-87f6c90b212f">
      <Terms xmlns="http://schemas.microsoft.com/office/infopath/2007/PartnerControls"/>
    </f0dc22cb723843c1bfbb2e8bcc9db6e4>
    <TaxCatchAll xmlns="1ffbd5dc-7a64-4097-8396-87f6c90b212f" xsi:nil="true"/>
    <ica44df5449d49f98766f83f0bd254a7 xmlns="1ffbd5dc-7a64-4097-8396-87f6c90b212f">
      <Terms xmlns="http://schemas.microsoft.com/office/infopath/2007/PartnerControls"/>
    </ica44df5449d49f98766f83f0bd254a7>
  </documentManagement>
</p:properties>
</file>

<file path=customXml/item3.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49615AE1-54A2-47EA-BE3E-CC28E8E3904E}">
  <ds:schemaRefs>
    <ds:schemaRef ds:uri="http://schemas.microsoft.com/sharepoint/v3/contenttype/forms"/>
  </ds:schemaRefs>
</ds:datastoreItem>
</file>

<file path=customXml/itemProps2.xml><?xml version="1.0" encoding="utf-8"?>
<ds:datastoreItem xmlns:ds="http://schemas.openxmlformats.org/officeDocument/2006/customXml" ds:itemID="{DBF178F6-BD36-4889-928A-64ECF9D4A0E7}">
  <ds:schemaRefs>
    <ds:schemaRef ds:uri="http://purl.org/dc/elements/1.1/"/>
    <ds:schemaRef ds:uri="http://schemas.microsoft.com/office/infopath/2007/PartnerControls"/>
    <ds:schemaRef ds:uri="http://schemas.openxmlformats.org/package/2006/metadata/core-properties"/>
    <ds:schemaRef ds:uri="http://purl.org/dc/dcmitype/"/>
    <ds:schemaRef ds:uri="http://schemas.microsoft.com/office/2006/documentManagement/types"/>
    <ds:schemaRef ds:uri="9a9a1022-8e65-437d-ba5c-7a44561f7dcd"/>
    <ds:schemaRef ds:uri="http://purl.org/dc/terms/"/>
    <ds:schemaRef ds:uri="c8cf1308-b726-4ff4-8251-588490a0b52d"/>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5B5E62E3-E929-423E-88D8-0B4A4857F8DD}"/>
</file>

<file path=customXml/itemProps4.xml><?xml version="1.0" encoding="utf-8"?>
<ds:datastoreItem xmlns:ds="http://schemas.openxmlformats.org/officeDocument/2006/customXml" ds:itemID="{0B0F468E-DCF6-4858-95A5-CC744623CB8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Revision History</vt:lpstr>
      <vt:lpstr>API Services</vt:lpstr>
      <vt:lpstr>Entity Relationship Model</vt:lpstr>
      <vt:lpstr>API Data Dictionary</vt:lpstr>
      <vt:lpstr>Enum Short Lists</vt:lpstr>
      <vt:lpstr>Enum Countries</vt:lpstr>
      <vt:lpstr>Enum Nationalities</vt:lpstr>
      <vt:lpstr>CheckConnection</vt:lpstr>
      <vt:lpstr>GetAuthenticationToken</vt:lpstr>
      <vt:lpstr>CreateReferenceWithAllData</vt:lpstr>
      <vt:lpstr>CreateReferenceWithApplicantIfr</vt:lpstr>
      <vt:lpstr>CreateReferenceWithInputFromApp</vt:lpstr>
      <vt:lpstr>GetApplicantReferenceStatus</vt:lpstr>
      <vt:lpstr>GetAgentActiveProducts</vt:lpstr>
      <vt:lpstr>GetApplicantReferenceReports</vt:lpstr>
      <vt:lpstr>ResendApplicantReferenceLink</vt:lpstr>
      <vt:lpstr>PostApplicantReferenceDocument</vt:lpstr>
      <vt:lpstr>PostApplicantReferenceNote</vt:lpstr>
      <vt:lpstr>AddApplicantToTenancyWithiframe</vt:lpstr>
      <vt:lpstr>AddApplicantToTenancy</vt:lpstr>
      <vt:lpstr>CancelApplicantFromTenancy</vt:lpstr>
      <vt:lpstr>CancelTenancy</vt:lpstr>
      <vt:lpstr>AmendTenancyDetails</vt:lpstr>
      <vt:lpstr>AmendApplicantProductType</vt:lpstr>
      <vt:lpstr>CreateCompanyReferenceWithAllDa</vt:lpstr>
      <vt:lpstr>CreateCompanyReferenceWithInput</vt:lpstr>
      <vt:lpstr>GetApplicantNotes</vt:lpstr>
      <vt:lpstr>(Pending) GetLatestNotes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Brewin</dc:creator>
  <cp:keywords/>
  <dc:description/>
  <cp:lastModifiedBy>Lee Williams</cp:lastModifiedBy>
  <cp:revision/>
  <dcterms:created xsi:type="dcterms:W3CDTF">2022-12-12T09:04:40Z</dcterms:created>
  <dcterms:modified xsi:type="dcterms:W3CDTF">2023-07-27T09:00:13Z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MediaServiceImageTags">
    <vt:lpwstr/>
  </property>
  <property fmtid="{D5CDD505-2E9C-101B-9397-08002B2CF9AE}" pid="4" name="Project_x0020_Document_x0020_Type">
    <vt:lpwstr/>
  </property>
  <property fmtid="{D5CDD505-2E9C-101B-9397-08002B2CF9AE}" pid="5" name="Division">
    <vt:lpwstr>5;#Enterprise Solutions|08c57b01-67e8-4a4f-abc6-ffb3392ace7f</vt:lpwstr>
  </property>
  <property fmtid="{D5CDD505-2E9C-101B-9397-08002B2CF9AE}" pid="6" name="Client_x0020_Project">
    <vt:lpwstr/>
  </property>
  <property fmtid="{D5CDD505-2E9C-101B-9397-08002B2CF9AE}" pid="7" name="Client">
    <vt:lpwstr>6;#Grainger PLC|a74f1cb5-e995-4f9e-8521-6d52e2c6bf08</vt:lpwstr>
  </property>
</Properties>
</file>