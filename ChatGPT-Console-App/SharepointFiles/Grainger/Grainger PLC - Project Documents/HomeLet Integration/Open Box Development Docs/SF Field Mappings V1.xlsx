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11"/>
  <workbookPr defaultThemeVersion="166925"/>
  <mc:AlternateContent xmlns:mc="http://schemas.openxmlformats.org/markup-compatibility/2006">
    <mc:Choice Requires="x15">
      <x15ac:absPath xmlns:x15ac="http://schemas.microsoft.com/office/spreadsheetml/2010/11/ac" url="C:\ob\work\grainger\rightmove integrqtion\homelet_api\"/>
    </mc:Choice>
  </mc:AlternateContent>
  <xr:revisionPtr revIDLastSave="149" documentId="13_ncr:1_{02398878-EF89-4271-AC30-90EC5CAC34F5}" xr6:coauthVersionLast="47" xr6:coauthVersionMax="47" xr10:uidLastSave="{416698D1-21D2-42C1-A0D6-2335CC6D51EA}"/>
  <bookViews>
    <workbookView xWindow="-110" yWindow="-110" windowWidth="19420" windowHeight="10420" tabRatio="841" firstSheet="7" activeTab="7" xr2:uid="{564335C1-CB61-4476-A1CE-02C3CBEABACB}"/>
  </bookViews>
  <sheets>
    <sheet name="Revision History" sheetId="8" r:id="rId1"/>
    <sheet name="API Services" sheetId="9" r:id="rId2"/>
    <sheet name="Entity Relationship Model" sheetId="2" state="hidden" r:id="rId3"/>
    <sheet name="API Data Dictionary" sheetId="1" r:id="rId4"/>
    <sheet name="Enum Countries" sheetId="5" r:id="rId5"/>
    <sheet name="Enum Short Lists" sheetId="3" r:id="rId6"/>
    <sheet name="Enum Nationalities" sheetId="7" r:id="rId7"/>
    <sheet name="CreateReferenceWithInputFromApp" sheetId="11" r:id="rId8"/>
    <sheet name="AddApplicantToTenancy" sheetId="18" r:id="rId9"/>
    <sheet name="CancelApplicantFromTenancy" sheetId="20" r:id="rId10"/>
    <sheet name="CancelTenancy" sheetId="21" r:id="rId11"/>
  </sheets>
  <definedNames>
    <definedName name="_xlnm._FilterDatabase" localSheetId="3" hidden="1">'API Data Dictionary'!$H$3:$AO$174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15" i="18" l="1"/>
  <c r="F215" i="18" s="1"/>
  <c r="D214" i="18"/>
  <c r="I214" i="18" s="1"/>
  <c r="D213" i="18"/>
  <c r="I213" i="18" s="1"/>
  <c r="D212" i="18"/>
  <c r="F212" i="18" s="1"/>
  <c r="D211" i="18"/>
  <c r="I211" i="18" s="1"/>
  <c r="D210" i="18"/>
  <c r="H210" i="18" s="1"/>
  <c r="H212" i="18" l="1"/>
  <c r="I212" i="18"/>
  <c r="G212" i="18"/>
  <c r="I210" i="18"/>
  <c r="G215" i="18"/>
  <c r="H215" i="18"/>
  <c r="I215" i="18"/>
  <c r="F214" i="18"/>
  <c r="F211" i="18"/>
  <c r="G214" i="18"/>
  <c r="G211" i="18"/>
  <c r="H214" i="18"/>
  <c r="E210" i="18"/>
  <c r="H211" i="18"/>
  <c r="F213" i="18"/>
  <c r="F210" i="18"/>
  <c r="G213" i="18"/>
  <c r="G210" i="18"/>
  <c r="H213" i="18"/>
  <c r="C14" i="20"/>
  <c r="H14" i="20" s="1"/>
  <c r="C13" i="20"/>
  <c r="F13" i="20" s="1"/>
  <c r="G12" i="20"/>
  <c r="C12" i="20"/>
  <c r="H12" i="20" s="1"/>
  <c r="C11" i="20"/>
  <c r="H11" i="20" s="1"/>
  <c r="C10" i="20"/>
  <c r="E10" i="20" s="1"/>
  <c r="C9" i="20"/>
  <c r="H9" i="20" s="1"/>
  <c r="C15" i="21"/>
  <c r="H15" i="21" s="1"/>
  <c r="C14" i="21"/>
  <c r="F14" i="21" s="1"/>
  <c r="C13" i="21"/>
  <c r="H13" i="21" s="1"/>
  <c r="C12" i="21"/>
  <c r="H12" i="21" s="1"/>
  <c r="C11" i="21"/>
  <c r="E11" i="21" s="1"/>
  <c r="C10" i="21"/>
  <c r="H10" i="21" s="1"/>
  <c r="C7" i="21"/>
  <c r="D9" i="18"/>
  <c r="H9" i="18" s="1"/>
  <c r="C8" i="21"/>
  <c r="G8" i="21" s="1"/>
  <c r="C6" i="21"/>
  <c r="C5" i="21"/>
  <c r="H5" i="21" s="1"/>
  <c r="C4" i="21"/>
  <c r="H4" i="21" s="1"/>
  <c r="C3" i="21"/>
  <c r="F3" i="21" s="1"/>
  <c r="C7" i="20"/>
  <c r="G7" i="20" s="1"/>
  <c r="C6" i="20"/>
  <c r="E6" i="20" s="1"/>
  <c r="C5" i="20"/>
  <c r="H5" i="20" s="1"/>
  <c r="C4" i="20"/>
  <c r="H4" i="20" s="1"/>
  <c r="C3" i="20"/>
  <c r="F3" i="20" s="1"/>
  <c r="D207" i="18"/>
  <c r="E207" i="18" s="1"/>
  <c r="D208" i="18"/>
  <c r="F208" i="18" s="1"/>
  <c r="D216" i="18"/>
  <c r="H216" i="18" s="1"/>
  <c r="D217" i="18"/>
  <c r="E217" i="18" s="1"/>
  <c r="D218" i="18"/>
  <c r="D219" i="18"/>
  <c r="F219" i="18" s="1"/>
  <c r="D220" i="18"/>
  <c r="H220" i="18" s="1"/>
  <c r="D221" i="18"/>
  <c r="E221" i="18" s="1"/>
  <c r="D222" i="18"/>
  <c r="E222" i="18" s="1"/>
  <c r="D223" i="18"/>
  <c r="F223" i="18" s="1"/>
  <c r="D224" i="18"/>
  <c r="H224" i="18" s="1"/>
  <c r="D225" i="18"/>
  <c r="E225" i="18" s="1"/>
  <c r="D226" i="18"/>
  <c r="E226" i="18" s="1"/>
  <c r="D227" i="18"/>
  <c r="F227" i="18" s="1"/>
  <c r="D228" i="18"/>
  <c r="H228" i="18" s="1"/>
  <c r="D229" i="18"/>
  <c r="E229" i="18" s="1"/>
  <c r="D230" i="18"/>
  <c r="E230" i="18" s="1"/>
  <c r="D231" i="18"/>
  <c r="F231" i="18" s="1"/>
  <c r="D232" i="18"/>
  <c r="H232" i="18" s="1"/>
  <c r="D54" i="11"/>
  <c r="H54" i="11" s="1"/>
  <c r="D55" i="11"/>
  <c r="F55" i="11" s="1"/>
  <c r="D56" i="11"/>
  <c r="H56" i="11" s="1"/>
  <c r="D41" i="11"/>
  <c r="E41" i="11" s="1"/>
  <c r="D43" i="11"/>
  <c r="I43" i="11" s="1"/>
  <c r="D44" i="11"/>
  <c r="H44" i="11" s="1"/>
  <c r="D45" i="11"/>
  <c r="E45" i="11" s="1"/>
  <c r="D46" i="11"/>
  <c r="F46" i="11" s="1"/>
  <c r="D47" i="11"/>
  <c r="H47" i="11" s="1"/>
  <c r="D48" i="11"/>
  <c r="E48" i="11" s="1"/>
  <c r="D49" i="11"/>
  <c r="E49" i="11" s="1"/>
  <c r="D50" i="11"/>
  <c r="F50" i="11" s="1"/>
  <c r="D51" i="11"/>
  <c r="D52" i="11"/>
  <c r="E52" i="11" s="1"/>
  <c r="D53" i="11"/>
  <c r="E53" i="11" s="1"/>
  <c r="D176" i="18"/>
  <c r="D177" i="18"/>
  <c r="F177" i="18" s="1"/>
  <c r="D178" i="18"/>
  <c r="I178" i="18" s="1"/>
  <c r="D179" i="18"/>
  <c r="E179" i="18" s="1"/>
  <c r="D180" i="18"/>
  <c r="F180" i="18" s="1"/>
  <c r="D181" i="18"/>
  <c r="F181" i="18" s="1"/>
  <c r="D182" i="18"/>
  <c r="F182" i="18" s="1"/>
  <c r="D183" i="18"/>
  <c r="F183" i="18" s="1"/>
  <c r="D184" i="18"/>
  <c r="F184" i="18" s="1"/>
  <c r="D185" i="18"/>
  <c r="D186" i="18"/>
  <c r="F186" i="18" s="1"/>
  <c r="D187" i="18"/>
  <c r="D188" i="18"/>
  <c r="F188" i="18" s="1"/>
  <c r="D189" i="18"/>
  <c r="F189" i="18" s="1"/>
  <c r="D190" i="18"/>
  <c r="F190" i="18" s="1"/>
  <c r="D191" i="18"/>
  <c r="F191" i="18" s="1"/>
  <c r="D192" i="18"/>
  <c r="D193" i="18"/>
  <c r="D194" i="18"/>
  <c r="F194" i="18" s="1"/>
  <c r="D195" i="18"/>
  <c r="D196" i="18"/>
  <c r="F196" i="18" s="1"/>
  <c r="D197" i="18"/>
  <c r="F197" i="18" s="1"/>
  <c r="D198" i="18"/>
  <c r="F198" i="18" s="1"/>
  <c r="D199" i="18"/>
  <c r="F199" i="18" s="1"/>
  <c r="D200" i="18"/>
  <c r="F200" i="18" s="1"/>
  <c r="D201" i="18"/>
  <c r="D202" i="18"/>
  <c r="F202" i="18" s="1"/>
  <c r="D203" i="18"/>
  <c r="D204" i="18"/>
  <c r="F204" i="18" s="1"/>
  <c r="D205" i="18"/>
  <c r="F205" i="18" s="1"/>
  <c r="D206" i="18"/>
  <c r="F206" i="18" s="1"/>
  <c r="D3" i="18"/>
  <c r="D4" i="18"/>
  <c r="F4" i="18" s="1"/>
  <c r="D5" i="18"/>
  <c r="F5" i="18" s="1"/>
  <c r="D6" i="18"/>
  <c r="F6" i="18" s="1"/>
  <c r="D7" i="18"/>
  <c r="F7" i="18" s="1"/>
  <c r="F8" i="18"/>
  <c r="D10" i="18"/>
  <c r="I10" i="18" s="1"/>
  <c r="D11" i="18"/>
  <c r="E11" i="18" s="1"/>
  <c r="D12" i="18"/>
  <c r="F12" i="18" s="1"/>
  <c r="D13" i="18"/>
  <c r="F13" i="18" s="1"/>
  <c r="D14" i="18"/>
  <c r="F14" i="18" s="1"/>
  <c r="D15" i="18"/>
  <c r="E15" i="18" s="1"/>
  <c r="D16" i="18"/>
  <c r="D17" i="18"/>
  <c r="H17" i="18" s="1"/>
  <c r="D18" i="18"/>
  <c r="D19" i="18"/>
  <c r="E19" i="18" s="1"/>
  <c r="D20" i="18"/>
  <c r="D21" i="18"/>
  <c r="F21" i="18" s="1"/>
  <c r="D22" i="18"/>
  <c r="D23" i="18"/>
  <c r="H23" i="18" s="1"/>
  <c r="D24" i="18"/>
  <c r="H24" i="18" s="1"/>
  <c r="D25" i="18"/>
  <c r="F25" i="18" s="1"/>
  <c r="D26" i="18"/>
  <c r="D27" i="18"/>
  <c r="G27" i="18" s="1"/>
  <c r="D28" i="18"/>
  <c r="D29" i="18"/>
  <c r="F29" i="18" s="1"/>
  <c r="D30" i="18"/>
  <c r="E30" i="18" s="1"/>
  <c r="D31" i="18"/>
  <c r="G31" i="18" s="1"/>
  <c r="D32" i="18"/>
  <c r="D33" i="18"/>
  <c r="F33" i="18" s="1"/>
  <c r="D34" i="18"/>
  <c r="H34" i="18" s="1"/>
  <c r="D35" i="18"/>
  <c r="H35" i="18" s="1"/>
  <c r="D36" i="18"/>
  <c r="F36" i="18" s="1"/>
  <c r="D37" i="18"/>
  <c r="D38" i="18"/>
  <c r="F38" i="18" s="1"/>
  <c r="D39" i="18"/>
  <c r="F39" i="18" s="1"/>
  <c r="D40" i="18"/>
  <c r="F40" i="18" s="1"/>
  <c r="D41" i="18"/>
  <c r="F41" i="18" s="1"/>
  <c r="D42" i="18"/>
  <c r="E42" i="18" s="1"/>
  <c r="D43" i="18"/>
  <c r="D44" i="18"/>
  <c r="F44" i="18" s="1"/>
  <c r="D45" i="18"/>
  <c r="D46" i="18"/>
  <c r="F46" i="18" s="1"/>
  <c r="D47" i="18"/>
  <c r="D48" i="18"/>
  <c r="F48" i="18" s="1"/>
  <c r="D49" i="18"/>
  <c r="F49" i="18" s="1"/>
  <c r="D50" i="18"/>
  <c r="F50" i="18" s="1"/>
  <c r="D51" i="18"/>
  <c r="F51" i="18" s="1"/>
  <c r="D52" i="18"/>
  <c r="I52" i="18" s="1"/>
  <c r="D53" i="18"/>
  <c r="H53" i="18" s="1"/>
  <c r="D54" i="18"/>
  <c r="E54" i="18" s="1"/>
  <c r="D55" i="18"/>
  <c r="F55" i="18" s="1"/>
  <c r="D56" i="18"/>
  <c r="F56" i="18" s="1"/>
  <c r="D57" i="18"/>
  <c r="F57" i="18" s="1"/>
  <c r="D58" i="18"/>
  <c r="D59" i="18"/>
  <c r="F59" i="18" s="1"/>
  <c r="D60" i="18"/>
  <c r="D61" i="18"/>
  <c r="H61" i="18" s="1"/>
  <c r="D62" i="18"/>
  <c r="E62" i="18" s="1"/>
  <c r="D63" i="18"/>
  <c r="F63" i="18" s="1"/>
  <c r="D64" i="18"/>
  <c r="F64" i="18" s="1"/>
  <c r="D65" i="18"/>
  <c r="F65" i="18" s="1"/>
  <c r="D66" i="18"/>
  <c r="D67" i="18"/>
  <c r="G67" i="18" s="1"/>
  <c r="D68" i="18"/>
  <c r="H68" i="18" s="1"/>
  <c r="D69" i="18"/>
  <c r="D70" i="18"/>
  <c r="E70" i="18" s="1"/>
  <c r="D71" i="18"/>
  <c r="F71" i="18" s="1"/>
  <c r="D72" i="18"/>
  <c r="F72" i="18" s="1"/>
  <c r="D73" i="18"/>
  <c r="F73" i="18" s="1"/>
  <c r="D74" i="18"/>
  <c r="G74" i="18" s="1"/>
  <c r="D75" i="18"/>
  <c r="I75" i="18" s="1"/>
  <c r="D76" i="18"/>
  <c r="G76" i="18" s="1"/>
  <c r="D77" i="18"/>
  <c r="E77" i="18" s="1"/>
  <c r="D78" i="18"/>
  <c r="D79" i="18"/>
  <c r="E79" i="18" s="1"/>
  <c r="D80" i="18"/>
  <c r="D81" i="18"/>
  <c r="D82" i="18"/>
  <c r="H82" i="18" s="1"/>
  <c r="D83" i="18"/>
  <c r="I83" i="18" s="1"/>
  <c r="D84" i="18"/>
  <c r="I84" i="18" s="1"/>
  <c r="D85" i="18"/>
  <c r="D86" i="18"/>
  <c r="H86" i="18" s="1"/>
  <c r="D87" i="18"/>
  <c r="D88" i="18"/>
  <c r="F88" i="18" s="1"/>
  <c r="D89" i="18"/>
  <c r="F89" i="18" s="1"/>
  <c r="D90" i="18"/>
  <c r="G90" i="18" s="1"/>
  <c r="D91" i="18"/>
  <c r="F91" i="18" s="1"/>
  <c r="D92" i="18"/>
  <c r="I92" i="18" s="1"/>
  <c r="D93" i="18"/>
  <c r="H93" i="18" s="1"/>
  <c r="D94" i="18"/>
  <c r="G94" i="18" s="1"/>
  <c r="D95" i="18"/>
  <c r="D96" i="18"/>
  <c r="I96" i="18" s="1"/>
  <c r="D97" i="18"/>
  <c r="G97" i="18" s="1"/>
  <c r="D98" i="18"/>
  <c r="G98" i="18" s="1"/>
  <c r="D99" i="18"/>
  <c r="E99" i="18" s="1"/>
  <c r="D100" i="18"/>
  <c r="I100" i="18" s="1"/>
  <c r="D101" i="18"/>
  <c r="F101" i="18" s="1"/>
  <c r="D102" i="18"/>
  <c r="G102" i="18" s="1"/>
  <c r="D103" i="18"/>
  <c r="F103" i="18" s="1"/>
  <c r="D104" i="18"/>
  <c r="I104" i="18" s="1"/>
  <c r="D105" i="18"/>
  <c r="H105" i="18" s="1"/>
  <c r="D106" i="18"/>
  <c r="H106" i="18" s="1"/>
  <c r="D107" i="18"/>
  <c r="F107" i="18" s="1"/>
  <c r="D108" i="18"/>
  <c r="I108" i="18" s="1"/>
  <c r="D109" i="18"/>
  <c r="G109" i="18" s="1"/>
  <c r="D110" i="18"/>
  <c r="D111" i="18"/>
  <c r="E111" i="18" s="1"/>
  <c r="D112" i="18"/>
  <c r="D113" i="18"/>
  <c r="G113" i="18" s="1"/>
  <c r="D114" i="18"/>
  <c r="G114" i="18" s="1"/>
  <c r="D115" i="18"/>
  <c r="I115" i="18" s="1"/>
  <c r="D116" i="18"/>
  <c r="I116" i="18" s="1"/>
  <c r="D117" i="18"/>
  <c r="E117" i="18" s="1"/>
  <c r="D118" i="18"/>
  <c r="G118" i="18" s="1"/>
  <c r="D119" i="18"/>
  <c r="G119" i="18" s="1"/>
  <c r="D120" i="18"/>
  <c r="D121" i="18"/>
  <c r="F121" i="18" s="1"/>
  <c r="D122" i="18"/>
  <c r="E122" i="18" s="1"/>
  <c r="D123" i="18"/>
  <c r="D124" i="18"/>
  <c r="I124" i="18" s="1"/>
  <c r="D125" i="18"/>
  <c r="E125" i="18" s="1"/>
  <c r="D126" i="18"/>
  <c r="D127" i="18"/>
  <c r="G127" i="18" s="1"/>
  <c r="D128" i="18"/>
  <c r="I128" i="18" s="1"/>
  <c r="D129" i="18"/>
  <c r="I129" i="18" s="1"/>
  <c r="D130" i="18"/>
  <c r="E130" i="18" s="1"/>
  <c r="D131" i="18"/>
  <c r="G131" i="18" s="1"/>
  <c r="D132" i="18"/>
  <c r="I132" i="18" s="1"/>
  <c r="D133" i="18"/>
  <c r="G133" i="18" s="1"/>
  <c r="D134" i="18"/>
  <c r="I134" i="18" s="1"/>
  <c r="D135" i="18"/>
  <c r="G135" i="18" s="1"/>
  <c r="D136" i="18"/>
  <c r="I136" i="18" s="1"/>
  <c r="D137" i="18"/>
  <c r="F137" i="18" s="1"/>
  <c r="D138" i="18"/>
  <c r="E138" i="18" s="1"/>
  <c r="D139" i="18"/>
  <c r="G139" i="18" s="1"/>
  <c r="D140" i="18"/>
  <c r="E140" i="18" s="1"/>
  <c r="D141" i="18"/>
  <c r="G141" i="18" s="1"/>
  <c r="D142" i="18"/>
  <c r="E142" i="18" s="1"/>
  <c r="D143" i="18"/>
  <c r="I143" i="18" s="1"/>
  <c r="D144" i="18"/>
  <c r="I144" i="18" s="1"/>
  <c r="D145" i="18"/>
  <c r="F145" i="18" s="1"/>
  <c r="D146" i="18"/>
  <c r="E146" i="18" s="1"/>
  <c r="D147" i="18"/>
  <c r="I147" i="18" s="1"/>
  <c r="D148" i="18"/>
  <c r="I148" i="18" s="1"/>
  <c r="D149" i="18"/>
  <c r="F149" i="18" s="1"/>
  <c r="D150" i="18"/>
  <c r="I150" i="18" s="1"/>
  <c r="D151" i="18"/>
  <c r="F151" i="18" s="1"/>
  <c r="D152" i="18"/>
  <c r="I152" i="18" s="1"/>
  <c r="D153" i="18"/>
  <c r="F153" i="18" s="1"/>
  <c r="D154" i="18"/>
  <c r="G154" i="18" s="1"/>
  <c r="D155" i="18"/>
  <c r="E155" i="18" s="1"/>
  <c r="D156" i="18"/>
  <c r="I156" i="18" s="1"/>
  <c r="D157" i="18"/>
  <c r="F157" i="18" s="1"/>
  <c r="D158" i="18"/>
  <c r="D159" i="18"/>
  <c r="F159" i="18" s="1"/>
  <c r="D160" i="18"/>
  <c r="I160" i="18" s="1"/>
  <c r="D161" i="18"/>
  <c r="F161" i="18" s="1"/>
  <c r="D162" i="18"/>
  <c r="I162" i="18" s="1"/>
  <c r="D163" i="18"/>
  <c r="E163" i="18" s="1"/>
  <c r="D164" i="18"/>
  <c r="I164" i="18" s="1"/>
  <c r="D165" i="18"/>
  <c r="F165" i="18" s="1"/>
  <c r="D166" i="18"/>
  <c r="G166" i="18" s="1"/>
  <c r="D167" i="18"/>
  <c r="E167" i="18" s="1"/>
  <c r="D168" i="18"/>
  <c r="I168" i="18" s="1"/>
  <c r="D169" i="18"/>
  <c r="F169" i="18" s="1"/>
  <c r="D170" i="18"/>
  <c r="I170" i="18" s="1"/>
  <c r="D171" i="18"/>
  <c r="E171" i="18" s="1"/>
  <c r="D172" i="18"/>
  <c r="I172" i="18" s="1"/>
  <c r="D173" i="18"/>
  <c r="I173" i="18" s="1"/>
  <c r="D174" i="18"/>
  <c r="G174" i="18" s="1"/>
  <c r="D175" i="18"/>
  <c r="F175" i="18" s="1"/>
  <c r="D40" i="11"/>
  <c r="I40" i="11" s="1"/>
  <c r="D3" i="11"/>
  <c r="E3" i="11" s="1"/>
  <c r="D4" i="11"/>
  <c r="E4" i="11" s="1"/>
  <c r="D5" i="11"/>
  <c r="E5" i="11" s="1"/>
  <c r="D6" i="11"/>
  <c r="E6" i="11" s="1"/>
  <c r="D7" i="11"/>
  <c r="E7" i="11" s="1"/>
  <c r="D8" i="11"/>
  <c r="E8" i="11" s="1"/>
  <c r="D9" i="11"/>
  <c r="E9" i="11" s="1"/>
  <c r="D10" i="11"/>
  <c r="E10" i="11" s="1"/>
  <c r="D11" i="11"/>
  <c r="E11" i="11" s="1"/>
  <c r="D12" i="11"/>
  <c r="D13" i="11"/>
  <c r="E13" i="11" s="1"/>
  <c r="D14" i="11"/>
  <c r="E14" i="11" s="1"/>
  <c r="D15" i="11"/>
  <c r="G15" i="11" s="1"/>
  <c r="D16" i="11"/>
  <c r="E16" i="11" s="1"/>
  <c r="D17" i="11"/>
  <c r="E17" i="11" s="1"/>
  <c r="D18" i="11"/>
  <c r="E18" i="11" s="1"/>
  <c r="D19" i="11"/>
  <c r="E19" i="11" s="1"/>
  <c r="D20" i="11"/>
  <c r="E20" i="11" s="1"/>
  <c r="D21" i="11"/>
  <c r="E21" i="11" s="1"/>
  <c r="D22" i="11"/>
  <c r="E22" i="11" s="1"/>
  <c r="D23" i="11"/>
  <c r="E23" i="11" s="1"/>
  <c r="D24" i="11"/>
  <c r="E24" i="11" s="1"/>
  <c r="D25" i="11"/>
  <c r="E25" i="11" s="1"/>
  <c r="D26" i="11"/>
  <c r="E26" i="11" s="1"/>
  <c r="D27" i="11"/>
  <c r="E27" i="11" s="1"/>
  <c r="D28" i="11"/>
  <c r="E28" i="11" s="1"/>
  <c r="D29" i="11"/>
  <c r="E29" i="11" s="1"/>
  <c r="D30" i="11"/>
  <c r="E30" i="11" s="1"/>
  <c r="D31" i="11"/>
  <c r="E31" i="11" s="1"/>
  <c r="D32" i="11"/>
  <c r="E32" i="11" s="1"/>
  <c r="D33" i="11"/>
  <c r="E33" i="11" s="1"/>
  <c r="D34" i="11"/>
  <c r="E34" i="11" s="1"/>
  <c r="D35" i="11"/>
  <c r="E35" i="11" s="1"/>
  <c r="D36" i="11"/>
  <c r="E36" i="11" s="1"/>
  <c r="D37" i="11"/>
  <c r="E37" i="11" s="1"/>
  <c r="D38" i="11"/>
  <c r="E38" i="11" s="1"/>
  <c r="D39" i="11"/>
  <c r="E39" i="11" s="1"/>
  <c r="I230" i="18" l="1"/>
  <c r="E139" i="18"/>
  <c r="H169" i="18"/>
  <c r="F109" i="18"/>
  <c r="E161" i="18"/>
  <c r="E159" i="18"/>
  <c r="E144" i="18"/>
  <c r="G84" i="18"/>
  <c r="E9" i="20"/>
  <c r="F9" i="20"/>
  <c r="G6" i="20"/>
  <c r="F12" i="20"/>
  <c r="H7" i="20"/>
  <c r="G3" i="20"/>
  <c r="F10" i="20"/>
  <c r="H10" i="20"/>
  <c r="G18" i="11"/>
  <c r="H49" i="11"/>
  <c r="H43" i="11"/>
  <c r="F43" i="11"/>
  <c r="G43" i="11"/>
  <c r="E46" i="11"/>
  <c r="I26" i="11"/>
  <c r="F12" i="11"/>
  <c r="H53" i="11"/>
  <c r="F56" i="11"/>
  <c r="E56" i="11"/>
  <c r="I54" i="11"/>
  <c r="G54" i="11"/>
  <c r="H24" i="11"/>
  <c r="I52" i="11"/>
  <c r="I48" i="11"/>
  <c r="I44" i="11"/>
  <c r="I56" i="11"/>
  <c r="F54" i="11"/>
  <c r="H29" i="11"/>
  <c r="H52" i="11"/>
  <c r="H48" i="11"/>
  <c r="G56" i="11"/>
  <c r="E54" i="11"/>
  <c r="G35" i="11"/>
  <c r="F52" i="11"/>
  <c r="F48" i="11"/>
  <c r="H11" i="21"/>
  <c r="F11" i="21"/>
  <c r="F5" i="21"/>
  <c r="G11" i="21"/>
  <c r="F12" i="21"/>
  <c r="G129" i="18"/>
  <c r="G85" i="18"/>
  <c r="F79" i="18"/>
  <c r="E133" i="18"/>
  <c r="E127" i="18"/>
  <c r="I225" i="18"/>
  <c r="G225" i="18"/>
  <c r="I117" i="18"/>
  <c r="I74" i="18"/>
  <c r="H11" i="18"/>
  <c r="F232" i="18"/>
  <c r="E227" i="18"/>
  <c r="I222" i="18"/>
  <c r="E232" i="18"/>
  <c r="G13" i="20"/>
  <c r="D9" i="20"/>
  <c r="G10" i="20"/>
  <c r="E12" i="20"/>
  <c r="H13" i="20"/>
  <c r="D14" i="20"/>
  <c r="G9" i="20"/>
  <c r="E11" i="20"/>
  <c r="E14" i="20"/>
  <c r="F11" i="20"/>
  <c r="F14" i="20"/>
  <c r="G11" i="20"/>
  <c r="E13" i="20"/>
  <c r="G14" i="20"/>
  <c r="G14" i="21"/>
  <c r="H14" i="21"/>
  <c r="E10" i="21"/>
  <c r="F13" i="21"/>
  <c r="D10" i="21"/>
  <c r="E13" i="21"/>
  <c r="F10" i="21"/>
  <c r="G13" i="21"/>
  <c r="D15" i="21"/>
  <c r="G10" i="21"/>
  <c r="E12" i="21"/>
  <c r="E15" i="21"/>
  <c r="F15" i="21"/>
  <c r="G12" i="21"/>
  <c r="E14" i="21"/>
  <c r="G15" i="21"/>
  <c r="E3" i="21"/>
  <c r="G3" i="21"/>
  <c r="H3" i="21"/>
  <c r="E8" i="21"/>
  <c r="G4" i="21"/>
  <c r="H8" i="21"/>
  <c r="E5" i="21"/>
  <c r="E4" i="21"/>
  <c r="G5" i="21"/>
  <c r="D3" i="21"/>
  <c r="F4" i="21"/>
  <c r="D8" i="21"/>
  <c r="F8" i="21"/>
  <c r="D5" i="20"/>
  <c r="E5" i="20"/>
  <c r="E3" i="20"/>
  <c r="F6" i="20"/>
  <c r="H3" i="20"/>
  <c r="E7" i="20"/>
  <c r="D4" i="20"/>
  <c r="F5" i="20"/>
  <c r="H6" i="20"/>
  <c r="E4" i="20"/>
  <c r="G5" i="20"/>
  <c r="D3" i="20"/>
  <c r="F4" i="20"/>
  <c r="D7" i="20"/>
  <c r="G4" i="20"/>
  <c r="D6" i="20"/>
  <c r="F7" i="20"/>
  <c r="I229" i="18"/>
  <c r="G169" i="18"/>
  <c r="E164" i="18"/>
  <c r="H153" i="18"/>
  <c r="H117" i="18"/>
  <c r="I105" i="18"/>
  <c r="H229" i="18"/>
  <c r="H96" i="18"/>
  <c r="F225" i="18"/>
  <c r="G220" i="18"/>
  <c r="G168" i="18"/>
  <c r="F171" i="18"/>
  <c r="F168" i="18"/>
  <c r="H156" i="18"/>
  <c r="F144" i="18"/>
  <c r="F139" i="18"/>
  <c r="F133" i="18"/>
  <c r="F115" i="18"/>
  <c r="E109" i="18"/>
  <c r="F96" i="18"/>
  <c r="I44" i="18"/>
  <c r="H29" i="18"/>
  <c r="F224" i="18"/>
  <c r="G170" i="18"/>
  <c r="G81" i="18"/>
  <c r="F76" i="18"/>
  <c r="H230" i="18"/>
  <c r="I226" i="18"/>
  <c r="F148" i="18"/>
  <c r="F81" i="18"/>
  <c r="F27" i="18"/>
  <c r="H226" i="18"/>
  <c r="G217" i="18"/>
  <c r="G229" i="18"/>
  <c r="H222" i="18"/>
  <c r="F220" i="18"/>
  <c r="I217" i="18"/>
  <c r="E231" i="18"/>
  <c r="F229" i="18"/>
  <c r="G224" i="18"/>
  <c r="E220" i="18"/>
  <c r="H217" i="18"/>
  <c r="I221" i="18"/>
  <c r="G228" i="18"/>
  <c r="E224" i="18"/>
  <c r="H221" i="18"/>
  <c r="F217" i="18"/>
  <c r="E208" i="18"/>
  <c r="F228" i="18"/>
  <c r="G221" i="18"/>
  <c r="G232" i="18"/>
  <c r="E228" i="18"/>
  <c r="H225" i="18"/>
  <c r="F221" i="18"/>
  <c r="I218" i="18"/>
  <c r="G216" i="18"/>
  <c r="I207" i="18"/>
  <c r="H218" i="18"/>
  <c r="E216" i="18"/>
  <c r="F216" i="18"/>
  <c r="H207" i="18"/>
  <c r="I231" i="18"/>
  <c r="G230" i="18"/>
  <c r="I227" i="18"/>
  <c r="G226" i="18"/>
  <c r="I223" i="18"/>
  <c r="G222" i="18"/>
  <c r="I219" i="18"/>
  <c r="G218" i="18"/>
  <c r="I208" i="18"/>
  <c r="G207" i="18"/>
  <c r="H231" i="18"/>
  <c r="F230" i="18"/>
  <c r="H227" i="18"/>
  <c r="F226" i="18"/>
  <c r="H223" i="18"/>
  <c r="F222" i="18"/>
  <c r="H219" i="18"/>
  <c r="F218" i="18"/>
  <c r="H208" i="18"/>
  <c r="F207" i="18"/>
  <c r="I232" i="18"/>
  <c r="G231" i="18"/>
  <c r="I228" i="18"/>
  <c r="G227" i="18"/>
  <c r="I224" i="18"/>
  <c r="G223" i="18"/>
  <c r="I220" i="18"/>
  <c r="G219" i="18"/>
  <c r="I216" i="18"/>
  <c r="G208" i="18"/>
  <c r="E169" i="18"/>
  <c r="F156" i="18"/>
  <c r="G153" i="18"/>
  <c r="I151" i="18"/>
  <c r="E148" i="18"/>
  <c r="H133" i="18"/>
  <c r="F130" i="18"/>
  <c r="E115" i="18"/>
  <c r="I109" i="18"/>
  <c r="H97" i="18"/>
  <c r="E93" i="18"/>
  <c r="H77" i="18"/>
  <c r="I171" i="18"/>
  <c r="E165" i="18"/>
  <c r="E156" i="18"/>
  <c r="E153" i="18"/>
  <c r="E151" i="18"/>
  <c r="G138" i="18"/>
  <c r="F97" i="18"/>
  <c r="F77" i="18"/>
  <c r="H181" i="18"/>
  <c r="H173" i="18"/>
  <c r="H152" i="18"/>
  <c r="F129" i="18"/>
  <c r="E113" i="18"/>
  <c r="G173" i="18"/>
  <c r="G152" i="18"/>
  <c r="I149" i="18"/>
  <c r="G132" i="18"/>
  <c r="F173" i="18"/>
  <c r="I167" i="18"/>
  <c r="E157" i="18"/>
  <c r="F152" i="18"/>
  <c r="E149" i="18"/>
  <c r="G144" i="18"/>
  <c r="I135" i="18"/>
  <c r="F132" i="18"/>
  <c r="H128" i="18"/>
  <c r="H122" i="18"/>
  <c r="E89" i="18"/>
  <c r="H42" i="18"/>
  <c r="H15" i="18"/>
  <c r="E173" i="18"/>
  <c r="F167" i="18"/>
  <c r="I153" i="18"/>
  <c r="E152" i="18"/>
  <c r="F61" i="18"/>
  <c r="F42" i="18"/>
  <c r="I21" i="18"/>
  <c r="H149" i="18"/>
  <c r="G117" i="18"/>
  <c r="G105" i="18"/>
  <c r="I101" i="18"/>
  <c r="H74" i="18"/>
  <c r="H63" i="18"/>
  <c r="H199" i="18"/>
  <c r="H186" i="18"/>
  <c r="I137" i="18"/>
  <c r="H135" i="18"/>
  <c r="H168" i="18"/>
  <c r="G162" i="18"/>
  <c r="I159" i="18"/>
  <c r="G156" i="18"/>
  <c r="G149" i="18"/>
  <c r="E147" i="18"/>
  <c r="H139" i="18"/>
  <c r="E137" i="18"/>
  <c r="F135" i="18"/>
  <c r="H129" i="18"/>
  <c r="F117" i="18"/>
  <c r="I114" i="18"/>
  <c r="H108" i="18"/>
  <c r="F105" i="18"/>
  <c r="E101" i="18"/>
  <c r="I97" i="18"/>
  <c r="I91" i="18"/>
  <c r="F83" i="18"/>
  <c r="F74" i="18"/>
  <c r="G63" i="18"/>
  <c r="H59" i="18"/>
  <c r="E34" i="18"/>
  <c r="F15" i="18"/>
  <c r="E135" i="18"/>
  <c r="H119" i="18"/>
  <c r="G108" i="18"/>
  <c r="E105" i="18"/>
  <c r="E91" i="18"/>
  <c r="H67" i="18"/>
  <c r="H204" i="18"/>
  <c r="H172" i="18"/>
  <c r="G172" i="18"/>
  <c r="I161" i="18"/>
  <c r="H136" i="18"/>
  <c r="I113" i="18"/>
  <c r="G100" i="18"/>
  <c r="I93" i="18"/>
  <c r="H10" i="18"/>
  <c r="H178" i="18"/>
  <c r="F172" i="18"/>
  <c r="I169" i="18"/>
  <c r="E168" i="18"/>
  <c r="G164" i="18"/>
  <c r="H161" i="18"/>
  <c r="H148" i="18"/>
  <c r="E145" i="18"/>
  <c r="H141" i="18"/>
  <c r="F136" i="18"/>
  <c r="E129" i="18"/>
  <c r="G116" i="18"/>
  <c r="H113" i="18"/>
  <c r="H109" i="18"/>
  <c r="E107" i="18"/>
  <c r="F100" i="18"/>
  <c r="E97" i="18"/>
  <c r="G93" i="18"/>
  <c r="F85" i="18"/>
  <c r="I82" i="18"/>
  <c r="H44" i="18"/>
  <c r="H27" i="18"/>
  <c r="I13" i="18"/>
  <c r="F10" i="18"/>
  <c r="H197" i="18"/>
  <c r="H183" i="18"/>
  <c r="E172" i="18"/>
  <c r="F164" i="18"/>
  <c r="G161" i="18"/>
  <c r="I157" i="18"/>
  <c r="G150" i="18"/>
  <c r="G148" i="18"/>
  <c r="F141" i="18"/>
  <c r="H138" i="18"/>
  <c r="E136" i="18"/>
  <c r="I131" i="18"/>
  <c r="F113" i="18"/>
  <c r="E100" i="18"/>
  <c r="F93" i="18"/>
  <c r="I89" i="18"/>
  <c r="G82" i="18"/>
  <c r="G75" i="18"/>
  <c r="F31" i="18"/>
  <c r="F17" i="18"/>
  <c r="H13" i="18"/>
  <c r="I165" i="18"/>
  <c r="I145" i="18"/>
  <c r="H101" i="18"/>
  <c r="H89" i="18"/>
  <c r="H65" i="18"/>
  <c r="G59" i="18"/>
  <c r="H54" i="18"/>
  <c r="H50" i="18"/>
  <c r="I40" i="18"/>
  <c r="H21" i="18"/>
  <c r="F11" i="18"/>
  <c r="H4" i="18"/>
  <c r="H205" i="18"/>
  <c r="H188" i="18"/>
  <c r="H179" i="18"/>
  <c r="H145" i="18"/>
  <c r="I130" i="18"/>
  <c r="I106" i="18"/>
  <c r="G101" i="18"/>
  <c r="G89" i="18"/>
  <c r="I85" i="18"/>
  <c r="I81" i="18"/>
  <c r="H46" i="18"/>
  <c r="H40" i="18"/>
  <c r="H31" i="18"/>
  <c r="G24" i="18"/>
  <c r="I17" i="18"/>
  <c r="H7" i="18"/>
  <c r="H191" i="18"/>
  <c r="F179" i="18"/>
  <c r="H165" i="18"/>
  <c r="E175" i="18"/>
  <c r="G165" i="18"/>
  <c r="I163" i="18"/>
  <c r="G145" i="18"/>
  <c r="E143" i="18"/>
  <c r="I138" i="18"/>
  <c r="H132" i="18"/>
  <c r="H130" i="18"/>
  <c r="H125" i="18"/>
  <c r="F111" i="18"/>
  <c r="G106" i="18"/>
  <c r="H104" i="18"/>
  <c r="I99" i="18"/>
  <c r="H94" i="18"/>
  <c r="H85" i="18"/>
  <c r="H81" i="18"/>
  <c r="H75" i="18"/>
  <c r="F34" i="18"/>
  <c r="F24" i="18"/>
  <c r="H196" i="18"/>
  <c r="H124" i="18"/>
  <c r="H121" i="18"/>
  <c r="I98" i="18"/>
  <c r="I48" i="18"/>
  <c r="H19" i="18"/>
  <c r="F178" i="18"/>
  <c r="G160" i="18"/>
  <c r="I142" i="18"/>
  <c r="H174" i="18"/>
  <c r="H164" i="18"/>
  <c r="F160" i="18"/>
  <c r="H157" i="18"/>
  <c r="I146" i="18"/>
  <c r="H144" i="18"/>
  <c r="G142" i="18"/>
  <c r="I139" i="18"/>
  <c r="F138" i="18"/>
  <c r="I133" i="18"/>
  <c r="E132" i="18"/>
  <c r="I127" i="18"/>
  <c r="G124" i="18"/>
  <c r="G121" i="18"/>
  <c r="E108" i="18"/>
  <c r="H100" i="18"/>
  <c r="H98" i="18"/>
  <c r="H71" i="18"/>
  <c r="H48" i="18"/>
  <c r="H33" i="18"/>
  <c r="F19" i="18"/>
  <c r="H5" i="18"/>
  <c r="H194" i="18"/>
  <c r="H189" i="18"/>
  <c r="H160" i="18"/>
  <c r="I121" i="18"/>
  <c r="I174" i="18"/>
  <c r="E160" i="18"/>
  <c r="G157" i="18"/>
  <c r="G146" i="18"/>
  <c r="F142" i="18"/>
  <c r="H127" i="18"/>
  <c r="E124" i="18"/>
  <c r="E121" i="18"/>
  <c r="G55" i="18"/>
  <c r="H202" i="18"/>
  <c r="H180" i="18"/>
  <c r="E28" i="18"/>
  <c r="G28" i="18"/>
  <c r="I28" i="18"/>
  <c r="F28" i="18"/>
  <c r="H28" i="18"/>
  <c r="F110" i="18"/>
  <c r="E110" i="18"/>
  <c r="G110" i="18"/>
  <c r="H110" i="18"/>
  <c r="I110" i="18"/>
  <c r="E68" i="18"/>
  <c r="G68" i="18"/>
  <c r="I68" i="18"/>
  <c r="F68" i="18"/>
  <c r="G171" i="18"/>
  <c r="H171" i="18"/>
  <c r="F163" i="18"/>
  <c r="E150" i="18"/>
  <c r="F150" i="18"/>
  <c r="H150" i="18"/>
  <c r="H103" i="18"/>
  <c r="G103" i="18"/>
  <c r="I103" i="18"/>
  <c r="E103" i="18"/>
  <c r="G53" i="18"/>
  <c r="I53" i="18"/>
  <c r="F53" i="18"/>
  <c r="I140" i="18"/>
  <c r="F140" i="18"/>
  <c r="G140" i="18"/>
  <c r="H140" i="18"/>
  <c r="E118" i="18"/>
  <c r="H118" i="18"/>
  <c r="I118" i="18"/>
  <c r="F118" i="18"/>
  <c r="E192" i="18"/>
  <c r="G192" i="18"/>
  <c r="I192" i="18"/>
  <c r="H192" i="18"/>
  <c r="F192" i="18"/>
  <c r="E174" i="18"/>
  <c r="F174" i="18"/>
  <c r="G167" i="18"/>
  <c r="H167" i="18"/>
  <c r="I155" i="18"/>
  <c r="I88" i="18"/>
  <c r="G88" i="18"/>
  <c r="H88" i="18"/>
  <c r="E88" i="18"/>
  <c r="E187" i="18"/>
  <c r="G187" i="18"/>
  <c r="I187" i="18"/>
  <c r="F187" i="18"/>
  <c r="H187" i="18"/>
  <c r="E158" i="18"/>
  <c r="F158" i="18"/>
  <c r="H158" i="18"/>
  <c r="F78" i="18"/>
  <c r="E78" i="18"/>
  <c r="G78" i="18"/>
  <c r="H78" i="18"/>
  <c r="I78" i="18"/>
  <c r="G163" i="18"/>
  <c r="H163" i="18"/>
  <c r="F155" i="18"/>
  <c r="G38" i="18"/>
  <c r="I38" i="18"/>
  <c r="H38" i="18"/>
  <c r="E38" i="18"/>
  <c r="I20" i="18"/>
  <c r="E20" i="18"/>
  <c r="G20" i="18"/>
  <c r="H20" i="18"/>
  <c r="F20" i="18"/>
  <c r="E154" i="18"/>
  <c r="F154" i="18"/>
  <c r="H154" i="18"/>
  <c r="E134" i="18"/>
  <c r="F134" i="18"/>
  <c r="G134" i="18"/>
  <c r="H134" i="18"/>
  <c r="I175" i="18"/>
  <c r="I166" i="18"/>
  <c r="E170" i="18"/>
  <c r="F170" i="18"/>
  <c r="H170" i="18"/>
  <c r="G159" i="18"/>
  <c r="H159" i="18"/>
  <c r="G123" i="18"/>
  <c r="E123" i="18"/>
  <c r="F123" i="18"/>
  <c r="H123" i="18"/>
  <c r="I123" i="18"/>
  <c r="I120" i="18"/>
  <c r="E120" i="18"/>
  <c r="F120" i="18"/>
  <c r="G120" i="18"/>
  <c r="H120" i="18"/>
  <c r="I80" i="18"/>
  <c r="F80" i="18"/>
  <c r="G80" i="18"/>
  <c r="H80" i="18"/>
  <c r="G66" i="18"/>
  <c r="I66" i="18"/>
  <c r="H66" i="18"/>
  <c r="E66" i="18"/>
  <c r="F66" i="18"/>
  <c r="E166" i="18"/>
  <c r="F166" i="18"/>
  <c r="H166" i="18"/>
  <c r="I158" i="18"/>
  <c r="G155" i="18"/>
  <c r="H155" i="18"/>
  <c r="E126" i="18"/>
  <c r="F126" i="18"/>
  <c r="G126" i="18"/>
  <c r="H126" i="18"/>
  <c r="I126" i="18"/>
  <c r="I112" i="18"/>
  <c r="E112" i="18"/>
  <c r="F112" i="18"/>
  <c r="G112" i="18"/>
  <c r="H112" i="18"/>
  <c r="H95" i="18"/>
  <c r="G95" i="18"/>
  <c r="E95" i="18"/>
  <c r="F95" i="18"/>
  <c r="I95" i="18"/>
  <c r="F86" i="18"/>
  <c r="I86" i="18"/>
  <c r="G86" i="18"/>
  <c r="I47" i="18"/>
  <c r="G47" i="18"/>
  <c r="H47" i="18"/>
  <c r="F47" i="18"/>
  <c r="I16" i="18"/>
  <c r="E16" i="18"/>
  <c r="H16" i="18"/>
  <c r="F16" i="18"/>
  <c r="G16" i="18"/>
  <c r="G175" i="18"/>
  <c r="H175" i="18"/>
  <c r="E162" i="18"/>
  <c r="F162" i="18"/>
  <c r="H162" i="18"/>
  <c r="G158" i="18"/>
  <c r="I154" i="18"/>
  <c r="G151" i="18"/>
  <c r="H151" i="18"/>
  <c r="F147" i="18"/>
  <c r="G147" i="18"/>
  <c r="H147" i="18"/>
  <c r="F143" i="18"/>
  <c r="G143" i="18"/>
  <c r="H143" i="18"/>
  <c r="I141" i="18"/>
  <c r="E141" i="18"/>
  <c r="E32" i="18"/>
  <c r="G32" i="18"/>
  <c r="H32" i="18"/>
  <c r="I32" i="18"/>
  <c r="F32" i="18"/>
  <c r="E22" i="18"/>
  <c r="G22" i="18"/>
  <c r="I22" i="18"/>
  <c r="H22" i="18"/>
  <c r="F22" i="18"/>
  <c r="H146" i="18"/>
  <c r="H142" i="18"/>
  <c r="G136" i="18"/>
  <c r="G130" i="18"/>
  <c r="F127" i="18"/>
  <c r="I125" i="18"/>
  <c r="F124" i="18"/>
  <c r="I122" i="18"/>
  <c r="I119" i="18"/>
  <c r="H116" i="18"/>
  <c r="H115" i="18"/>
  <c r="G115" i="18"/>
  <c r="I111" i="18"/>
  <c r="F108" i="18"/>
  <c r="F98" i="18"/>
  <c r="E98" i="18"/>
  <c r="G96" i="18"/>
  <c r="I94" i="18"/>
  <c r="H84" i="18"/>
  <c r="H83" i="18"/>
  <c r="G83" i="18"/>
  <c r="I79" i="18"/>
  <c r="I77" i="18"/>
  <c r="I76" i="18"/>
  <c r="H76" i="18"/>
  <c r="H55" i="18"/>
  <c r="E200" i="18"/>
  <c r="G200" i="18"/>
  <c r="I200" i="18"/>
  <c r="H200" i="18"/>
  <c r="F146" i="18"/>
  <c r="H137" i="18"/>
  <c r="H131" i="18"/>
  <c r="G128" i="18"/>
  <c r="G125" i="18"/>
  <c r="G122" i="18"/>
  <c r="F119" i="18"/>
  <c r="F116" i="18"/>
  <c r="H114" i="18"/>
  <c r="F106" i="18"/>
  <c r="E106" i="18"/>
  <c r="G104" i="18"/>
  <c r="I102" i="18"/>
  <c r="F99" i="18"/>
  <c r="E96" i="18"/>
  <c r="H92" i="18"/>
  <c r="H91" i="18"/>
  <c r="G91" i="18"/>
  <c r="I87" i="18"/>
  <c r="F84" i="18"/>
  <c r="G77" i="18"/>
  <c r="H70" i="18"/>
  <c r="G62" i="18"/>
  <c r="I62" i="18"/>
  <c r="F62" i="18"/>
  <c r="H62" i="18"/>
  <c r="E195" i="18"/>
  <c r="G195" i="18"/>
  <c r="I195" i="18"/>
  <c r="F195" i="18"/>
  <c r="H195" i="18"/>
  <c r="G137" i="18"/>
  <c r="F131" i="18"/>
  <c r="F128" i="18"/>
  <c r="F125" i="18"/>
  <c r="F122" i="18"/>
  <c r="E119" i="18"/>
  <c r="E116" i="18"/>
  <c r="H111" i="18"/>
  <c r="G111" i="18"/>
  <c r="I107" i="18"/>
  <c r="F104" i="18"/>
  <c r="H102" i="18"/>
  <c r="F94" i="18"/>
  <c r="G92" i="18"/>
  <c r="I90" i="18"/>
  <c r="F87" i="18"/>
  <c r="H79" i="18"/>
  <c r="G79" i="18"/>
  <c r="I72" i="18"/>
  <c r="F70" i="18"/>
  <c r="G58" i="18"/>
  <c r="I58" i="18"/>
  <c r="H58" i="18"/>
  <c r="F58" i="18"/>
  <c r="I55" i="18"/>
  <c r="E55" i="18"/>
  <c r="G49" i="18"/>
  <c r="I49" i="18"/>
  <c r="H49" i="18"/>
  <c r="I43" i="18"/>
  <c r="E43" i="18"/>
  <c r="H43" i="18"/>
  <c r="F43" i="18"/>
  <c r="G43" i="18"/>
  <c r="H36" i="18"/>
  <c r="E203" i="18"/>
  <c r="G203" i="18"/>
  <c r="I203" i="18"/>
  <c r="F203" i="18"/>
  <c r="H203" i="18"/>
  <c r="E131" i="18"/>
  <c r="E128" i="18"/>
  <c r="F114" i="18"/>
  <c r="E114" i="18"/>
  <c r="E104" i="18"/>
  <c r="H99" i="18"/>
  <c r="G99" i="18"/>
  <c r="F92" i="18"/>
  <c r="H90" i="18"/>
  <c r="F82" i="18"/>
  <c r="H72" i="18"/>
  <c r="E64" i="18"/>
  <c r="G64" i="18"/>
  <c r="H64" i="18"/>
  <c r="I64" i="18"/>
  <c r="H57" i="18"/>
  <c r="G51" i="18"/>
  <c r="E40" i="18"/>
  <c r="G40" i="18"/>
  <c r="E18" i="18"/>
  <c r="G18" i="18"/>
  <c r="I18" i="18"/>
  <c r="F18" i="18"/>
  <c r="H18" i="18"/>
  <c r="F102" i="18"/>
  <c r="E102" i="18"/>
  <c r="H87" i="18"/>
  <c r="G87" i="18"/>
  <c r="G70" i="18"/>
  <c r="I70" i="18"/>
  <c r="E36" i="18"/>
  <c r="G36" i="18"/>
  <c r="I36" i="18"/>
  <c r="G30" i="18"/>
  <c r="I30" i="18"/>
  <c r="F30" i="18"/>
  <c r="H30" i="18"/>
  <c r="G8" i="18"/>
  <c r="I8" i="18"/>
  <c r="H8" i="18"/>
  <c r="H107" i="18"/>
  <c r="G107" i="18"/>
  <c r="F90" i="18"/>
  <c r="E90" i="18"/>
  <c r="G72" i="18"/>
  <c r="E60" i="18"/>
  <c r="G60" i="18"/>
  <c r="I60" i="18"/>
  <c r="F60" i="18"/>
  <c r="H60" i="18"/>
  <c r="E57" i="18"/>
  <c r="G57" i="18"/>
  <c r="I57" i="18"/>
  <c r="I51" i="18"/>
  <c r="H51" i="18"/>
  <c r="E45" i="18"/>
  <c r="G45" i="18"/>
  <c r="I45" i="18"/>
  <c r="F45" i="18"/>
  <c r="H45" i="18"/>
  <c r="G26" i="18"/>
  <c r="I26" i="18"/>
  <c r="H26" i="18"/>
  <c r="E26" i="18"/>
  <c r="F26" i="18"/>
  <c r="E184" i="18"/>
  <c r="G184" i="18"/>
  <c r="I184" i="18"/>
  <c r="H184" i="18"/>
  <c r="E69" i="18"/>
  <c r="G69" i="18"/>
  <c r="I69" i="18"/>
  <c r="I67" i="18"/>
  <c r="E67" i="18"/>
  <c r="G52" i="18"/>
  <c r="G50" i="18"/>
  <c r="I50" i="18"/>
  <c r="E37" i="18"/>
  <c r="G37" i="18"/>
  <c r="I37" i="18"/>
  <c r="I35" i="18"/>
  <c r="E35" i="18"/>
  <c r="G23" i="18"/>
  <c r="I23" i="18"/>
  <c r="E9" i="18"/>
  <c r="F3" i="18"/>
  <c r="G3" i="18"/>
  <c r="G201" i="18"/>
  <c r="I201" i="18"/>
  <c r="E201" i="18"/>
  <c r="G193" i="18"/>
  <c r="I193" i="18"/>
  <c r="E193" i="18"/>
  <c r="G185" i="18"/>
  <c r="I185" i="18"/>
  <c r="E185" i="18"/>
  <c r="E176" i="18"/>
  <c r="F176" i="18"/>
  <c r="G176" i="18"/>
  <c r="H176" i="18"/>
  <c r="I176" i="18"/>
  <c r="G73" i="18"/>
  <c r="I73" i="18"/>
  <c r="I71" i="18"/>
  <c r="E71" i="18"/>
  <c r="E56" i="18"/>
  <c r="G56" i="18"/>
  <c r="G54" i="18"/>
  <c r="I54" i="18"/>
  <c r="E41" i="18"/>
  <c r="G41" i="18"/>
  <c r="I41" i="18"/>
  <c r="I39" i="18"/>
  <c r="E39" i="18"/>
  <c r="E25" i="18"/>
  <c r="G25" i="18"/>
  <c r="E14" i="18"/>
  <c r="G14" i="18"/>
  <c r="I14" i="18"/>
  <c r="I12" i="18"/>
  <c r="E12" i="18"/>
  <c r="I6" i="18"/>
  <c r="G6" i="18"/>
  <c r="I206" i="18"/>
  <c r="E206" i="18"/>
  <c r="G206" i="18"/>
  <c r="I198" i="18"/>
  <c r="E198" i="18"/>
  <c r="G198" i="18"/>
  <c r="I190" i="18"/>
  <c r="E190" i="18"/>
  <c r="G190" i="18"/>
  <c r="I182" i="18"/>
  <c r="E182" i="18"/>
  <c r="G182" i="18"/>
  <c r="G34" i="18"/>
  <c r="I34" i="18"/>
  <c r="I24" i="18"/>
  <c r="E24" i="18"/>
  <c r="E10" i="18"/>
  <c r="G10" i="18"/>
  <c r="G5" i="18"/>
  <c r="I5" i="18"/>
  <c r="E5" i="18"/>
  <c r="G205" i="18"/>
  <c r="I205" i="18"/>
  <c r="E205" i="18"/>
  <c r="G197" i="18"/>
  <c r="I197" i="18"/>
  <c r="E197" i="18"/>
  <c r="G189" i="18"/>
  <c r="I189" i="18"/>
  <c r="E189" i="18"/>
  <c r="G181" i="18"/>
  <c r="I181" i="18"/>
  <c r="E181" i="18"/>
  <c r="E13" i="18"/>
  <c r="G13" i="18"/>
  <c r="G11" i="18"/>
  <c r="I11" i="18"/>
  <c r="I202" i="18"/>
  <c r="E202" i="18"/>
  <c r="G202" i="18"/>
  <c r="I194" i="18"/>
  <c r="E194" i="18"/>
  <c r="G194" i="18"/>
  <c r="I186" i="18"/>
  <c r="E186" i="18"/>
  <c r="G186" i="18"/>
  <c r="H69" i="18"/>
  <c r="E61" i="18"/>
  <c r="G61" i="18"/>
  <c r="I61" i="18"/>
  <c r="I59" i="18"/>
  <c r="I56" i="18"/>
  <c r="H52" i="18"/>
  <c r="E44" i="18"/>
  <c r="G44" i="18"/>
  <c r="G42" i="18"/>
  <c r="I42" i="18"/>
  <c r="H39" i="18"/>
  <c r="H37" i="18"/>
  <c r="G35" i="18"/>
  <c r="E29" i="18"/>
  <c r="G29" i="18"/>
  <c r="I29" i="18"/>
  <c r="I27" i="18"/>
  <c r="E27" i="18"/>
  <c r="I25" i="18"/>
  <c r="F23" i="18"/>
  <c r="E17" i="18"/>
  <c r="G17" i="18"/>
  <c r="G15" i="18"/>
  <c r="I15" i="18"/>
  <c r="H12" i="18"/>
  <c r="G9" i="18"/>
  <c r="G7" i="18"/>
  <c r="I7" i="18"/>
  <c r="H201" i="18"/>
  <c r="E199" i="18"/>
  <c r="G199" i="18"/>
  <c r="I199" i="18"/>
  <c r="H193" i="18"/>
  <c r="E191" i="18"/>
  <c r="G191" i="18"/>
  <c r="I191" i="18"/>
  <c r="H185" i="18"/>
  <c r="E183" i="18"/>
  <c r="G183" i="18"/>
  <c r="I183" i="18"/>
  <c r="F75" i="18"/>
  <c r="H73" i="18"/>
  <c r="G71" i="18"/>
  <c r="F69" i="18"/>
  <c r="F67" i="18"/>
  <c r="E65" i="18"/>
  <c r="G65" i="18"/>
  <c r="I65" i="18"/>
  <c r="I63" i="18"/>
  <c r="E63" i="18"/>
  <c r="H56" i="18"/>
  <c r="F54" i="18"/>
  <c r="F52" i="18"/>
  <c r="G48" i="18"/>
  <c r="G46" i="18"/>
  <c r="I46" i="18"/>
  <c r="H41" i="18"/>
  <c r="G39" i="18"/>
  <c r="F37" i="18"/>
  <c r="F35" i="18"/>
  <c r="E33" i="18"/>
  <c r="G33" i="18"/>
  <c r="I33" i="18"/>
  <c r="I31" i="18"/>
  <c r="E31" i="18"/>
  <c r="H25" i="18"/>
  <c r="E23" i="18"/>
  <c r="E21" i="18"/>
  <c r="G21" i="18"/>
  <c r="G19" i="18"/>
  <c r="I19" i="18"/>
  <c r="H14" i="18"/>
  <c r="G12" i="18"/>
  <c r="F9" i="18"/>
  <c r="H6" i="18"/>
  <c r="E4" i="18"/>
  <c r="G4" i="18"/>
  <c r="I4" i="18"/>
  <c r="H206" i="18"/>
  <c r="E204" i="18"/>
  <c r="G204" i="18"/>
  <c r="I204" i="18"/>
  <c r="F201" i="18"/>
  <c r="H198" i="18"/>
  <c r="E196" i="18"/>
  <c r="G196" i="18"/>
  <c r="I196" i="18"/>
  <c r="F193" i="18"/>
  <c r="H190" i="18"/>
  <c r="E188" i="18"/>
  <c r="G188" i="18"/>
  <c r="I188" i="18"/>
  <c r="F185" i="18"/>
  <c r="H182" i="18"/>
  <c r="E180" i="18"/>
  <c r="G180" i="18"/>
  <c r="I180" i="18"/>
  <c r="G177" i="18"/>
  <c r="H177" i="18"/>
  <c r="I177" i="18"/>
  <c r="E177" i="18"/>
  <c r="I179" i="18"/>
  <c r="G178" i="18"/>
  <c r="G179" i="18"/>
  <c r="E178" i="18"/>
  <c r="E3" i="18"/>
  <c r="I3" i="18"/>
  <c r="H3" i="18"/>
  <c r="F47" i="11"/>
  <c r="G47" i="11"/>
  <c r="I55" i="11"/>
  <c r="H55" i="11"/>
  <c r="G55" i="11"/>
  <c r="I53" i="11"/>
  <c r="G52" i="11"/>
  <c r="I49" i="11"/>
  <c r="G48" i="11"/>
  <c r="I45" i="11"/>
  <c r="G44" i="11"/>
  <c r="E43" i="11"/>
  <c r="I41" i="11"/>
  <c r="H45" i="11"/>
  <c r="F44" i="11"/>
  <c r="H41" i="11"/>
  <c r="G53" i="11"/>
  <c r="I50" i="11"/>
  <c r="G49" i="11"/>
  <c r="I46" i="11"/>
  <c r="G45" i="11"/>
  <c r="G41" i="11"/>
  <c r="F53" i="11"/>
  <c r="H50" i="11"/>
  <c r="F49" i="11"/>
  <c r="H46" i="11"/>
  <c r="F45" i="11"/>
  <c r="F41" i="11"/>
  <c r="G50" i="11"/>
  <c r="I47" i="11"/>
  <c r="G46" i="11"/>
  <c r="I34" i="11"/>
  <c r="G3" i="11"/>
  <c r="H34" i="11"/>
  <c r="I8" i="11"/>
  <c r="G34" i="11"/>
  <c r="H16" i="11"/>
  <c r="I11" i="11"/>
  <c r="F7" i="11"/>
  <c r="F36" i="11"/>
  <c r="G11" i="11"/>
  <c r="H11" i="11"/>
  <c r="F19" i="11"/>
  <c r="F11" i="11"/>
  <c r="F32" i="11"/>
  <c r="F24" i="11"/>
  <c r="H26" i="11"/>
  <c r="F23" i="11"/>
  <c r="G39" i="11"/>
  <c r="F26" i="11"/>
  <c r="I13" i="11"/>
  <c r="I21" i="11"/>
  <c r="H13" i="11"/>
  <c r="H6" i="11"/>
  <c r="F28" i="11"/>
  <c r="I24" i="11"/>
  <c r="H21" i="11"/>
  <c r="I16" i="11"/>
  <c r="H10" i="11"/>
  <c r="F39" i="11"/>
  <c r="I35" i="11"/>
  <c r="F34" i="11"/>
  <c r="G31" i="11"/>
  <c r="I18" i="11"/>
  <c r="F16" i="11"/>
  <c r="H8" i="11"/>
  <c r="I5" i="11"/>
  <c r="H40" i="11"/>
  <c r="H35" i="11"/>
  <c r="F31" i="11"/>
  <c r="G26" i="11"/>
  <c r="G23" i="11"/>
  <c r="F20" i="11"/>
  <c r="H18" i="11"/>
  <c r="I10" i="11"/>
  <c r="F8" i="11"/>
  <c r="H5" i="11"/>
  <c r="G40" i="11"/>
  <c r="I37" i="11"/>
  <c r="F35" i="11"/>
  <c r="I32" i="11"/>
  <c r="H30" i="11"/>
  <c r="H27" i="11"/>
  <c r="I19" i="11"/>
  <c r="F18" i="11"/>
  <c r="F15" i="11"/>
  <c r="G10" i="11"/>
  <c r="G7" i="11"/>
  <c r="F4" i="11"/>
  <c r="I27" i="11"/>
  <c r="H37" i="11"/>
  <c r="H32" i="11"/>
  <c r="G27" i="11"/>
  <c r="H22" i="11"/>
  <c r="H19" i="11"/>
  <c r="F10" i="11"/>
  <c r="G32" i="11"/>
  <c r="I29" i="11"/>
  <c r="F27" i="11"/>
  <c r="G19" i="11"/>
  <c r="H14" i="11"/>
  <c r="I3" i="11"/>
  <c r="G29" i="11"/>
  <c r="G21" i="11"/>
  <c r="G13" i="11"/>
  <c r="G5" i="11"/>
  <c r="F40" i="11"/>
  <c r="G37" i="11"/>
  <c r="I38" i="11"/>
  <c r="F37" i="11"/>
  <c r="I30" i="11"/>
  <c r="F29" i="11"/>
  <c r="G24" i="11"/>
  <c r="I22" i="11"/>
  <c r="F21" i="11"/>
  <c r="G16" i="11"/>
  <c r="I14" i="11"/>
  <c r="F13" i="11"/>
  <c r="G8" i="11"/>
  <c r="I6" i="11"/>
  <c r="F5" i="11"/>
  <c r="H3" i="11"/>
  <c r="E40" i="11"/>
  <c r="I17" i="11"/>
  <c r="I9" i="11"/>
  <c r="H38" i="11"/>
  <c r="I33" i="11"/>
  <c r="I25" i="11"/>
  <c r="G38" i="11"/>
  <c r="I36" i="11"/>
  <c r="H33" i="11"/>
  <c r="G30" i="11"/>
  <c r="I28" i="11"/>
  <c r="H25" i="11"/>
  <c r="G22" i="11"/>
  <c r="I20" i="11"/>
  <c r="H17" i="11"/>
  <c r="G14" i="11"/>
  <c r="I12" i="11"/>
  <c r="H9" i="11"/>
  <c r="G6" i="11"/>
  <c r="I4" i="11"/>
  <c r="F3" i="11"/>
  <c r="I39" i="11"/>
  <c r="F38" i="11"/>
  <c r="H36" i="11"/>
  <c r="G33" i="11"/>
  <c r="I31" i="11"/>
  <c r="F30" i="11"/>
  <c r="H28" i="11"/>
  <c r="G25" i="11"/>
  <c r="I23" i="11"/>
  <c r="F22" i="11"/>
  <c r="H20" i="11"/>
  <c r="G17" i="11"/>
  <c r="I15" i="11"/>
  <c r="F14" i="11"/>
  <c r="H12" i="11"/>
  <c r="G9" i="11"/>
  <c r="I7" i="11"/>
  <c r="F6" i="11"/>
  <c r="H4" i="11"/>
  <c r="H39" i="11"/>
  <c r="G36" i="11"/>
  <c r="F33" i="11"/>
  <c r="H31" i="11"/>
  <c r="G28" i="11"/>
  <c r="F25" i="11"/>
  <c r="H23" i="11"/>
  <c r="G20" i="11"/>
  <c r="F17" i="11"/>
  <c r="H15" i="11"/>
  <c r="G12" i="11"/>
  <c r="F9" i="11"/>
  <c r="H7" i="11"/>
  <c r="G4"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tc={863DD782-4758-4FD9-8549-54A6BC921FD3}</author>
    <author>tc={30029E11-1053-49D7-B465-586365A5D01E}</author>
    <author>tc={04235417-9291-4154-9973-A118001EB132}</author>
    <author>tc={984912E5-1BA5-469D-B6E3-716031440053}</author>
    <author>tc={EE3F7046-ED84-417E-A8F7-A487EC5373B8}</author>
  </authors>
  <commentList>
    <comment ref="B10" authorId="0" shapeId="0" xr:uid="{863DD782-4758-4FD9-8549-54A6BC921FD3}">
      <text>
        <t>[Threaded comment]
Your version of Excel allows you to read this threaded comment; however, any edits to it will get removed if the file is opened in a newer version of Excel. Learn more: https://go.microsoft.com/fwlink/?linkid=870924
Comment:
    Property Type is multi-select picklist in Grainger org.  We need guidance on how to use this.</t>
      </text>
    </comment>
    <comment ref="E12" authorId="1" shapeId="0" xr:uid="{30029E11-1053-49D7-B465-586365A5D01E}">
      <text>
        <t>[Threaded comment]
Your version of Excel allows you to read this threaded comment; however, any edits to it will get removed if the file is opened in a newer version of Excel. Learn more: https://go.microsoft.com/fwlink/?linkid=870924
Comment:
    This field is Mandatory</t>
      </text>
    </comment>
    <comment ref="B13" authorId="2" shapeId="0" xr:uid="{04235417-9291-4154-9973-A118001EB132}">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@Anjali Salecha  Please can you update the code when you're back at work so that this value is computed by counting opportunity contact role records</t>
      </text>
    </comment>
    <comment ref="B30" authorId="3" shapeId="0" xr:uid="{984912E5-1BA5-469D-B6E3-716031440053}">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@Anjali Salecha  please can you adjust so that it will default to pass a value of 6 if Salesforce field is not populated.</t>
      </text>
    </comment>
    <comment ref="B36" authorId="4" shapeId="0" xr:uid="{EE3F7046-ED84-417E-A8F7-A487EC5373B8}">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@Anjali Salecha  Please can you update this to have a hard coded value of 2.  This should be done via CMDT as per all the other hard coded values please.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tc={8DA565B6-DD7D-4C54-B42C-A2EB24C06F0C}</author>
    <author>tc={B092A0D3-C006-405A-892A-100319CBEA72}</author>
    <author>tc={84338EDE-9207-43D6-817D-00DC253B7482}</author>
  </authors>
  <commentList>
    <comment ref="B20" authorId="0" shapeId="0" xr:uid="{8DA565B6-DD7D-4C54-B42C-A2EB24C06F0C}">
      <text>
        <t>[Threaded comment]
Your version of Excel allows you to read this threaded comment; however, any edits to it will get removed if the file is opened in a newer version of Excel. Learn more: https://go.microsoft.com/fwlink/?linkid=870924
Comment:
    Can tenants have non-UK telephone numbers?</t>
      </text>
    </comment>
    <comment ref="B43" authorId="1" shapeId="0" xr:uid="{B092A0D3-C006-405A-892A-100319CBEA72}">
      <text>
        <t>[Threaded comment]
Your version of Excel allows you to read this threaded comment; however, any edits to it will get removed if the file is opened in a newer version of Excel. Learn more: https://go.microsoft.com/fwlink/?linkid=870924
Comment:
    Can tenants have non-UK telephone numbers?</t>
      </text>
    </comment>
    <comment ref="B47" authorId="2" shapeId="0" xr:uid="{84338EDE-9207-43D6-817D-00DC253B7482}">
      <text>
        <t>[Threaded comment]
Your version of Excel allows you to read this threaded comment; however, any edits to it will get removed if the file is opened in a newer version of Excel. Learn more: https://go.microsoft.com/fwlink/?linkid=870924
Comment:
    Can tenants have non-UK telephone numbers?</t>
      </text>
    </comment>
  </commentList>
</comments>
</file>

<file path=xl/sharedStrings.xml><?xml version="1.0" encoding="utf-8"?>
<sst xmlns="http://schemas.openxmlformats.org/spreadsheetml/2006/main" count="2382" uniqueCount="1466">
  <si>
    <t>Version</t>
  </si>
  <si>
    <t>Updated By</t>
  </si>
  <si>
    <t>Methods Affected
by Change</t>
  </si>
  <si>
    <t>Revision Description</t>
  </si>
  <si>
    <t>V r1.0</t>
  </si>
  <si>
    <t>-</t>
  </si>
  <si>
    <t>Initial release</t>
  </si>
  <si>
    <t>V r1.1</t>
  </si>
  <si>
    <t>Lee Williams</t>
  </si>
  <si>
    <t>None - Documentation update</t>
  </si>
  <si>
    <t>Added Outcome status enum list and changed linkedApplicant ID description</t>
  </si>
  <si>
    <t>V r1.2</t>
  </si>
  <si>
    <t>Ameded Outcome Status enum and added applicant Status enum</t>
  </si>
  <si>
    <t>V r1.3</t>
  </si>
  <si>
    <t>Extended description of Cancel Tenancy</t>
  </si>
  <si>
    <t>V r1.4</t>
  </si>
  <si>
    <t>Extended descriptions and minor wording change</t>
  </si>
  <si>
    <t>V r1.5</t>
  </si>
  <si>
    <t>updated response for addApplicant and updated description to cancellation reason enum</t>
  </si>
  <si>
    <t>API Method Name (Link to Request &amp; Response Examples with Data Structure)</t>
  </si>
  <si>
    <t>Method
Version</t>
  </si>
  <si>
    <t>Method Description</t>
  </si>
  <si>
    <t xml:space="preserve">Method URL </t>
  </si>
  <si>
    <t>Get Authentication Token</t>
  </si>
  <si>
    <r>
      <rPr>
        <sz val="11"/>
        <color rgb="FF000000"/>
        <rFont val="Calibri"/>
        <family val="2"/>
      </rPr>
      <t>Method to acquire an authentication (bearer) token, using the scope (always "</t>
    </r>
    <r>
      <rPr>
        <b/>
        <sz val="11"/>
        <color rgb="FF000000"/>
        <rFont val="Calibri"/>
        <family val="2"/>
      </rPr>
      <t>standardapiaccess</t>
    </r>
    <r>
      <rPr>
        <sz val="11"/>
        <color rgb="FF000000"/>
        <rFont val="Calibri"/>
        <family val="2"/>
      </rPr>
      <t>"), along with the provided clientID  and Client secret</t>
    </r>
  </si>
  <si>
    <t>Swagger - /standardapi/v1/  Postman -  https://preprod-auth-service.letalliance.dev/connect/token</t>
  </si>
  <si>
    <t>CheckConnection</t>
  </si>
  <si>
    <r>
      <rPr>
        <sz val="11"/>
        <color rgb="FF000000"/>
        <rFont val="Calibri"/>
        <family val="2"/>
      </rPr>
      <t>Simple ping method used to check connectivity between Vision+ API server and client with</t>
    </r>
    <r>
      <rPr>
        <b/>
        <sz val="11"/>
        <color rgb="FF000000"/>
        <rFont val="Calibri"/>
        <family val="2"/>
      </rPr>
      <t xml:space="preserve"> no parameters</t>
    </r>
    <r>
      <rPr>
        <sz val="11"/>
        <color rgb="FF000000"/>
        <rFont val="Calibri"/>
        <family val="2"/>
      </rPr>
      <t>. As with all methods, if authentication token is missing or invalid, an error will be returned. If the authentication token is valid and the connection is successful, a success true will be returned.</t>
    </r>
  </si>
  <si>
    <t>/standardapi/v1/CheckConnection</t>
  </si>
  <si>
    <t>CreateReferenceWithAllData</t>
  </si>
  <si>
    <t xml:space="preserve">As one of the base methods of the Vision+ API, this method is used to create a property, create tenancy on property and add one or more applicants to be referenced in that property, for systems that gather and provide all required applicant data up front. </t>
  </si>
  <si>
    <t>/standardapi/v1/CreateReferenceWithAllData</t>
  </si>
  <si>
    <t>CreateReferenceWithInputFromApplicant</t>
  </si>
  <si>
    <t>As another base methods of the Vision+ API, this method is used to create a property, create tenancy on property and add one or more applicants to be referenced in that property, for systems that require the applicant to fill in their own data. 
On submission, an email will be sent to any Applicant in the application, with details on how to log on to the Vision+ Portal and complete the required referencing data.</t>
  </si>
  <si>
    <t>/standardapi/v1/CreateReferenceWithInputFromApplicant</t>
  </si>
  <si>
    <t>GetApplicantReferenceStatus</t>
  </si>
  <si>
    <t>This method is used to check the Applicant referencing status of one or more Applicants.</t>
  </si>
  <si>
    <t>/standardapi/v1/GetApplicantReferenceStatus/{ApplicantID}</t>
  </si>
  <si>
    <t>GetAgentActiveProducts</t>
  </si>
  <si>
    <t>This method is used to get the list of products currently available to the agent to use in referencing applications. Using an invalid product code or a product the agent is not authorised for will cause the reference application request to fail and return an error.</t>
  </si>
  <si>
    <t>/standardapi/v1/GetAgentActiveProducts/{AgentCode}</t>
  </si>
  <si>
    <t>GetApplicantReferenceReports</t>
  </si>
  <si>
    <t>This method provides the applicant available assessment reports as a base64 encoded string, which must be saved as PDF file. An interim report will be available if the appliants referencing application is in progress, and a final report will be avaible when the applicants reference application status is completed.</t>
  </si>
  <si>
    <t>/standardapi/v1/GetApplicantReferenceReports/{ApplicantID}</t>
  </si>
  <si>
    <t>PostApplicantReferenceDocument</t>
  </si>
  <si>
    <t>This method is used to upload documents to support the applicant assessment process. Such as identification, proof of income, rent receipts etc.</t>
  </si>
  <si>
    <t>/standardapi/v1/PostApplicantReferenceDocument</t>
  </si>
  <si>
    <t>ResendApplicantReferenceLink</t>
  </si>
  <si>
    <t>Used in conjunction with the references created with the CreateReferenceWithInputFromApplicant call, This method is used to resend the applicant referencing link to the applicant, to complete the required referencing data. This is not required for reference applications started with the CreateReferenceWithAllData call.</t>
  </si>
  <si>
    <t>​/api​/workflow​/StandardIntegration​/ResendApplicantReferenceLink</t>
  </si>
  <si>
    <t>PostApplicantReferenceNote</t>
  </si>
  <si>
    <t xml:space="preserve">This method is used to add notes to the applicant assessment. The note field supports free text and can be used to record additional data. </t>
  </si>
  <si>
    <t>​/api​/workflow​/StandardIntegration​/PostApplicantReferenceNote</t>
  </si>
  <si>
    <t>AddApplicantToTenancy</t>
  </si>
  <si>
    <t>This method is used to add an additional applicant to a tenancy application. It has a applicant type parameter that denotes whether the applicant will be sent a link to fill out the data themselves or that the data will be provided by the client system.</t>
  </si>
  <si>
    <t>​/api​/workflow​/StandardIntegration​/AddApplicantToTenancy</t>
  </si>
  <si>
    <t>CancelApplicantFromTenancy</t>
  </si>
  <si>
    <t>This method is used to get cancel a specific applicant from a tenancy application associated with the authenticated agent.</t>
  </si>
  <si>
    <t>​/api​/workflow​/StandardIntegration​/CancelApplicantFromTenancy</t>
  </si>
  <si>
    <t>CancelTenancy</t>
  </si>
  <si>
    <t>This method is used to cancel a tenancy application associated with the authenticated agent.</t>
  </si>
  <si>
    <t>​/api​/workflow​/StandardIntegration​/CancelTenancy</t>
  </si>
  <si>
    <t>AmendTenancyDetails</t>
  </si>
  <si>
    <t>This method is used to amend a tenancy referencing application associated with the authenticated agent.</t>
  </si>
  <si>
    <t>​/api​/workflow​/StandardIntegration​/AmendTenancyDetails</t>
  </si>
  <si>
    <t>AmendApplicantProductType</t>
  </si>
  <si>
    <t>This method is used to amend the product type used for a specific applicant. This is restricted by the current agent active products and only for applicants associated with the authenticated agent.</t>
  </si>
  <si>
    <t>​/api​/workflow​/StandardIntegration​/AmendProductType</t>
  </si>
  <si>
    <t>CreateCompanyReferenceWithAllData</t>
  </si>
  <si>
    <t xml:space="preserve">As one of the base methods of the Vision+ API, this method is used to create a company reference with a property, create tenancy on property and add one or more applicants to be referenced in that property, for systems that gather and provide all required company data up front. </t>
  </si>
  <si>
    <t>​/api​/workflow​/StandardIntegration​/CreateCompanyReferenceWithAllData</t>
  </si>
  <si>
    <t>CreateCompanyReferenceWithInputFromApplicant</t>
  </si>
  <si>
    <t xml:space="preserve">As another base methods of the Vision+ API, this method is used to create a company reference with a property, create tenancy on property and add one or more applicants to be referenced in that property, for systems that require the applicant to fill in their own data. 
On submission, an email will be sent to any Applicant in the application, with details on how to log on to the Vision+ Portal and complete the required referencing data. </t>
  </si>
  <si>
    <t>​/api​/workflow​/StandardIntegration​/CreateCompanyReferenceWithInputFromApplicant</t>
  </si>
  <si>
    <t>Entity Relationship Model</t>
  </si>
  <si>
    <t>Methods Used</t>
  </si>
  <si>
    <t>AmendApplicantType</t>
  </si>
  <si>
    <t>ID</t>
  </si>
  <si>
    <t>Vision+ API
Field
Name</t>
  </si>
  <si>
    <t>Field
Type</t>
  </si>
  <si>
    <t>API Max Field
Length</t>
  </si>
  <si>
    <t>Field 
Validations</t>
  </si>
  <si>
    <t>Field
Description</t>
  </si>
  <si>
    <t>Request</t>
  </si>
  <si>
    <t>Response</t>
  </si>
  <si>
    <t>Agent and Tenancy Data</t>
  </si>
  <si>
    <t>tenancyID</t>
  </si>
  <si>
    <t>string</t>
  </si>
  <si>
    <r>
      <t xml:space="preserve">TenancyID is a unique key value for an Agent Property with Active referencing requests linked to one or more Applicants. An Agent Property may have one or more TenancyID's with simultaneous Applicant reference requests.
TenancyID is created through API methods:
</t>
    </r>
    <r>
      <rPr>
        <b/>
        <sz val="10"/>
        <color theme="1"/>
        <rFont val="Calibri"/>
        <family val="2"/>
        <scheme val="minor"/>
      </rPr>
      <t>CreateReferenceWithAllData
CreateReferenceWithInputFromApplicant</t>
    </r>
    <r>
      <rPr>
        <sz val="10"/>
        <color theme="1"/>
        <rFont val="Calibri"/>
        <family val="2"/>
        <scheme val="minor"/>
      </rPr>
      <t xml:space="preserve">
</t>
    </r>
    <r>
      <rPr>
        <b/>
        <sz val="10"/>
        <color theme="1"/>
        <rFont val="Calibri"/>
        <family val="2"/>
        <scheme val="minor"/>
      </rPr>
      <t>CreateCompanyReferenceWithAllData
CreateCompanyReferenceWithInputFromApplicant</t>
    </r>
  </si>
  <si>
    <t>X</t>
  </si>
  <si>
    <t>applicantID</t>
  </si>
  <si>
    <r>
      <t xml:space="preserve">ApplicantID is a unique identifier for a person / Company to be referenced. ApplicantID may be linked to one or more TenancyID's executing in parallel.
ApplicantID is created through API Methods:
</t>
    </r>
    <r>
      <rPr>
        <b/>
        <sz val="10"/>
        <color theme="1"/>
        <rFont val="Calibri"/>
        <family val="2"/>
        <scheme val="minor"/>
      </rPr>
      <t>CreateReferenceWithAllData
CreateReferenceWithInputFromApplicant
CreateCompanyReferenceWithAllData
CreateCompanyReferenceWithInputFromApplicant
AddApplicantToTenancy</t>
    </r>
  </si>
  <si>
    <t>M</t>
  </si>
  <si>
    <t>agentCode</t>
  </si>
  <si>
    <t>AgentCode is the Unique Key provided to the Agent when onboarding as a Barbon Customer.
An AgentID may be linked to many Properties being managed by that Agent and Each property may be linked to 1 or more TenancyID's.</t>
  </si>
  <si>
    <t>Product</t>
  </si>
  <si>
    <t>Product is a return value for Product description for product(s) available and enabled for the API Authenticated Agent. This includes Referencing Products (Ultimate, Express etc..) and Other services such as Insurance products (Rent on Time, Rent Guarantee etc…) and Media and Utilities.</t>
  </si>
  <si>
    <t>rentGuarantee</t>
  </si>
  <si>
    <t>enum - Rent Guarantee</t>
  </si>
  <si>
    <t>Valid Values 1-4 (See enum definition)</t>
  </si>
  <si>
    <t xml:space="preserve">Rent guarantee is an indicator that determines which RG option if any  the agent requires </t>
  </si>
  <si>
    <t>tenancyTermMonths</t>
  </si>
  <si>
    <t>integer</t>
  </si>
  <si>
    <t>The term of the Tenancy in months (whole months only)</t>
  </si>
  <si>
    <t>monthlyRental</t>
  </si>
  <si>
    <t>number (double)</t>
  </si>
  <si>
    <t xml:space="preserve">	number($double)
pattern: ^\d*.\d{0,2}$</t>
  </si>
  <si>
    <t>The monthly rental cost</t>
  </si>
  <si>
    <t>lettingType</t>
  </si>
  <si>
    <t>enum - Letting Type</t>
  </si>
  <si>
    <t>Valid Values 1-3 (See enum definition)</t>
  </si>
  <si>
    <t>The type of the letting, i.e. rent only or fully managed</t>
  </si>
  <si>
    <t>estimatedMoveInDate</t>
  </si>
  <si>
    <t>string ($date-time)</t>
  </si>
  <si>
    <t>DD/MM/YYYY</t>
  </si>
  <si>
    <t>Estimated date of tenancy start (move in)</t>
  </si>
  <si>
    <t>propertyType</t>
  </si>
  <si>
    <t>enum - Property Type</t>
  </si>
  <si>
    <t>Valid Values 1-6 (See enum definition)</t>
  </si>
  <si>
    <t xml:space="preserve">The Type of property </t>
  </si>
  <si>
    <t>propertyConstructionPeriod</t>
  </si>
  <si>
    <t>enum - Property Construction Period</t>
  </si>
  <si>
    <t>Valid Values 1-9 (See enum definition)</t>
  </si>
  <si>
    <t>The time period in which the property was built</t>
  </si>
  <si>
    <t>numberOfBedrooms</t>
  </si>
  <si>
    <t>The count of bedrooms in the property</t>
  </si>
  <si>
    <t>noOfAdultOccupants</t>
  </si>
  <si>
    <t>Number of Adult occupants (18 or over)</t>
  </si>
  <si>
    <t>noOfChildOccupants</t>
  </si>
  <si>
    <t>Number of Child Occupants (under 18)</t>
  </si>
  <si>
    <t>Tenancy Address</t>
  </si>
  <si>
    <t>houseNumber</t>
  </si>
  <si>
    <t xml:space="preserve">The number of the property </t>
  </si>
  <si>
    <t>houseName</t>
  </si>
  <si>
    <t>The name of the property</t>
  </si>
  <si>
    <t>addressLine1</t>
  </si>
  <si>
    <t>The first line of the property address</t>
  </si>
  <si>
    <t>addressLine2</t>
  </si>
  <si>
    <t>The second line of the property address</t>
  </si>
  <si>
    <t>x</t>
  </si>
  <si>
    <t>town</t>
  </si>
  <si>
    <t>The town in which the property exists</t>
  </si>
  <si>
    <t>postcode</t>
  </si>
  <si>
    <t>the postcode of the property</t>
  </si>
  <si>
    <t>ukCountryCode</t>
  </si>
  <si>
    <t>enum - UK Country List</t>
  </si>
  <si>
    <t xml:space="preserve">The UK country Code </t>
  </si>
  <si>
    <t>Applicant Data (Tenant / Guarantor)</t>
  </si>
  <si>
    <t>Tenant Name and Contact Data</t>
  </si>
  <si>
    <t>ApplicantStatus</t>
  </si>
  <si>
    <t>enum -  Applicant Status</t>
  </si>
  <si>
    <t xml:space="preserve">A return value for the tenant's status (using method GetApplicantReferenceStatus)
</t>
  </si>
  <si>
    <t>OutcomeStatus</t>
  </si>
  <si>
    <t>enum - outcome</t>
  </si>
  <si>
    <t xml:space="preserve">A return value for the reference grading status (using method GetApplicantReferenceStatus)
</t>
  </si>
  <si>
    <t>tenantTypeId</t>
  </si>
  <si>
    <t>enum - Tenant Type</t>
  </si>
  <si>
    <t>The Type of the Tenant, e.g. lead or Guarantor</t>
  </si>
  <si>
    <t>referenceType</t>
  </si>
  <si>
    <t>enum - Reference Type</t>
  </si>
  <si>
    <t>Valid Values 1-2 (See enum definition)</t>
  </si>
  <si>
    <t>The Type of reference, e.g Full or Express</t>
  </si>
  <si>
    <t>rightToRent</t>
  </si>
  <si>
    <t>boolean</t>
  </si>
  <si>
    <t>Use Right to rent product for this reference</t>
  </si>
  <si>
    <t>title</t>
  </si>
  <si>
    <t>enum - Title</t>
  </si>
  <si>
    <t>Valid Values 1-7 (See enum definition)</t>
  </si>
  <si>
    <t>The persons title, e.g. Mr, Mrs, etc.</t>
  </si>
  <si>
    <t>otherTitle</t>
  </si>
  <si>
    <t>If other is chosen for title, this is a text field to enter the specific title</t>
  </si>
  <si>
    <t>firstName</t>
  </si>
  <si>
    <t>pattern: ^[a-zA-Z0-9\-' ]*$</t>
  </si>
  <si>
    <t>First name, validated against the RegEx pattern</t>
  </si>
  <si>
    <t>middleName</t>
  </si>
  <si>
    <t>Middle name, validated against the RegEx pattern</t>
  </si>
  <si>
    <t>surname</t>
  </si>
  <si>
    <t>Surname name, validated against the RegEx pattern</t>
  </si>
  <si>
    <t>shareOfRent</t>
  </si>
  <si>
    <t>pattern: ^\d*.\d{0,2}$</t>
  </si>
  <si>
    <t>GBP value of the applicants share of the rent</t>
  </si>
  <si>
    <t>dateOfBirth</t>
  </si>
  <si>
    <t>The date of birth, formatted DD-MM-YYYY</t>
  </si>
  <si>
    <t>companyName</t>
  </si>
  <si>
    <t>Name of the company</t>
  </si>
  <si>
    <t>companyRegistrationNumber</t>
  </si>
  <si>
    <t>Registration number of the company</t>
  </si>
  <si>
    <t>incorporationDate</t>
  </si>
  <si>
    <t>Incorperation date of the company, formatted DD-MM-YYYY</t>
  </si>
  <si>
    <t>telephoneCountryID</t>
  </si>
  <si>
    <t>enum -Country/Location Code</t>
  </si>
  <si>
    <t>Valid Values 1-239 (See enum definition)</t>
  </si>
  <si>
    <t>The country/location code of the phone number</t>
  </si>
  <si>
    <t>contactTelephoneNo</t>
  </si>
  <si>
    <t>pattern: ^(\d{11})$</t>
  </si>
  <si>
    <t xml:space="preserve">The telephone number </t>
  </si>
  <si>
    <t>emailAddress</t>
  </si>
  <si>
    <t>string ($email)</t>
  </si>
  <si>
    <t>pattern: ^(?!.*\.\.)(?!.*\\_\\_)(?!.*\-\-)[a-zA-Z0-9][-a-zA-Z0-9._]+[a-zA-Z0-9]@([-a-zA-Z0-9]+.)+[a-zA-Z]{2,5}$</t>
  </si>
  <si>
    <t>The email address</t>
  </si>
  <si>
    <t>mobileCountryId</t>
  </si>
  <si>
    <t>The country/location code of the mobile phone number</t>
  </si>
  <si>
    <t>mobileNumber</t>
  </si>
  <si>
    <t>The mobile phone number</t>
  </si>
  <si>
    <t>companyPositionId</t>
  </si>
  <si>
    <t>enum - Company Position</t>
  </si>
  <si>
    <t>The position / role at the company</t>
  </si>
  <si>
    <t>position</t>
  </si>
  <si>
    <t>If Other is chosen for position, this is a text field to enter the specific position</t>
  </si>
  <si>
    <t>isCompanyEmployee</t>
  </si>
  <si>
    <t>Is a company employee</t>
  </si>
  <si>
    <t>nationality</t>
  </si>
  <si>
    <t>enum - Nationality</t>
  </si>
  <si>
    <t>Valid Values 1-231 (See enum definition)</t>
  </si>
  <si>
    <t>The nationality, from the nationality enum list</t>
  </si>
  <si>
    <t>niNumber</t>
  </si>
  <si>
    <t>pattern: ^[a-zA-Z]{2}(?:\d){6}[a-zA-Z]{1}$</t>
  </si>
  <si>
    <t>NI Number, matched to RegEx pattern</t>
  </si>
  <si>
    <t>residentStatus</t>
  </si>
  <si>
    <t xml:space="preserve">enum - resident Status	</t>
  </si>
  <si>
    <t>Denotes the resident status e.g. UK resident</t>
  </si>
  <si>
    <t>additionalInformation</t>
  </si>
  <si>
    <t>Free text field for additional information</t>
  </si>
  <si>
    <t>isAdvanceRent</t>
  </si>
  <si>
    <t>Denotes whether rent is paid in advance</t>
  </si>
  <si>
    <t>Alias Data</t>
  </si>
  <si>
    <t>lastName</t>
  </si>
  <si>
    <t>nameChangeDate</t>
  </si>
  <si>
    <t>Date the name was changed, formatted DD/MM/YYYY</t>
  </si>
  <si>
    <t>Tenant Address Data</t>
  </si>
  <si>
    <t>country</t>
  </si>
  <si>
    <t>The Country code from the enum list, e.g. France</t>
  </si>
  <si>
    <t>isUKAddress</t>
  </si>
  <si>
    <t>Denotes if the address is in the UK</t>
  </si>
  <si>
    <t>addressTypeId</t>
  </si>
  <si>
    <t>enum - address Type</t>
  </si>
  <si>
    <t>Whether the address is current or previous, chosen from enum list</t>
  </si>
  <si>
    <t>monthMovedIn</t>
  </si>
  <si>
    <t>enum - month</t>
  </si>
  <si>
    <t>Valid Values 1-12 (Jan - Dec)</t>
  </si>
  <si>
    <t>Month the property was moved into, chosen from enum list</t>
  </si>
  <si>
    <t>yearMovedIn</t>
  </si>
  <si>
    <t>Valid Values 1900 - Current Year</t>
  </si>
  <si>
    <t>Year the property was moved into, formatted YYYY</t>
  </si>
  <si>
    <t>Tenant Residential Data</t>
  </si>
  <si>
    <t>currentResidentialStatus</t>
  </si>
  <si>
    <t>enum - residentStatus</t>
  </si>
  <si>
    <t>The current residential status, e.g. UK Resident</t>
  </si>
  <si>
    <t>currentRentAmount</t>
  </si>
  <si>
    <t>The current rent amount in GBP</t>
  </si>
  <si>
    <t>landlordName</t>
  </si>
  <si>
    <t>Full name of the Landlord</t>
  </si>
  <si>
    <t>landlordContactCountryId</t>
  </si>
  <si>
    <t>The country/location code of the landlord contact phone number</t>
  </si>
  <si>
    <t>landlordContactNumber</t>
  </si>
  <si>
    <t>The Landlords contact Telephone number</t>
  </si>
  <si>
    <t>landlordMobileCountryId</t>
  </si>
  <si>
    <t>The country/location code of the landlord mobile phone number</t>
  </si>
  <si>
    <t>landlordMobileNumber</t>
  </si>
  <si>
    <t>the landlords mobile Telephone number</t>
  </si>
  <si>
    <t>landlordEmail</t>
  </si>
  <si>
    <t>The landlords email address</t>
  </si>
  <si>
    <t>House Number</t>
  </si>
  <si>
    <t>House Name</t>
  </si>
  <si>
    <t>Adverse Data</t>
  </si>
  <si>
    <t>submittedisAdverseCredit</t>
  </si>
  <si>
    <t>Boolean for is adverse credit</t>
  </si>
  <si>
    <t>submittedisCCJ</t>
  </si>
  <si>
    <t>Boolean for is County court judgment</t>
  </si>
  <si>
    <t>submittedisBankruptcy</t>
  </si>
  <si>
    <t>Boolean for is bankruptcy</t>
  </si>
  <si>
    <t>SubmittedisInsolvency</t>
  </si>
  <si>
    <t>Boolean for is Insolvency</t>
  </si>
  <si>
    <t>submittedisOtherAdverseCredit</t>
  </si>
  <si>
    <t>Boolean for is other Adverse credit</t>
  </si>
  <si>
    <t>submittedOtherAdverseCreditDesc</t>
  </si>
  <si>
    <t>If submittedisOtherAdverseCredit is True, the free text field for adverse credit</t>
  </si>
  <si>
    <t>Applicant Income Data (Tenant / Guarantor)</t>
  </si>
  <si>
    <t>Income Type</t>
  </si>
  <si>
    <t>incomeTypeID</t>
  </si>
  <si>
    <t>enum - Income Type</t>
  </si>
  <si>
    <t>Valid Values 1,2,3,5,6,7,8 (See enum definition)</t>
  </si>
  <si>
    <t>The Income Type, e.g savings or employed</t>
  </si>
  <si>
    <t>incomeTermID</t>
  </si>
  <si>
    <t>enum - Income Term</t>
  </si>
  <si>
    <t>Income term, e.g monthly or weekly</t>
  </si>
  <si>
    <t>Employed</t>
  </si>
  <si>
    <t>countryOfEmployment</t>
  </si>
  <si>
    <t>The Country of employment, from the enum list, e.g. France</t>
  </si>
  <si>
    <t>employersName</t>
  </si>
  <si>
    <t>Name of the company the person is employed by</t>
  </si>
  <si>
    <t>jobTitle</t>
  </si>
  <si>
    <t>pattern: ^[A-Za-z ']+$</t>
  </si>
  <si>
    <t>Job title at the company the person is employed by</t>
  </si>
  <si>
    <t>startDateofEmployment</t>
  </si>
  <si>
    <t xml:space="preserve"> DD/MM/YYYY</t>
  </si>
  <si>
    <t>Start date of employment, formatted DD/MM/YYYY</t>
  </si>
  <si>
    <t>employmentGrossAnnualIncome</t>
  </si>
  <si>
    <t>Gross annual income in GBP</t>
  </si>
  <si>
    <t>employmentBonuses</t>
  </si>
  <si>
    <t>Denotes if bonuses are recieved from the company the person is employed by</t>
  </si>
  <si>
    <t>employmentOvertimeReceived</t>
  </si>
  <si>
    <t>Denotes if overtime is recieved from the company the person is employed by</t>
  </si>
  <si>
    <t>employmentBonusTerm</t>
  </si>
  <si>
    <t>employmentAvgBonusIncome</t>
  </si>
  <si>
    <t>Average bonus income in GBP</t>
  </si>
  <si>
    <t>employmentOvertimeTerm</t>
  </si>
  <si>
    <t>employmentOvertimeAvgIncome</t>
  </si>
  <si>
    <t>Average overtime income in GBP</t>
  </si>
  <si>
    <t>employmentEmployeeNumber</t>
  </si>
  <si>
    <t>Employee number from the company the person is employed by</t>
  </si>
  <si>
    <t>paymentScheduleId</t>
  </si>
  <si>
    <t xml:space="preserve">The schedule of the payments </t>
  </si>
  <si>
    <t>employmentRefereeName</t>
  </si>
  <si>
    <t>The fulll name of the employment referee</t>
  </si>
  <si>
    <t>employmentRefereeContactCountryID</t>
  </si>
  <si>
    <t>The country/location code of the employment referee contact phone number</t>
  </si>
  <si>
    <t>employmentRefereeContactNumber</t>
  </si>
  <si>
    <t>The emplyment referee contact phone number</t>
  </si>
  <si>
    <t>employmentRefereeMobileCountryID</t>
  </si>
  <si>
    <t>The country/location code of the employment referee mobile phone number</t>
  </si>
  <si>
    <t>employmentRefereeMobileNumber</t>
  </si>
  <si>
    <t>The employment referee mobile phone number</t>
  </si>
  <si>
    <t>employmentRefereeEmail</t>
  </si>
  <si>
    <t>The email address of the referee</t>
  </si>
  <si>
    <t>employmentRefereePosition</t>
  </si>
  <si>
    <t>The position of the employment referee in the company</t>
  </si>
  <si>
    <t>city</t>
  </si>
  <si>
    <t>postCode</t>
  </si>
  <si>
    <t>employmentTypeId</t>
  </si>
  <si>
    <t xml:space="preserve">enum - employmentTypeId	</t>
  </si>
  <si>
    <t>Employment Type from the enum lists, e.g. permenant full time</t>
  </si>
  <si>
    <t>employmentZeroHourContract</t>
  </si>
  <si>
    <t>Denotes if emplyed on a zero hour contract</t>
  </si>
  <si>
    <t>Self Employed</t>
  </si>
  <si>
    <t>tradingTypeId</t>
  </si>
  <si>
    <t>enum - tradingTypeId</t>
  </si>
  <si>
    <t>Valid Values  (See enum definition)</t>
  </si>
  <si>
    <t>The trading type of the self employed person</t>
  </si>
  <si>
    <t>startDateOfSelfEmployment</t>
  </si>
  <si>
    <t>Start date of self employment, formatted DD/MM/YYYY</t>
  </si>
  <si>
    <t>selfEmployedAnnualIncome</t>
  </si>
  <si>
    <t>The self employed annual income in GBP</t>
  </si>
  <si>
    <t>taxReturnSubmitted</t>
  </si>
  <si>
    <t>Denotes whether a tax return is submitted</t>
  </si>
  <si>
    <t>doesApplicantUseAccountant</t>
  </si>
  <si>
    <t>Denotes whether an accountacy firm is used</t>
  </si>
  <si>
    <t>accountantCompanyName</t>
  </si>
  <si>
    <t>The name of the accountancy company</t>
  </si>
  <si>
    <t>accountantContactName</t>
  </si>
  <si>
    <t>The Fulll name of the accountant company's contact</t>
  </si>
  <si>
    <t>accountantContactNoCountryId</t>
  </si>
  <si>
    <t>The country/location code of the Accountant contact phone number</t>
  </si>
  <si>
    <t>accountantContactNumber</t>
  </si>
  <si>
    <t>The Accountant contact phone number</t>
  </si>
  <si>
    <t>accountantMobileNoCountryId</t>
  </si>
  <si>
    <t>The country/location code of the Accountant mobile phone number</t>
  </si>
  <si>
    <t>accountantMobileNumber</t>
  </si>
  <si>
    <t>The Accountant mobile phone number</t>
  </si>
  <si>
    <t>accountantEmailAddress</t>
  </si>
  <si>
    <t>The Accountant email address</t>
  </si>
  <si>
    <t>accountantContactPosition</t>
  </si>
  <si>
    <t>The account contact's position in the company</t>
  </si>
  <si>
    <t>Pension</t>
  </si>
  <si>
    <t>pensionProvider</t>
  </si>
  <si>
    <t>Name of Pension Provider</t>
  </si>
  <si>
    <t>netMonthlyIncome</t>
  </si>
  <si>
    <t>number ($double)</t>
  </si>
  <si>
    <t>Amount of Net monthly income in GBP</t>
  </si>
  <si>
    <t>startDateOfPension</t>
  </si>
  <si>
    <t>Start date of pension, formated DD/MM/YYYY</t>
  </si>
  <si>
    <t>Investment</t>
  </si>
  <si>
    <t>investmentSchemeOrCompany</t>
  </si>
  <si>
    <t>Name of the investment scheme or company</t>
  </si>
  <si>
    <t>investmentAmount</t>
  </si>
  <si>
    <t>Amount of investment in GBP</t>
  </si>
  <si>
    <t>Savings</t>
  </si>
  <si>
    <t>Savings Amount</t>
  </si>
  <si>
    <t>Amount of savings in GBP</t>
  </si>
  <si>
    <t>Unemployed</t>
  </si>
  <si>
    <t>applicantBenefitsReceived</t>
  </si>
  <si>
    <t>Denotes if benefits are recieved</t>
  </si>
  <si>
    <t>taxCredit</t>
  </si>
  <si>
    <t>Denotes if is tax credit</t>
  </si>
  <si>
    <t>taxCreditTerm</t>
  </si>
  <si>
    <t>taxCreditAmount</t>
  </si>
  <si>
    <t>Amount of tax credit in GBP</t>
  </si>
  <si>
    <t>carerAllowance</t>
  </si>
  <si>
    <t>Denotes if carer allowance is received</t>
  </si>
  <si>
    <t>carerAllowanceTerm</t>
  </si>
  <si>
    <t>carerAllowanceAmount</t>
  </si>
  <si>
    <t>Amount of carer allowance in GBP</t>
  </si>
  <si>
    <t>childBenefit</t>
  </si>
  <si>
    <t>Denotes if child benfit is received</t>
  </si>
  <si>
    <t>childBenefitTerm</t>
  </si>
  <si>
    <t>childBenefitAmount</t>
  </si>
  <si>
    <t>Amount of child benefit in GBP</t>
  </si>
  <si>
    <t>disabilityBenefit</t>
  </si>
  <si>
    <t>Denotes if disablity Benefit is Recieved</t>
  </si>
  <si>
    <t>disabilityBenefitTerm</t>
  </si>
  <si>
    <t>disabilityBenefitAmount</t>
  </si>
  <si>
    <t>Amount of disablity benefit in GBP</t>
  </si>
  <si>
    <t>fosterAllowance</t>
  </si>
  <si>
    <t>Denotes if foster allowance is recieved</t>
  </si>
  <si>
    <t>fosterAllowanceTerm</t>
  </si>
  <si>
    <t>fosterAllowanceAmount</t>
  </si>
  <si>
    <t>Amount of foster allowance in GBP</t>
  </si>
  <si>
    <t>guardianAllowance</t>
  </si>
  <si>
    <t>Denotes if guardian allowance is recieved</t>
  </si>
  <si>
    <t>guardianAllowanceTerm</t>
  </si>
  <si>
    <t>guardianAllowanceAmount</t>
  </si>
  <si>
    <t>Amount of Guardian Allowance in GBP</t>
  </si>
  <si>
    <t>childMaintenance</t>
  </si>
  <si>
    <t>Denotes if Child maintenance is received</t>
  </si>
  <si>
    <t>childMaintenanceTerm</t>
  </si>
  <si>
    <t>childMaintenanceAmount</t>
  </si>
  <si>
    <t>Amount of child maintenance in GBP</t>
  </si>
  <si>
    <t>housingBenefit</t>
  </si>
  <si>
    <t>Denotes if shousing benefit is received</t>
  </si>
  <si>
    <t>housingBenefitTerm</t>
  </si>
  <si>
    <t>housingBenefitAmount</t>
  </si>
  <si>
    <t>Amount of housing benefit in GBP</t>
  </si>
  <si>
    <t>employmentSupport</t>
  </si>
  <si>
    <t>Denotes if employment support is received</t>
  </si>
  <si>
    <t>employmentSupportTerm</t>
  </si>
  <si>
    <t>employmentSupportAmount</t>
  </si>
  <si>
    <t>Amount of employment support amount in GBP</t>
  </si>
  <si>
    <t>universalCredit</t>
  </si>
  <si>
    <t>Denotes if universal is received</t>
  </si>
  <si>
    <t>universalCreditTerm</t>
  </si>
  <si>
    <t>universalCreditAmount</t>
  </si>
  <si>
    <t>Amount of universal credit in GBP</t>
  </si>
  <si>
    <t>Applicant Bank Data (Tenant / Guarantor)</t>
  </si>
  <si>
    <t>Bank Details</t>
  </si>
  <si>
    <t>bankName</t>
  </si>
  <si>
    <t>Name of the bank/building society</t>
  </si>
  <si>
    <t>bankAccountHolderName</t>
  </si>
  <si>
    <t>Name of the account holder for the bank/building society</t>
  </si>
  <si>
    <t>bankSortCode</t>
  </si>
  <si>
    <t>Sort code of the bank/building society account</t>
  </si>
  <si>
    <t>bankAccountNumber</t>
  </si>
  <si>
    <t>Account Number of the bank/building society account</t>
  </si>
  <si>
    <t>Additional Fields</t>
  </si>
  <si>
    <t>notes</t>
  </si>
  <si>
    <t>Free text notes field</t>
  </si>
  <si>
    <t>applicantIds</t>
  </si>
  <si>
    <r>
      <rPr>
        <sz val="10"/>
        <color rgb="FF000000"/>
        <rFont val="Calibri"/>
        <family val="2"/>
      </rPr>
      <t xml:space="preserve">Comma seperated list of </t>
    </r>
    <r>
      <rPr>
        <b/>
        <sz val="10"/>
        <color rgb="FF000000"/>
        <rFont val="Calibri"/>
        <family val="2"/>
      </rPr>
      <t xml:space="preserve">applicantID </t>
    </r>
    <r>
      <rPr>
        <sz val="10"/>
        <color rgb="FF000000"/>
        <rFont val="Calibri"/>
        <family val="2"/>
      </rPr>
      <t>strings</t>
    </r>
  </si>
  <si>
    <t>fileStream</t>
  </si>
  <si>
    <t>string - binary</t>
  </si>
  <si>
    <t xml:space="preserve">binary encoded filestream </t>
  </si>
  <si>
    <t>documentTypeId</t>
  </si>
  <si>
    <t>enum - Document Type</t>
  </si>
  <si>
    <t xml:space="preserve">Reference Document Type </t>
  </si>
  <si>
    <t>submittedAdverseCredit</t>
  </si>
  <si>
    <t>Adverse credit confirmation</t>
  </si>
  <si>
    <t>submittedCCJ</t>
  </si>
  <si>
    <t>Submitted CCJ confirmation</t>
  </si>
  <si>
    <t>submittedBankruptcy</t>
  </si>
  <si>
    <t>Submitted Bankruptcy confirmation</t>
  </si>
  <si>
    <t>isInsolvency</t>
  </si>
  <si>
    <t>Is Insolvancy</t>
  </si>
  <si>
    <t>submittedOtherAdverseCredit</t>
  </si>
  <si>
    <t>Submitted addtional adverse credit</t>
  </si>
  <si>
    <t>Description of addtional adverse credit</t>
  </si>
  <si>
    <t>savingsAmount</t>
  </si>
  <si>
    <t>The amount of savings in GBP, to the nearest whole number</t>
  </si>
  <si>
    <t>propertyTenancyId</t>
  </si>
  <si>
    <t>The ID of the property tenancy</t>
  </si>
  <si>
    <t>isSentTenantLink</t>
  </si>
  <si>
    <t>Denotes whether the Tentant link is sent</t>
  </si>
  <si>
    <t>linkedApplicantID</t>
  </si>
  <si>
    <t>The ID of the linked applicant</t>
  </si>
  <si>
    <t>scope</t>
  </si>
  <si>
    <t>string - constant</t>
  </si>
  <si>
    <t>Scope of the API Authentication, must always be: "standardapiaccess"</t>
  </si>
  <si>
    <t>client_id</t>
  </si>
  <si>
    <t>Client ID Authentication credentials provided to you on customer setup</t>
  </si>
  <si>
    <t>client_secret</t>
  </si>
  <si>
    <t>Client Secret Authentication credentials provided to you on customer setup</t>
  </si>
  <si>
    <t>success</t>
  </si>
  <si>
    <t>string - Boolean</t>
  </si>
  <si>
    <t>Returns true when successful connection</t>
  </si>
  <si>
    <t>payload</t>
  </si>
  <si>
    <t>Returns healthy when connection has worked properly</t>
  </si>
  <si>
    <t>message</t>
  </si>
  <si>
    <t>return value, null unless there has been error in connection</t>
  </si>
  <si>
    <t>cancellationreason</t>
  </si>
  <si>
    <t>enum - cancellation reason</t>
  </si>
  <si>
    <t>Reason for cancelling the reference request</t>
  </si>
  <si>
    <t>Employment Conditional Mandatory - if IncomeType =</t>
  </si>
  <si>
    <t>1. Employed</t>
  </si>
  <si>
    <t>2. Self Employed</t>
  </si>
  <si>
    <t>3. Pension</t>
  </si>
  <si>
    <t>4. Investment</t>
  </si>
  <si>
    <t>5. Savings</t>
  </si>
  <si>
    <t>6. Unemployed</t>
  </si>
  <si>
    <t>Enum Field</t>
  </si>
  <si>
    <t>Country/Location Code</t>
  </si>
  <si>
    <t>Description</t>
  </si>
  <si>
    <r>
      <t xml:space="preserve">The country or location - NB. includes legacy options </t>
    </r>
    <r>
      <rPr>
        <b/>
        <sz val="10"/>
        <color rgb="FFFF0000"/>
        <rFont val="Calibri"/>
        <family val="2"/>
      </rPr>
      <t xml:space="preserve">
</t>
    </r>
    <r>
      <rPr>
        <b/>
        <sz val="10"/>
        <color rgb="FFFFFFFF"/>
        <rFont val="Calibri"/>
        <family val="2"/>
      </rPr>
      <t xml:space="preserve">
Fields mapped to this enum list include:
telephoneCountryID
mobileCountryId
country
landlordContactCountryId
landlordMobileCountryId
countryOfEmployment
employmentRefereeContactCountryID
employmentRefereeMobileCountryID
accountantContactNoCountryId
accountantMobileNoCountryId
</t>
    </r>
  </si>
  <si>
    <t>Value ID</t>
  </si>
  <si>
    <t>Value Name</t>
  </si>
  <si>
    <t>Value Description</t>
  </si>
  <si>
    <t xml:space="preserve">Cyprus </t>
  </si>
  <si>
    <t xml:space="preserve">United Kingdom </t>
  </si>
  <si>
    <t xml:space="preserve">India </t>
  </si>
  <si>
    <t xml:space="preserve">USA </t>
  </si>
  <si>
    <t xml:space="preserve">Andorra </t>
  </si>
  <si>
    <t xml:space="preserve">United Arab Emirates </t>
  </si>
  <si>
    <t xml:space="preserve">Afghanistan </t>
  </si>
  <si>
    <t xml:space="preserve">Antigua and Barbuda </t>
  </si>
  <si>
    <t xml:space="preserve">Anguilla </t>
  </si>
  <si>
    <t xml:space="preserve">Albania </t>
  </si>
  <si>
    <t xml:space="preserve">Armenia </t>
  </si>
  <si>
    <t xml:space="preserve">Netherlands Antilles </t>
  </si>
  <si>
    <t xml:space="preserve">Angola </t>
  </si>
  <si>
    <t xml:space="preserve">Antarctica </t>
  </si>
  <si>
    <t xml:space="preserve">Argentina </t>
  </si>
  <si>
    <t xml:space="preserve">American Samoa </t>
  </si>
  <si>
    <t xml:space="preserve">Austria </t>
  </si>
  <si>
    <t xml:space="preserve">Australia </t>
  </si>
  <si>
    <t xml:space="preserve">Aruba </t>
  </si>
  <si>
    <t xml:space="preserve">Azerbaijan </t>
  </si>
  <si>
    <t xml:space="preserve">Bosnia and Herzegovina </t>
  </si>
  <si>
    <t xml:space="preserve">Barbados </t>
  </si>
  <si>
    <t xml:space="preserve">Bangladesh </t>
  </si>
  <si>
    <t xml:space="preserve">Belgium </t>
  </si>
  <si>
    <t xml:space="preserve">Burkina Faso </t>
  </si>
  <si>
    <t xml:space="preserve">Bulgaria </t>
  </si>
  <si>
    <t xml:space="preserve">Bahrain </t>
  </si>
  <si>
    <t xml:space="preserve">Burundi </t>
  </si>
  <si>
    <t xml:space="preserve">Benin </t>
  </si>
  <si>
    <t xml:space="preserve">Bermuda </t>
  </si>
  <si>
    <t xml:space="preserve">Brunei Darussalam </t>
  </si>
  <si>
    <t xml:space="preserve">Bolivia </t>
  </si>
  <si>
    <t xml:space="preserve">Brazil </t>
  </si>
  <si>
    <t xml:space="preserve">Bahamas </t>
  </si>
  <si>
    <t xml:space="preserve">Bhutan </t>
  </si>
  <si>
    <t xml:space="preserve">Bouvet Island </t>
  </si>
  <si>
    <t xml:space="preserve">Botswana </t>
  </si>
  <si>
    <t xml:space="preserve">Belarus </t>
  </si>
  <si>
    <t xml:space="preserve">Belize </t>
  </si>
  <si>
    <t xml:space="preserve">Canada </t>
  </si>
  <si>
    <t xml:space="preserve">Cocos Islands </t>
  </si>
  <si>
    <t xml:space="preserve">Central African Republic </t>
  </si>
  <si>
    <t xml:space="preserve">Congo </t>
  </si>
  <si>
    <t xml:space="preserve">Switzerland </t>
  </si>
  <si>
    <t xml:space="preserve">Cote Ivoire </t>
  </si>
  <si>
    <t xml:space="preserve">Cook Islands </t>
  </si>
  <si>
    <t xml:space="preserve">Chile </t>
  </si>
  <si>
    <t xml:space="preserve">Cameroon </t>
  </si>
  <si>
    <t xml:space="preserve">China </t>
  </si>
  <si>
    <t xml:space="preserve">Colombia </t>
  </si>
  <si>
    <t xml:space="preserve">Costa Rica </t>
  </si>
  <si>
    <t xml:space="preserve">Cuba </t>
  </si>
  <si>
    <t xml:space="preserve">Cape Verde </t>
  </si>
  <si>
    <t xml:space="preserve">Christmas Island </t>
  </si>
  <si>
    <t xml:space="preserve">Czech Republic </t>
  </si>
  <si>
    <t xml:space="preserve">Germany </t>
  </si>
  <si>
    <t xml:space="preserve">Djibouti </t>
  </si>
  <si>
    <t xml:space="preserve">Denmark </t>
  </si>
  <si>
    <t xml:space="preserve">Dominica </t>
  </si>
  <si>
    <t xml:space="preserve">Dominican Republic </t>
  </si>
  <si>
    <t xml:space="preserve">Algeria </t>
  </si>
  <si>
    <t xml:space="preserve">Ecuador </t>
  </si>
  <si>
    <t xml:space="preserve">Estonia </t>
  </si>
  <si>
    <t xml:space="preserve">Egypt </t>
  </si>
  <si>
    <t xml:space="preserve">Western Sahara </t>
  </si>
  <si>
    <t xml:space="preserve">Eritrea </t>
  </si>
  <si>
    <t xml:space="preserve">Spain </t>
  </si>
  <si>
    <t xml:space="preserve">Ethiopia </t>
  </si>
  <si>
    <t xml:space="preserve">Finland </t>
  </si>
  <si>
    <t xml:space="preserve">Fiji </t>
  </si>
  <si>
    <t xml:space="preserve">Falkland Islands Malvinas </t>
  </si>
  <si>
    <t xml:space="preserve">Micronesia Federated States </t>
  </si>
  <si>
    <t xml:space="preserve">Faro Islands </t>
  </si>
  <si>
    <t xml:space="preserve">France </t>
  </si>
  <si>
    <t xml:space="preserve">Gabon </t>
  </si>
  <si>
    <t xml:space="preserve">Grenada </t>
  </si>
  <si>
    <t xml:space="preserve">Georgia </t>
  </si>
  <si>
    <t xml:space="preserve">French Guiana </t>
  </si>
  <si>
    <t xml:space="preserve">Ghana </t>
  </si>
  <si>
    <t xml:space="preserve">Gibraltar </t>
  </si>
  <si>
    <t xml:space="preserve">Greenland </t>
  </si>
  <si>
    <t xml:space="preserve">Gambia </t>
  </si>
  <si>
    <t xml:space="preserve">Guinea </t>
  </si>
  <si>
    <t xml:space="preserve">Guadeloupe </t>
  </si>
  <si>
    <t xml:space="preserve">Equatorial Guinea </t>
  </si>
  <si>
    <t xml:space="preserve">Greece </t>
  </si>
  <si>
    <t xml:space="preserve">South Georgia </t>
  </si>
  <si>
    <t xml:space="preserve">Guatemala </t>
  </si>
  <si>
    <t xml:space="preserve">Guam </t>
  </si>
  <si>
    <t xml:space="preserve">Guinea Bissau </t>
  </si>
  <si>
    <t xml:space="preserve">Guyana </t>
  </si>
  <si>
    <t xml:space="preserve">Hong Kong </t>
  </si>
  <si>
    <t xml:space="preserve">Heard and McDonald Islands </t>
  </si>
  <si>
    <t xml:space="preserve">Honduras </t>
  </si>
  <si>
    <t xml:space="preserve">Croatia </t>
  </si>
  <si>
    <t xml:space="preserve">Haiti </t>
  </si>
  <si>
    <t xml:space="preserve">Hungary </t>
  </si>
  <si>
    <t xml:space="preserve">Indonesia </t>
  </si>
  <si>
    <t xml:space="preserve">Ireland </t>
  </si>
  <si>
    <t xml:space="preserve">Israel </t>
  </si>
  <si>
    <t xml:space="preserve">British Indian Ocean Territory </t>
  </si>
  <si>
    <t xml:space="preserve">Iraq </t>
  </si>
  <si>
    <t xml:space="preserve">Iran </t>
  </si>
  <si>
    <t xml:space="preserve">Iceland </t>
  </si>
  <si>
    <t xml:space="preserve">Italy </t>
  </si>
  <si>
    <t xml:space="preserve">Jamaica </t>
  </si>
  <si>
    <t xml:space="preserve">Jordan </t>
  </si>
  <si>
    <t xml:space="preserve">Japan </t>
  </si>
  <si>
    <t xml:space="preserve">Kenya </t>
  </si>
  <si>
    <t xml:space="preserve">Kyrgyzstan </t>
  </si>
  <si>
    <t xml:space="preserve">Cambodia </t>
  </si>
  <si>
    <t xml:space="preserve">Kiribati </t>
  </si>
  <si>
    <t xml:space="preserve">Comoros </t>
  </si>
  <si>
    <t xml:space="preserve">Saint Kitts and Nevis </t>
  </si>
  <si>
    <t xml:space="preserve">Korea Dem People’s Republic </t>
  </si>
  <si>
    <t xml:space="preserve">Korea Republic of </t>
  </si>
  <si>
    <t xml:space="preserve">Kuwait </t>
  </si>
  <si>
    <t xml:space="preserve">Cayman Islands </t>
  </si>
  <si>
    <t xml:space="preserve">Kazakhstan </t>
  </si>
  <si>
    <t xml:space="preserve">Lao Peoples Dem Republic </t>
  </si>
  <si>
    <t xml:space="preserve">Lebanon </t>
  </si>
  <si>
    <t xml:space="preserve">Saint Lucia </t>
  </si>
  <si>
    <t xml:space="preserve">Liechtenstein </t>
  </si>
  <si>
    <t xml:space="preserve">Sri Lanka </t>
  </si>
  <si>
    <t xml:space="preserve">Liberia </t>
  </si>
  <si>
    <t xml:space="preserve">Lesotho </t>
  </si>
  <si>
    <t xml:space="preserve">Lithuania </t>
  </si>
  <si>
    <t xml:space="preserve">Luxembourg </t>
  </si>
  <si>
    <t xml:space="preserve">Latvia </t>
  </si>
  <si>
    <t xml:space="preserve">Libyan Arab Jamahiriya </t>
  </si>
  <si>
    <t xml:space="preserve">Morocco </t>
  </si>
  <si>
    <t xml:space="preserve">Monaco </t>
  </si>
  <si>
    <t xml:space="preserve">Moldova Republic of </t>
  </si>
  <si>
    <t xml:space="preserve">Madagascar </t>
  </si>
  <si>
    <t xml:space="preserve">Marshall Islands </t>
  </si>
  <si>
    <t xml:space="preserve">Macedonia </t>
  </si>
  <si>
    <t xml:space="preserve">Mali </t>
  </si>
  <si>
    <t xml:space="preserve">Myanmar </t>
  </si>
  <si>
    <t xml:space="preserve">Mongolia </t>
  </si>
  <si>
    <t xml:space="preserve">Macau </t>
  </si>
  <si>
    <t xml:space="preserve">Northern Mariana Islands </t>
  </si>
  <si>
    <t xml:space="preserve">Martinique </t>
  </si>
  <si>
    <t xml:space="preserve">Mauritania </t>
  </si>
  <si>
    <t xml:space="preserve">Montserrat </t>
  </si>
  <si>
    <t xml:space="preserve">Malta </t>
  </si>
  <si>
    <t xml:space="preserve">Mauritius </t>
  </si>
  <si>
    <t xml:space="preserve">Maldives </t>
  </si>
  <si>
    <t xml:space="preserve">Malawi </t>
  </si>
  <si>
    <t xml:space="preserve">Mexico </t>
  </si>
  <si>
    <t xml:space="preserve">Malaysia </t>
  </si>
  <si>
    <t xml:space="preserve">Mozambique </t>
  </si>
  <si>
    <t xml:space="preserve">Namibia </t>
  </si>
  <si>
    <t xml:space="preserve">New Caledonia </t>
  </si>
  <si>
    <t xml:space="preserve">Niger </t>
  </si>
  <si>
    <t xml:space="preserve">Norfolk Island </t>
  </si>
  <si>
    <t xml:space="preserve">Nigeria </t>
  </si>
  <si>
    <t xml:space="preserve">Nicaragua </t>
  </si>
  <si>
    <t xml:space="preserve">Netherlands </t>
  </si>
  <si>
    <t xml:space="preserve">Norway </t>
  </si>
  <si>
    <t xml:space="preserve">Nepal </t>
  </si>
  <si>
    <t xml:space="preserve">Nauru </t>
  </si>
  <si>
    <t xml:space="preserve">Niue </t>
  </si>
  <si>
    <t xml:space="preserve">New Zealand </t>
  </si>
  <si>
    <t xml:space="preserve">Oman </t>
  </si>
  <si>
    <t xml:space="preserve">Panama </t>
  </si>
  <si>
    <t xml:space="preserve">Peru </t>
  </si>
  <si>
    <t xml:space="preserve">French Polynesia </t>
  </si>
  <si>
    <t xml:space="preserve">Papua New Guinea </t>
  </si>
  <si>
    <t xml:space="preserve">Philippines </t>
  </si>
  <si>
    <t xml:space="preserve">Pakistan </t>
  </si>
  <si>
    <t xml:space="preserve">Poland </t>
  </si>
  <si>
    <t xml:space="preserve">St Pierre And Miquelon </t>
  </si>
  <si>
    <t xml:space="preserve">Pitcairn </t>
  </si>
  <si>
    <t xml:space="preserve">Puerto Rico </t>
  </si>
  <si>
    <t xml:space="preserve">Portugal </t>
  </si>
  <si>
    <t xml:space="preserve">Palau </t>
  </si>
  <si>
    <t xml:space="preserve">Paraguay </t>
  </si>
  <si>
    <t xml:space="preserve">Qatar </t>
  </si>
  <si>
    <t xml:space="preserve">Reunion </t>
  </si>
  <si>
    <t xml:space="preserve">Romania </t>
  </si>
  <si>
    <t xml:space="preserve">Russian Federation </t>
  </si>
  <si>
    <t xml:space="preserve">Rwanda </t>
  </si>
  <si>
    <t xml:space="preserve">Saudi Arabia </t>
  </si>
  <si>
    <t xml:space="preserve">Solomon Islands </t>
  </si>
  <si>
    <t xml:space="preserve">Seychelles </t>
  </si>
  <si>
    <t xml:space="preserve">Sudan </t>
  </si>
  <si>
    <t xml:space="preserve">Sweden </t>
  </si>
  <si>
    <t xml:space="preserve">Singapore </t>
  </si>
  <si>
    <t xml:space="preserve">St Helena </t>
  </si>
  <si>
    <t xml:space="preserve">Slovenia </t>
  </si>
  <si>
    <t xml:space="preserve">Svalbard Jan Mayen Islands </t>
  </si>
  <si>
    <t xml:space="preserve">Sierra Leone </t>
  </si>
  <si>
    <t xml:space="preserve">San Marino </t>
  </si>
  <si>
    <t xml:space="preserve">Senegal </t>
  </si>
  <si>
    <t xml:space="preserve">Somalia </t>
  </si>
  <si>
    <t xml:space="preserve">Suriname </t>
  </si>
  <si>
    <t xml:space="preserve">Sao Tome and Principe </t>
  </si>
  <si>
    <t xml:space="preserve">El Salvador </t>
  </si>
  <si>
    <t xml:space="preserve">Syrian Arab Republic </t>
  </si>
  <si>
    <t xml:space="preserve">Swaziland </t>
  </si>
  <si>
    <t xml:space="preserve">Turks And Caicos Islands </t>
  </si>
  <si>
    <t xml:space="preserve">Chad </t>
  </si>
  <si>
    <t xml:space="preserve">French Southern Territories </t>
  </si>
  <si>
    <t xml:space="preserve">Togo </t>
  </si>
  <si>
    <t xml:space="preserve">Thailand </t>
  </si>
  <si>
    <t xml:space="preserve">Tajikistan </t>
  </si>
  <si>
    <t xml:space="preserve">Tokelau </t>
  </si>
  <si>
    <t xml:space="preserve">Turkmenistan </t>
  </si>
  <si>
    <t xml:space="preserve">Tunisia </t>
  </si>
  <si>
    <t xml:space="preserve">Tonga </t>
  </si>
  <si>
    <t xml:space="preserve">East Timor </t>
  </si>
  <si>
    <t xml:space="preserve">Turkey </t>
  </si>
  <si>
    <t xml:space="preserve">Trinidad and Tobago </t>
  </si>
  <si>
    <t xml:space="preserve">Tuvalu </t>
  </si>
  <si>
    <t xml:space="preserve">Taiwan </t>
  </si>
  <si>
    <t xml:space="preserve">Tanzania United Republic of </t>
  </si>
  <si>
    <t xml:space="preserve">Ukraine </t>
  </si>
  <si>
    <t xml:space="preserve">Uganda </t>
  </si>
  <si>
    <t xml:space="preserve">United States </t>
  </si>
  <si>
    <t xml:space="preserve">Uruguay </t>
  </si>
  <si>
    <t xml:space="preserve">Uzbekistan </t>
  </si>
  <si>
    <t xml:space="preserve">Saint Vincent The Grenadines </t>
  </si>
  <si>
    <t xml:space="preserve">Venezuela </t>
  </si>
  <si>
    <t xml:space="preserve">Vietnam </t>
  </si>
  <si>
    <t xml:space="preserve">Vanuatu </t>
  </si>
  <si>
    <t xml:space="preserve">Wallis And Futuna Islands </t>
  </si>
  <si>
    <t xml:space="preserve">Samoa </t>
  </si>
  <si>
    <t xml:space="preserve">Yemen </t>
  </si>
  <si>
    <t xml:space="preserve">Mayotte </t>
  </si>
  <si>
    <t xml:space="preserve">Yugoslavia </t>
  </si>
  <si>
    <t xml:space="preserve">South Africa </t>
  </si>
  <si>
    <t xml:space="preserve">Zambia </t>
  </si>
  <si>
    <t xml:space="preserve">Zaire </t>
  </si>
  <si>
    <t xml:space="preserve">Zimbabwe </t>
  </si>
  <si>
    <t>RentGuarantee</t>
  </si>
  <si>
    <t>Rent guarantee is a product option in Vision+ that provides a guaranteed payment of rent. The options for the rent guarantee are in the table</t>
  </si>
  <si>
    <t>Yes, Annual</t>
  </si>
  <si>
    <t>Yes, Monthly</t>
  </si>
  <si>
    <t>Tenant Evict Only</t>
  </si>
  <si>
    <t>No</t>
  </si>
  <si>
    <t>Title</t>
  </si>
  <si>
    <t>This is the name prefix for the tenant. If Other is chosen, a free text field is required to be filled in</t>
  </si>
  <si>
    <t>Mr</t>
  </si>
  <si>
    <t>Mrs</t>
  </si>
  <si>
    <t>Miss</t>
  </si>
  <si>
    <t>Dr</t>
  </si>
  <si>
    <t>Ms</t>
  </si>
  <si>
    <t>Other</t>
  </si>
  <si>
    <t>Free text field become mandatory</t>
  </si>
  <si>
    <t>Mx</t>
  </si>
  <si>
    <t>PropertyConstructionPeriod</t>
  </si>
  <si>
    <t>This is a range of years denoting the period in which the property was built</t>
  </si>
  <si>
    <t>Pre 1850</t>
  </si>
  <si>
    <t>1850 – 1899</t>
  </si>
  <si>
    <t>1900 – 1919</t>
  </si>
  <si>
    <t>1920 – 1945</t>
  </si>
  <si>
    <t>1946 – 1979</t>
  </si>
  <si>
    <t>1980 – 1990</t>
  </si>
  <si>
    <t>1991 – 2000</t>
  </si>
  <si>
    <t>2001 – 2010</t>
  </si>
  <si>
    <t>2011 +</t>
  </si>
  <si>
    <t>? Which field is this in the Create Request</t>
  </si>
  <si>
    <t>Other name that the tenant has been known by</t>
  </si>
  <si>
    <t>Other Name</t>
  </si>
  <si>
    <t>Another Name</t>
  </si>
  <si>
    <t>The standard month options</t>
  </si>
  <si>
    <t>January</t>
  </si>
  <si>
    <t>February</t>
  </si>
  <si>
    <t>March</t>
  </si>
  <si>
    <t>April</t>
  </si>
  <si>
    <t>May</t>
  </si>
  <si>
    <t>June</t>
  </si>
  <si>
    <t>July</t>
  </si>
  <si>
    <t>August</t>
  </si>
  <si>
    <t>September</t>
  </si>
  <si>
    <t>October</t>
  </si>
  <si>
    <t>November</t>
  </si>
  <si>
    <t>December</t>
  </si>
  <si>
    <t xml:space="preserve">TermType </t>
  </si>
  <si>
    <t>Term type details the period length of term for multiple uses such as dividend term.
Fields mapped to this enum list include:
employmentBonusTerm
employmentOvertimeTerm,
taxCreditTerm,
carerAllowanceTerm
childBenefitTerm
disabilityBenefitTerm
fosterAllowanceTerm
guardianAllowanceTerm
childMaintenanceTerm
housingBenefitTerm
universalCreditTerm</t>
  </si>
  <si>
    <t>Daily</t>
  </si>
  <si>
    <t>Weekly</t>
  </si>
  <si>
    <t>Two Weekly</t>
  </si>
  <si>
    <t>Four Weekly</t>
  </si>
  <si>
    <t xml:space="preserve">Monthly </t>
  </si>
  <si>
    <t>Quarterly</t>
  </si>
  <si>
    <t>Annually</t>
  </si>
  <si>
    <t>Payment schedule details the period length of term for payment schedule</t>
  </si>
  <si>
    <t>Monthly</t>
  </si>
  <si>
    <t>Yearly</t>
  </si>
  <si>
    <t xml:space="preserve">The type of property let </t>
  </si>
  <si>
    <t xml:space="preserve">Let Only </t>
  </si>
  <si>
    <t xml:space="preserve">Fully Managed </t>
  </si>
  <si>
    <t xml:space="preserve">Rent Collect </t>
  </si>
  <si>
    <t>OCR ROle</t>
  </si>
  <si>
    <t>The type of tenant</t>
  </si>
  <si>
    <t>Lead Tenant</t>
  </si>
  <si>
    <t>LeadTenant</t>
  </si>
  <si>
    <t>Tenant</t>
  </si>
  <si>
    <t>Permitted Occupier</t>
  </si>
  <si>
    <t>Guarantor</t>
  </si>
  <si>
    <t>Relevant Person</t>
  </si>
  <si>
    <t>Tenant - Company</t>
  </si>
  <si>
    <t>The type of employment the tenant has</t>
  </si>
  <si>
    <t>Permanent-Full Time</t>
  </si>
  <si>
    <t>Permanent-Part Time</t>
  </si>
  <si>
    <t>Temporary-Full Time</t>
  </si>
  <si>
    <t>Temporary -Part Time</t>
  </si>
  <si>
    <t>The trading type of the tenants company</t>
  </si>
  <si>
    <t>Sole Trader/Partner</t>
  </si>
  <si>
    <t>Limited Company</t>
  </si>
  <si>
    <t>N/A</t>
  </si>
  <si>
    <t>Not valid outside internal testing</t>
  </si>
  <si>
    <t>The type of tenant reference available to the agent.</t>
  </si>
  <si>
    <t>Full Reference</t>
  </si>
  <si>
    <t>Express Reference</t>
  </si>
  <si>
    <t>Nonreference</t>
  </si>
  <si>
    <t xml:space="preserve">The residential statement of the tenant </t>
  </si>
  <si>
    <t>UK Resident</t>
  </si>
  <si>
    <t>Overseas</t>
  </si>
  <si>
    <t>The position of the tenant in the tenants company</t>
  </si>
  <si>
    <t>An Active Company Director</t>
  </si>
  <si>
    <t>Secretary</t>
  </si>
  <si>
    <t>Power of Attorney</t>
  </si>
  <si>
    <t xml:space="preserve">Address Type, whether current or previous </t>
  </si>
  <si>
    <t>Current</t>
  </si>
  <si>
    <t>Previous</t>
  </si>
  <si>
    <t>The type of income the tenant has</t>
  </si>
  <si>
    <t>Student</t>
  </si>
  <si>
    <t>Investments</t>
  </si>
  <si>
    <t xml:space="preserve">   IncomeStatus</t>
  </si>
  <si>
    <t xml:space="preserve">The tenants income status </t>
  </si>
  <si>
    <t>Current Income</t>
  </si>
  <si>
    <t>Future Income</t>
  </si>
  <si>
    <t>Additional Income</t>
  </si>
  <si>
    <t>Secondary</t>
  </si>
  <si>
    <t>Tenants Reference Status</t>
  </si>
  <si>
    <t>The values returned from GetApplicantReference Status</t>
  </si>
  <si>
    <t>Submitted</t>
  </si>
  <si>
    <t>Graded</t>
  </si>
  <si>
    <t>Removed</t>
  </si>
  <si>
    <t>documentTypeID</t>
  </si>
  <si>
    <t>The various types of document that the API will allow to be uploaded for supporting the tenant referencing journey.</t>
  </si>
  <si>
    <t>Driving license</t>
  </si>
  <si>
    <t>Utility bill</t>
  </si>
  <si>
    <t>Council Tax bill</t>
  </si>
  <si>
    <t>Home service provider bill</t>
  </si>
  <si>
    <t>TV license</t>
  </si>
  <si>
    <t>Home insurance policy schedule</t>
  </si>
  <si>
    <t>Mortgage statement</t>
  </si>
  <si>
    <t>Tenancy agreement</t>
  </si>
  <si>
    <t>Letter from the employer</t>
  </si>
  <si>
    <t>Local housing allowance or housing benefit</t>
  </si>
  <si>
    <t>Bank or credit card statement</t>
  </si>
  <si>
    <t>Tenancy Agreement</t>
  </si>
  <si>
    <t>Proof of Payment 1</t>
  </si>
  <si>
    <t>Proof of Payment 2</t>
  </si>
  <si>
    <t>Proof of Payment 3</t>
  </si>
  <si>
    <t>Proof of Payment 4</t>
  </si>
  <si>
    <t>Proof of Payment 5</t>
  </si>
  <si>
    <t>Proof of Payment 6</t>
  </si>
  <si>
    <t>Payslip 1</t>
  </si>
  <si>
    <t>Payslip 2</t>
  </si>
  <si>
    <t>Payslip 3</t>
  </si>
  <si>
    <t>Bank Statement 1</t>
  </si>
  <si>
    <t>Bank Statement 2</t>
  </si>
  <si>
    <t>Bank Statement 3</t>
  </si>
  <si>
    <t>Bank Statement 4</t>
  </si>
  <si>
    <t>Bank Statement 5</t>
  </si>
  <si>
    <t>Bank Statement 6</t>
  </si>
  <si>
    <t>HMRC SA100</t>
  </si>
  <si>
    <t>SA 302</t>
  </si>
  <si>
    <t>Month Bank Statement 1</t>
  </si>
  <si>
    <t>Month Bank Statement 2</t>
  </si>
  <si>
    <t>Month Bank Statement 3</t>
  </si>
  <si>
    <t>P60</t>
  </si>
  <si>
    <t>Pension Statement</t>
  </si>
  <si>
    <t>Bank Statement</t>
  </si>
  <si>
    <t>Savings Statement</t>
  </si>
  <si>
    <t>Last Bank Statement</t>
  </si>
  <si>
    <t>Investments Portfolio</t>
  </si>
  <si>
    <t>Bonds</t>
  </si>
  <si>
    <t>Tax Return</t>
  </si>
  <si>
    <t>Additional</t>
  </si>
  <si>
    <t>Final Report</t>
  </si>
  <si>
    <t>Application Form</t>
  </si>
  <si>
    <t>Interim Report</t>
  </si>
  <si>
    <t>Consent</t>
  </si>
  <si>
    <t>Current drivers license</t>
  </si>
  <si>
    <t>Birth certificate</t>
  </si>
  <si>
    <t>Adoption certificate</t>
  </si>
  <si>
    <t>Benefits document/screenshot from within the last 3 months</t>
  </si>
  <si>
    <t>Disclose and Barring Certificate from within the last 3 months</t>
  </si>
  <si>
    <t>A letter of attestation from your employer/education institution/a professional person</t>
  </si>
  <si>
    <t>Front of residence permit</t>
  </si>
  <si>
    <t>Back of residence permit</t>
  </si>
  <si>
    <t>Passport</t>
  </si>
  <si>
    <t>Travel document</t>
  </si>
  <si>
    <t>UK Country ID</t>
  </si>
  <si>
    <t>The UK country ID</t>
  </si>
  <si>
    <t>England</t>
  </si>
  <si>
    <t>Scotland</t>
  </si>
  <si>
    <t>Wales</t>
  </si>
  <si>
    <t>Northern Ireland</t>
  </si>
  <si>
    <t>Property Type</t>
  </si>
  <si>
    <t>The type of the property</t>
  </si>
  <si>
    <t>Detached</t>
  </si>
  <si>
    <t>Semi-Detached</t>
  </si>
  <si>
    <t>Flat</t>
  </si>
  <si>
    <t>Terraced</t>
  </si>
  <si>
    <t>Bungalow</t>
  </si>
  <si>
    <t>Other </t>
  </si>
  <si>
    <t>Outcome</t>
  </si>
  <si>
    <t>Outcome from the reference</t>
  </si>
  <si>
    <t>Acceptable</t>
  </si>
  <si>
    <t>Guarantor Required</t>
  </si>
  <si>
    <t>Incomplete</t>
  </si>
  <si>
    <t>Not Acceptable</t>
  </si>
  <si>
    <t>Applicant Status</t>
  </si>
  <si>
    <t>Status of the reference</t>
  </si>
  <si>
    <t>Not yet completed reference application</t>
  </si>
  <si>
    <t>Awaiting Details</t>
  </si>
  <si>
    <t>awaiting input from applicant</t>
  </si>
  <si>
    <t>In Progress</t>
  </si>
  <si>
    <t>Details provided, reference in progress</t>
  </si>
  <si>
    <t>Complete</t>
  </si>
  <si>
    <t>reference completed</t>
  </si>
  <si>
    <t>Approve</t>
  </si>
  <si>
    <t>awaiting approval</t>
  </si>
  <si>
    <t>Awaiting Review</t>
  </si>
  <si>
    <t>Awaiting review</t>
  </si>
  <si>
    <t>Deleted</t>
  </si>
  <si>
    <t>Reference Deleted</t>
  </si>
  <si>
    <t>Cancellation Reason</t>
  </si>
  <si>
    <t>Applicants no longer wish to proceed</t>
  </si>
  <si>
    <t>Applicant decided not to proceed</t>
  </si>
  <si>
    <t>Landlord no longer wishes to proceed</t>
  </si>
  <si>
    <t>Landlord decided not to proceed</t>
  </si>
  <si>
    <t>Tenancy is not going ahead</t>
  </si>
  <si>
    <t>Tenancy no going ahead for any other reason</t>
  </si>
  <si>
    <t>The country or location - NB includes legacy options</t>
  </si>
  <si>
    <t>Afghan</t>
  </si>
  <si>
    <t>Albanian</t>
  </si>
  <si>
    <t>Algerian</t>
  </si>
  <si>
    <t>American</t>
  </si>
  <si>
    <t>Andorran</t>
  </si>
  <si>
    <t>Angolan</t>
  </si>
  <si>
    <t>Anguillan</t>
  </si>
  <si>
    <t>Citizen of Antigua and Barbuda</t>
  </si>
  <si>
    <t>Argentine</t>
  </si>
  <si>
    <t>Armenian</t>
  </si>
  <si>
    <t>Australian</t>
  </si>
  <si>
    <t>Austrian</t>
  </si>
  <si>
    <t>Azerbaijani</t>
  </si>
  <si>
    <t>Bahamian</t>
  </si>
  <si>
    <t>Bahraini</t>
  </si>
  <si>
    <t>Bangladeshi</t>
  </si>
  <si>
    <t>Barbadian</t>
  </si>
  <si>
    <t>Belarusian</t>
  </si>
  <si>
    <t>Belgian</t>
  </si>
  <si>
    <t>Belizean</t>
  </si>
  <si>
    <t>Beninese</t>
  </si>
  <si>
    <t>Bermudian</t>
  </si>
  <si>
    <t>Bhutanese</t>
  </si>
  <si>
    <t>Bolivian</t>
  </si>
  <si>
    <t>Citizen of Bosnia and Herzegovina</t>
  </si>
  <si>
    <t>Botswanan</t>
  </si>
  <si>
    <t>Brazilian</t>
  </si>
  <si>
    <t>British</t>
  </si>
  <si>
    <t>British Virgin Islander</t>
  </si>
  <si>
    <t>Bruneian</t>
  </si>
  <si>
    <t>Bulgarian</t>
  </si>
  <si>
    <t>Burkinan</t>
  </si>
  <si>
    <t>Burmese</t>
  </si>
  <si>
    <t>Burundian</t>
  </si>
  <si>
    <t>Cambodian</t>
  </si>
  <si>
    <t>Cameroonian</t>
  </si>
  <si>
    <t>Canadian</t>
  </si>
  <si>
    <t>Cape Verdean</t>
  </si>
  <si>
    <t>Cayman Islander</t>
  </si>
  <si>
    <t>Central African</t>
  </si>
  <si>
    <t>Chadian</t>
  </si>
  <si>
    <t>Chilean</t>
  </si>
  <si>
    <t>Chinese</t>
  </si>
  <si>
    <t>Colombian</t>
  </si>
  <si>
    <t>Comoran</t>
  </si>
  <si>
    <t>Congolese</t>
  </si>
  <si>
    <t>Cook Islander</t>
  </si>
  <si>
    <t>Costa Rican</t>
  </si>
  <si>
    <t>Croatian</t>
  </si>
  <si>
    <t>Cuban</t>
  </si>
  <si>
    <t>Cymraes</t>
  </si>
  <si>
    <t>Cymro</t>
  </si>
  <si>
    <t>Cypriot</t>
  </si>
  <si>
    <t>Czech</t>
  </si>
  <si>
    <t>Danish</t>
  </si>
  <si>
    <t>Djiboutian</t>
  </si>
  <si>
    <t>Dominican</t>
  </si>
  <si>
    <t>Citizen of the Dominican Republic</t>
  </si>
  <si>
    <t>Dutch</t>
  </si>
  <si>
    <t>East Timorese</t>
  </si>
  <si>
    <t>Ecuadorean</t>
  </si>
  <si>
    <t>Egyptian</t>
  </si>
  <si>
    <t>Emirati</t>
  </si>
  <si>
    <t>English</t>
  </si>
  <si>
    <t>Equatorial Guinean</t>
  </si>
  <si>
    <t>Eritrean</t>
  </si>
  <si>
    <t>Estonian</t>
  </si>
  <si>
    <t>Ethiopian</t>
  </si>
  <si>
    <t>Faroese</t>
  </si>
  <si>
    <t>Fijian</t>
  </si>
  <si>
    <t>Filipino</t>
  </si>
  <si>
    <t>French</t>
  </si>
  <si>
    <t>Gabonese</t>
  </si>
  <si>
    <t>Gambian</t>
  </si>
  <si>
    <t>Georgian</t>
  </si>
  <si>
    <t>German</t>
  </si>
  <si>
    <t>Ghanaian</t>
  </si>
  <si>
    <t>Gibraltarian</t>
  </si>
  <si>
    <t>Greek</t>
  </si>
  <si>
    <t>Greenlandic</t>
  </si>
  <si>
    <t>Grenadian</t>
  </si>
  <si>
    <t>Guamanian</t>
  </si>
  <si>
    <t>Guatemalan</t>
  </si>
  <si>
    <t>Citizen of Guinea-Bissau</t>
  </si>
  <si>
    <t>Guinean</t>
  </si>
  <si>
    <t>Guyanese</t>
  </si>
  <si>
    <t>Haitian</t>
  </si>
  <si>
    <t>Honduran</t>
  </si>
  <si>
    <t>Hong Konger</t>
  </si>
  <si>
    <t>Hungarian</t>
  </si>
  <si>
    <t>Icelandic</t>
  </si>
  <si>
    <t>Indian</t>
  </si>
  <si>
    <t>Indonesian</t>
  </si>
  <si>
    <t>Iranian</t>
  </si>
  <si>
    <t>Iraqi</t>
  </si>
  <si>
    <t>Irish</t>
  </si>
  <si>
    <t>Israeli</t>
  </si>
  <si>
    <t>Italian</t>
  </si>
  <si>
    <t>Ivorian</t>
  </si>
  <si>
    <t>Jamaican</t>
  </si>
  <si>
    <t>Japanese</t>
  </si>
  <si>
    <t>Jordanian</t>
  </si>
  <si>
    <t>Kazakh</t>
  </si>
  <si>
    <t>Kenyan</t>
  </si>
  <si>
    <t>Kittitian</t>
  </si>
  <si>
    <t>Citizen of Kiribati</t>
  </si>
  <si>
    <t>Kosovan</t>
  </si>
  <si>
    <t>Kuwaiti</t>
  </si>
  <si>
    <t>Kyrgyz</t>
  </si>
  <si>
    <t>Lao</t>
  </si>
  <si>
    <t>Latvian</t>
  </si>
  <si>
    <t>Lebanese</t>
  </si>
  <si>
    <t>Liberian</t>
  </si>
  <si>
    <t>Libyan</t>
  </si>
  <si>
    <t>Liechtenstein citizen</t>
  </si>
  <si>
    <t>Lithuanian</t>
  </si>
  <si>
    <t>Luxembourger</t>
  </si>
  <si>
    <t>Macanese</t>
  </si>
  <si>
    <t>Macedonian (FYRO)</t>
  </si>
  <si>
    <t>Malagasy</t>
  </si>
  <si>
    <t>Malawian</t>
  </si>
  <si>
    <t>Malaysian</t>
  </si>
  <si>
    <t>Maldivian</t>
  </si>
  <si>
    <t>Malian</t>
  </si>
  <si>
    <t>Maltese</t>
  </si>
  <si>
    <t>Marshallese</t>
  </si>
  <si>
    <t>Martiniquais</t>
  </si>
  <si>
    <t>Mauritanian</t>
  </si>
  <si>
    <t>Mauritian</t>
  </si>
  <si>
    <t>Mexican</t>
  </si>
  <si>
    <t>Micronesian</t>
  </si>
  <si>
    <t>Moldovan</t>
  </si>
  <si>
    <t>Monegasque</t>
  </si>
  <si>
    <t>Mongolian</t>
  </si>
  <si>
    <t>Montenegrin</t>
  </si>
  <si>
    <t>Montserratian</t>
  </si>
  <si>
    <t>Moroccan</t>
  </si>
  <si>
    <t>Mosotho</t>
  </si>
  <si>
    <t>Mozambican</t>
  </si>
  <si>
    <t>Namibian</t>
  </si>
  <si>
    <t>Nauruan</t>
  </si>
  <si>
    <t>Nepalese</t>
  </si>
  <si>
    <t>New Zealander</t>
  </si>
  <si>
    <t>Nicaraguan</t>
  </si>
  <si>
    <t>Nigerian</t>
  </si>
  <si>
    <t>Nigerien</t>
  </si>
  <si>
    <t>Niuean</t>
  </si>
  <si>
    <t>North Korean</t>
  </si>
  <si>
    <t>Northern Irish</t>
  </si>
  <si>
    <t>Norwegian</t>
  </si>
  <si>
    <t>Omani</t>
  </si>
  <si>
    <t>Pakistani</t>
  </si>
  <si>
    <t>Palauan</t>
  </si>
  <si>
    <t>Palestinian</t>
  </si>
  <si>
    <t>Panamanian</t>
  </si>
  <si>
    <t>Papua New Guinean</t>
  </si>
  <si>
    <t>Paraguayan</t>
  </si>
  <si>
    <t>Peruvian</t>
  </si>
  <si>
    <t>Pitcairn Islander</t>
  </si>
  <si>
    <t>Polish</t>
  </si>
  <si>
    <t>Portuguese</t>
  </si>
  <si>
    <t>Prydeinig</t>
  </si>
  <si>
    <t>Puerto Rican</t>
  </si>
  <si>
    <t>Qatari</t>
  </si>
  <si>
    <t>Romanian</t>
  </si>
  <si>
    <t>Russian</t>
  </si>
  <si>
    <t>Rwandan</t>
  </si>
  <si>
    <t>Salvadorean</t>
  </si>
  <si>
    <t>Sammarinese</t>
  </si>
  <si>
    <t>Samoan</t>
  </si>
  <si>
    <t>Sao Tomean</t>
  </si>
  <si>
    <t>Saudi Arabian</t>
  </si>
  <si>
    <t>Scottish</t>
  </si>
  <si>
    <t>Senegalese</t>
  </si>
  <si>
    <t>Serbian</t>
  </si>
  <si>
    <t>Citizen of Seychelles</t>
  </si>
  <si>
    <t>Sierra Leonean</t>
  </si>
  <si>
    <t>Singaporean</t>
  </si>
  <si>
    <t>Slovak</t>
  </si>
  <si>
    <t>Slovenian</t>
  </si>
  <si>
    <t>Solomon Islander</t>
  </si>
  <si>
    <t>Somali</t>
  </si>
  <si>
    <t>South African</t>
  </si>
  <si>
    <t>South Korean</t>
  </si>
  <si>
    <t>South Sudanese</t>
  </si>
  <si>
    <t>Spanish</t>
  </si>
  <si>
    <t>Sri Lankan</t>
  </si>
  <si>
    <t>St Helenian</t>
  </si>
  <si>
    <t>St Lucian</t>
  </si>
  <si>
    <t>Stateless</t>
  </si>
  <si>
    <t>Sudanese</t>
  </si>
  <si>
    <t>Surinamese</t>
  </si>
  <si>
    <t>Swazi</t>
  </si>
  <si>
    <t>Swedish</t>
  </si>
  <si>
    <t>Swiss</t>
  </si>
  <si>
    <t>Syrian</t>
  </si>
  <si>
    <t>Taiwanese</t>
  </si>
  <si>
    <t>Tajik</t>
  </si>
  <si>
    <t>Tanzanian</t>
  </si>
  <si>
    <t>Thai</t>
  </si>
  <si>
    <t>Togolese</t>
  </si>
  <si>
    <t>Tongan</t>
  </si>
  <si>
    <t>Trinidadian</t>
  </si>
  <si>
    <t>Tristanian</t>
  </si>
  <si>
    <t>Tunisian</t>
  </si>
  <si>
    <t>Turkish</t>
  </si>
  <si>
    <t>Turkmen</t>
  </si>
  <si>
    <t>Turks and Caicos Islander</t>
  </si>
  <si>
    <t>Tuvaluan</t>
  </si>
  <si>
    <t>Ugandan</t>
  </si>
  <si>
    <t>Ukrainian</t>
  </si>
  <si>
    <t>Uruguayan</t>
  </si>
  <si>
    <t>Uzbek</t>
  </si>
  <si>
    <t>Vatican citizen</t>
  </si>
  <si>
    <t>Citizen of Vanuatu</t>
  </si>
  <si>
    <t>Venezuelan</t>
  </si>
  <si>
    <t>Vietnamese</t>
  </si>
  <si>
    <t>Vincentian</t>
  </si>
  <si>
    <t>Wallisian</t>
  </si>
  <si>
    <t>Welsh</t>
  </si>
  <si>
    <t>Yemeni</t>
  </si>
  <si>
    <t>Zambian</t>
  </si>
  <si>
    <t>Zimbabwean</t>
  </si>
  <si>
    <t>Antarctician</t>
  </si>
  <si>
    <t>Aruban</t>
  </si>
  <si>
    <t>Finnish</t>
  </si>
  <si>
    <t>British Islands</t>
  </si>
  <si>
    <t>British Overseas Territories</t>
  </si>
  <si>
    <t>Not Specified</t>
  </si>
  <si>
    <t>American Islander</t>
  </si>
  <si>
    <t>Zairian</t>
  </si>
  <si>
    <t>SF Mapping Details</t>
  </si>
  <si>
    <t>SF Field Mapping</t>
  </si>
  <si>
    <t xml:space="preserve"> CreateReferenceWithInputFromApplicant Example JSON</t>
  </si>
  <si>
    <t>Vision+ API Field Name</t>
  </si>
  <si>
    <t>Mandatory Field</t>
  </si>
  <si>
    <t>Field Type</t>
  </si>
  <si>
    <t>Field Description</t>
  </si>
  <si>
    <t>Request Example</t>
  </si>
  <si>
    <t>{</t>
  </si>
  <si>
    <t>Referencing_HL_Auth_Setting__mdt.Agent_Code__c;</t>
  </si>
  <si>
    <t xml:space="preserve">  "agentCode": "9999",</t>
  </si>
  <si>
    <t>&lt;hard code to 4&gt;</t>
  </si>
  <si>
    <t xml:space="preserve">  "rentGuarantee": 4,</t>
  </si>
  <si>
    <t>opp.Agreed_Terms__c</t>
  </si>
  <si>
    <t xml:space="preserve">  "tenancyTermMonths": 12,</t>
  </si>
  <si>
    <t>opp.Monthly_Price__c</t>
  </si>
  <si>
    <t xml:space="preserve">  "monthlyRental": 2000,</t>
  </si>
  <si>
    <t>&lt;hard code to 2&gt;</t>
  </si>
  <si>
    <t xml:space="preserve">  "lettingType": 1,</t>
  </si>
  <si>
    <t>opp.Move_In_Date__c</t>
  </si>
  <si>
    <t xml:space="preserve">  "estimatedMoveInDate": "2023-04-01T10:55:02.383Z",</t>
  </si>
  <si>
    <t>SF Picklist vs Homelet Enums //TODO</t>
  </si>
  <si>
    <t>&lt;check with HomeLet if we can hard code to "Other"&gt;
Referencing_HL_Mapping_Constant__mdt.propertyType = 6</t>
  </si>
  <si>
    <t xml:space="preserve">  "propertyType": 1,</t>
  </si>
  <si>
    <t xml:space="preserve">  "propertyConstructionPeriod": 4,</t>
  </si>
  <si>
    <t>opp.Primary_Offer__r.Unit__r.Bedrooms__c</t>
  </si>
  <si>
    <t xml:space="preserve">  "numberOfBedrooms": 4,</t>
  </si>
  <si>
    <r>
      <rPr>
        <strike/>
        <sz val="11"/>
        <color rgb="FF000000"/>
        <rFont val="Calibri"/>
      </rPr>
      <t xml:space="preserve">opp.Number_of_occupants__c </t>
    </r>
    <r>
      <rPr>
        <sz val="11"/>
        <color rgb="FF000000"/>
        <rFont val="Calibri"/>
      </rPr>
      <t xml:space="preserve"> count number of OpportunityContactRole records where role in (Lead Tenant,Tenant,Permitted Occupier) and OpportunityContactRole.Active__c = true</t>
    </r>
  </si>
  <si>
    <t xml:space="preserve">  "noOfAdultOccupants": 2,</t>
  </si>
  <si>
    <t xml:space="preserve">  "noOfChildOccupants": 2,</t>
  </si>
  <si>
    <t>opp.Advance_Paid__c</t>
  </si>
  <si>
    <t xml:space="preserve">  "isAdvanceRent": false,</t>
  </si>
  <si>
    <t xml:space="preserve">  "propertyAddress": {</t>
  </si>
  <si>
    <t>&lt;Split Primary_Offer__r.Unit__r.Street_Name__c  on comma&gt;[2][1][0]</t>
  </si>
  <si>
    <t xml:space="preserve">    "houseNumber": "Apartment 42",</t>
  </si>
  <si>
    <t>&lt;Split Primary_Offer__r.Unit__r.Street_Name__c  on comma&gt;[1][0]</t>
  </si>
  <si>
    <t xml:space="preserve">    "houseName": "3 Millet Place",</t>
  </si>
  <si>
    <t>&lt;Split Primary_Offer__r.Unit__r.Street_Name__c  on comma&gt;[0][0][0]</t>
  </si>
  <si>
    <t xml:space="preserve">    "addressLine1": "Adlay Apartments",</t>
  </si>
  <si>
    <t xml:space="preserve">    "addressLine2": "Parkway",</t>
  </si>
  <si>
    <t>Primary_Offer__r.Unit__r.City__c </t>
  </si>
  <si>
    <t xml:space="preserve">    "town": "Aberdare",</t>
  </si>
  <si>
    <t>Primary_Offer__r.Unit__r.Post_Code__c</t>
  </si>
  <si>
    <t xml:space="preserve">    "postcode": "CF44 8BE",</t>
  </si>
  <si>
    <t>&lt;Hard code to 1 for now - will need to address for later when building in Wales goes live&gt;</t>
  </si>
  <si>
    <t xml:space="preserve">    "ukCountryCode": 3</t>
  </si>
  <si>
    <t xml:space="preserve">  },</t>
  </si>
  <si>
    <t xml:space="preserve">  "tenants": [</t>
  </si>
  <si>
    <t xml:space="preserve">    {</t>
  </si>
  <si>
    <t>OpportunityContactRole.Role</t>
  </si>
  <si>
    <t xml:space="preserve">      "tenantTypeId": 1,</t>
  </si>
  <si>
    <t>&lt;hard code to 1&gt;</t>
  </si>
  <si>
    <t xml:space="preserve">      "referenceType": 1,</t>
  </si>
  <si>
    <t>contactRole.Right_to_Rent__c</t>
  </si>
  <si>
    <t xml:space="preserve">      "rightToRent": true,</t>
  </si>
  <si>
    <t>contactRole.Contact.Salutation [CMDT to map].  If Salutation is not populated in Salesforce, pass default enum of 6 (other) to HomeLet API.  This default should be stored in CMDT.</t>
  </si>
  <si>
    <t xml:space="preserve">      "title": 1,</t>
  </si>
  <si>
    <t>If contactRole.Contact.Salutation is null, default to "Please Specify" via CMDT</t>
  </si>
  <si>
    <t xml:space="preserve">      "otherTitle": "",</t>
  </si>
  <si>
    <t>contactRole.Contact.FirstName</t>
  </si>
  <si>
    <t xml:space="preserve">      "firstName": "Berty",</t>
  </si>
  <si>
    <t xml:space="preserve">      "middleName": "Boo",</t>
  </si>
  <si>
    <t>contactRole.Contact.LastName</t>
  </si>
  <si>
    <t xml:space="preserve">      "surname": "Basset",</t>
  </si>
  <si>
    <t>contactRole.Direct_Debit_Amount__c</t>
  </si>
  <si>
    <t xml:space="preserve">      "shareOfRent": 600,</t>
  </si>
  <si>
    <t>&lt;hard code to 2&gt;
Referencing_HL_Mapping_Constant__mdt.telephoneCountryID = 2</t>
  </si>
  <si>
    <t xml:space="preserve">      "telephoneCountryID": 2,</t>
  </si>
  <si>
    <t>contactRole.Contact.MobilePhone</t>
  </si>
  <si>
    <t xml:space="preserve">      "contactTelephoneNo": "01234567891",</t>
  </si>
  <si>
    <t>contactRole.Contact.Email</t>
  </si>
  <si>
    <t xml:space="preserve">      "emailAddress": "test@testtesttest.test"</t>
  </si>
  <si>
    <t xml:space="preserve">    }</t>
  </si>
  <si>
    <t xml:space="preserve">  ]</t>
  </si>
  <si>
    <t>}</t>
  </si>
  <si>
    <t>Response Example</t>
  </si>
  <si>
    <t xml:space="preserve">  "success": true,</t>
  </si>
  <si>
    <t xml:space="preserve">  "payload": {</t>
  </si>
  <si>
    <t xml:space="preserve">    "agentCode": "9999",</t>
  </si>
  <si>
    <t xml:space="preserve">    "propertyTenancyId": 85670,</t>
  </si>
  <si>
    <t xml:space="preserve">    "ReferencingApplicantList": [</t>
  </si>
  <si>
    <t xml:space="preserve">      {</t>
  </si>
  <si>
    <t xml:space="preserve">        "applicantID": 678007,</t>
  </si>
  <si>
    <t xml:space="preserve">        "applicantName": "Mr Berty Boo Basset"</t>
  </si>
  <si>
    <t xml:space="preserve">The Applicants name, made up of title, firstname, middlename and surname </t>
  </si>
  <si>
    <t xml:space="preserve">      }</t>
  </si>
  <si>
    <t xml:space="preserve">    ]</t>
  </si>
  <si>
    <t xml:space="preserve">  "message": "Applicant link sent successfully."</t>
  </si>
  <si>
    <t>tenantTypeId Mapping</t>
  </si>
  <si>
    <t>HomeLet Type</t>
  </si>
  <si>
    <t>SF Contact.Role Values</t>
  </si>
  <si>
    <t>1 Lead Tenant</t>
  </si>
  <si>
    <t>2 Tenant</t>
  </si>
  <si>
    <t>3 Guarantor</t>
  </si>
  <si>
    <t>5 Relevant Person</t>
  </si>
  <si>
    <t>4 Permitted Occupier</t>
  </si>
  <si>
    <t>Mapping Details</t>
  </si>
  <si>
    <t xml:space="preserve"> AddApplicantToTenancy Example JSON</t>
  </si>
  <si>
    <t>With Applicant Input Link Example Request</t>
  </si>
  <si>
    <t xml:space="preserve">  "agentCode": "string",</t>
  </si>
  <si>
    <t>opp.Referencing_Property_Tenancy_Id__c</t>
  </si>
  <si>
    <t xml:space="preserve">  "propertyTenancyId": 0,</t>
  </si>
  <si>
    <t>&lt;hard code to false&gt;
Referencing_HL_Mapping_Constant__mdt.isSentTenantLink</t>
  </si>
  <si>
    <t xml:space="preserve">  "isSentTenantLink": true,</t>
  </si>
  <si>
    <t xml:space="preserve">  "linkedApplicantID": [</t>
  </si>
  <si>
    <t>&lt;hard code to leave blank&gt;</t>
  </si>
  <si>
    <t>Can be blank</t>
  </si>
  <si>
    <t xml:space="preserve">  ],</t>
  </si>
  <si>
    <t>contactRole.Contact.Salutation [CMDT to map to enum]</t>
  </si>
  <si>
    <t xml:space="preserve">      "otherTitle": "string",</t>
  </si>
  <si>
    <t xml:space="preserve">      "firstName": "string",</t>
  </si>
  <si>
    <t xml:space="preserve">      "middleName": "string",</t>
  </si>
  <si>
    <t xml:space="preserve">      "surname": "string",</t>
  </si>
  <si>
    <t xml:space="preserve">      "shareOfRent": 0,</t>
  </si>
  <si>
    <t xml:space="preserve">      "telephoneCountryID": 1,</t>
  </si>
  <si>
    <t xml:space="preserve">      "contactTelephoneNo": "string",</t>
  </si>
  <si>
    <t xml:space="preserve">      "emailAddress": "string"    </t>
  </si>
  <si>
    <t xml:space="preserve">     }</t>
  </si>
  <si>
    <t>With All data Example Request</t>
  </si>
  <si>
    <t>&lt;hard code to false&gt;</t>
  </si>
  <si>
    <t xml:space="preserve">  "isSentTenantLink": false,</t>
  </si>
  <si>
    <t xml:space="preserve">  "linkedApplicantID": </t>
  </si>
  <si>
    <t>[0</t>
  </si>
  <si>
    <t xml:space="preserve">  "tenantTypeId": 1,</t>
  </si>
  <si>
    <t xml:space="preserve">  "referenceType": 1,</t>
  </si>
  <si>
    <t xml:space="preserve">  "rightToRent": true,</t>
  </si>
  <si>
    <t>contactRole.Contact.Salutation</t>
  </si>
  <si>
    <t xml:space="preserve">  "title": 1,</t>
  </si>
  <si>
    <t xml:space="preserve">  "otherTitle": "string",</t>
  </si>
  <si>
    <t xml:space="preserve">  "firstName": "string",</t>
  </si>
  <si>
    <t xml:space="preserve">  "middleName": "string",</t>
  </si>
  <si>
    <t xml:space="preserve">  "surname": "string",</t>
  </si>
  <si>
    <t xml:space="preserve">  "shareOfRent": 0,</t>
  </si>
  <si>
    <t xml:space="preserve">  "telephoneCountryID": 1,</t>
  </si>
  <si>
    <t xml:space="preserve">  "contactTelephoneNo": "string",</t>
  </si>
  <si>
    <t xml:space="preserve">  "emailAddress": "string",</t>
  </si>
  <si>
    <t xml:space="preserve">  "dateOfBirth": "2023-01-03T14:03:12.243Z",</t>
  </si>
  <si>
    <t xml:space="preserve">  "mobileCountryId": 1,</t>
  </si>
  <si>
    <t xml:space="preserve">  "mobileNumber": "string",</t>
  </si>
  <si>
    <t xml:space="preserve">  "nationality": 1,</t>
  </si>
  <si>
    <t xml:space="preserve">  "niNumber": "string",</t>
  </si>
  <si>
    <t xml:space="preserve">  "residentStatus": 1,</t>
  </si>
  <si>
    <t xml:space="preserve">  "additionalInformation": "string",</t>
  </si>
  <si>
    <t xml:space="preserve">  "isAdvanceRent": true,</t>
  </si>
  <si>
    <t xml:space="preserve">  "otherNames": [</t>
  </si>
  <si>
    <t xml:space="preserve">      "lastName": "string",</t>
  </si>
  <si>
    <t xml:space="preserve">      "nameChangeDate": "2023-01-03T14:03:12.243Z"</t>
  </si>
  <si>
    <t xml:space="preserve">  "addressOtherDetailsViewModel": [</t>
  </si>
  <si>
    <t xml:space="preserve">      "addresses": [</t>
  </si>
  <si>
    <t xml:space="preserve">        {</t>
  </si>
  <si>
    <t xml:space="preserve">          "houseNumber": "string",</t>
  </si>
  <si>
    <t xml:space="preserve">          "houseName": "string",</t>
  </si>
  <si>
    <t xml:space="preserve">          "addressLine1": "string",</t>
  </si>
  <si>
    <t xml:space="preserve">          "addressLine2": "string",</t>
  </si>
  <si>
    <t xml:space="preserve">          "town": "string",</t>
  </si>
  <si>
    <t xml:space="preserve">          "postcode": "string",</t>
  </si>
  <si>
    <t xml:space="preserve">          "country": 1,</t>
  </si>
  <si>
    <t xml:space="preserve">          "isUKAddress": true,</t>
  </si>
  <si>
    <t xml:space="preserve">          "addressTypeId": 1,</t>
  </si>
  <si>
    <t xml:space="preserve">          "monthMovedIn": 1,</t>
  </si>
  <si>
    <t xml:space="preserve">          "yearMovedIn": 0</t>
  </si>
  <si>
    <t xml:space="preserve">        }</t>
  </si>
  <si>
    <t xml:space="preserve">      ],</t>
  </si>
  <si>
    <t xml:space="preserve">      "residentialDetails": {</t>
  </si>
  <si>
    <t xml:space="preserve">        "currentResidentialStatus": 1,</t>
  </si>
  <si>
    <t xml:space="preserve">        "currentRentAmount": 0,</t>
  </si>
  <si>
    <t xml:space="preserve">        "landlordName": "string",</t>
  </si>
  <si>
    <t xml:space="preserve">        "landlordContactCountryId": 1,</t>
  </si>
  <si>
    <t xml:space="preserve">        "landlordContactNumber": "string",</t>
  </si>
  <si>
    <t xml:space="preserve">        "landlordMobileCountryId": 1,</t>
  </si>
  <si>
    <t xml:space="preserve">        "landlordMobileNumber": "string",</t>
  </si>
  <si>
    <t xml:space="preserve">        "landlordEmail": "string",</t>
  </si>
  <si>
    <t xml:space="preserve">        "landlordAddress": {</t>
  </si>
  <si>
    <t xml:space="preserve">          "postcode": "string"</t>
  </si>
  <si>
    <t xml:space="preserve">      },</t>
  </si>
  <si>
    <t xml:space="preserve">      "adverseCreditDetails": {</t>
  </si>
  <si>
    <t xml:space="preserve">        "submittedisAdverseCredit": true,</t>
  </si>
  <si>
    <t xml:space="preserve">        "submittedisCCJ": true,</t>
  </si>
  <si>
    <t xml:space="preserve">        "submittedisBankruptcy": true,</t>
  </si>
  <si>
    <t xml:space="preserve">        "submittedisInsolvency": true,</t>
  </si>
  <si>
    <t xml:space="preserve">        "submittedisOtherAdverseCredit": true,</t>
  </si>
  <si>
    <t xml:space="preserve">        "submittedOtherAdverseCreditDesc": "string"</t>
  </si>
  <si>
    <t xml:space="preserve">  "referencingTenantIncomeViewModel": [</t>
  </si>
  <si>
    <t xml:space="preserve">      "incomeTypeID": 1,</t>
  </si>
  <si>
    <t xml:space="preserve">      "incomeTermID": 1,</t>
  </si>
  <si>
    <t xml:space="preserve">      "employed": {</t>
  </si>
  <si>
    <t xml:space="preserve">        "countryOfEmployment": 1,</t>
  </si>
  <si>
    <t xml:space="preserve">        "employersName": "string",</t>
  </si>
  <si>
    <t xml:space="preserve">        "jobTitle": "string",</t>
  </si>
  <si>
    <t xml:space="preserve">        "startDateofEmployment": "2023-01-03T14:03:12.243Z",</t>
  </si>
  <si>
    <t xml:space="preserve">        "employmentGrossAnnualIncome": 0,</t>
  </si>
  <si>
    <t xml:space="preserve">        "employmentBonuses": true,</t>
  </si>
  <si>
    <t xml:space="preserve">        "employmentOvertimeReceived": true,</t>
  </si>
  <si>
    <t xml:space="preserve">        "employmentBonusTerm": 1,</t>
  </si>
  <si>
    <t xml:space="preserve">        "employmentAvgBonusIncome": 0,</t>
  </si>
  <si>
    <t xml:space="preserve">        "employmentOvertimeTerm": 1,</t>
  </si>
  <si>
    <t xml:space="preserve">        "employmentOvertimeAvgIncome": 0,</t>
  </si>
  <si>
    <t xml:space="preserve">        "employmentEmployeeNumber": "string",</t>
  </si>
  <si>
    <t xml:space="preserve">        "paymentScheduleId": 1,</t>
  </si>
  <si>
    <t xml:space="preserve">        "employmentRefereeName": "string",</t>
  </si>
  <si>
    <t xml:space="preserve">        "employmentRefereeContactCountryID": 1,</t>
  </si>
  <si>
    <t xml:space="preserve">        "employmentRefereeContactNumber": "string",</t>
  </si>
  <si>
    <t xml:space="preserve">        "employmentRefereeMobileCountryID": 1,</t>
  </si>
  <si>
    <t xml:space="preserve">        "employmentRefereeMobileNumber": "string",</t>
  </si>
  <si>
    <t xml:space="preserve">        "employmentRefereeEmail": "string",</t>
  </si>
  <si>
    <t xml:space="preserve">        "employmentRefereePosition": "string",</t>
  </si>
  <si>
    <t xml:space="preserve">        "addressLine1": "string",</t>
  </si>
  <si>
    <t xml:space="preserve">        "addressLine2": "string",</t>
  </si>
  <si>
    <t xml:space="preserve">        "city": "string",</t>
  </si>
  <si>
    <t xml:space="preserve">        "postCode": "string",</t>
  </si>
  <si>
    <t xml:space="preserve">        "employmentTypeId": 1,</t>
  </si>
  <si>
    <t xml:space="preserve">        "employmentZeroHourContract": true</t>
  </si>
  <si>
    <t xml:space="preserve">      "selfEmployed": {</t>
  </si>
  <si>
    <t xml:space="preserve">        "tradingTypeId": 1,</t>
  </si>
  <si>
    <t xml:space="preserve">        "startDateOfSelfEmployment": "2023-01-03T14:03:12.243Z",</t>
  </si>
  <si>
    <t xml:space="preserve">        "selfEmployedAnnualIncome": 0,</t>
  </si>
  <si>
    <t xml:space="preserve">        "taxReturnSubmitted": true,</t>
  </si>
  <si>
    <t xml:space="preserve">        "doesApplicantUseAccountant": true,</t>
  </si>
  <si>
    <t xml:space="preserve">        "accountantCompanyName": "string",</t>
  </si>
  <si>
    <t xml:space="preserve">        "accountantContactName": "string",</t>
  </si>
  <si>
    <t xml:space="preserve">        "accountantContactNoCountryId": 1,</t>
  </si>
  <si>
    <t xml:space="preserve">        "accountantContactNumber": "string",</t>
  </si>
  <si>
    <t xml:space="preserve">        "accountantMobileNoCountryId": 1,</t>
  </si>
  <si>
    <t xml:space="preserve">        "accountantMobileNumber": "string",</t>
  </si>
  <si>
    <t xml:space="preserve">        "accountantEmailAddress": "string",</t>
  </si>
  <si>
    <t xml:space="preserve">        "accountantContactPosition": "string"</t>
  </si>
  <si>
    <t xml:space="preserve">      "pension": {</t>
  </si>
  <si>
    <t xml:space="preserve">        "pensionProvider": "string",</t>
  </si>
  <si>
    <t xml:space="preserve">        "netMonthlyIncome": 0,</t>
  </si>
  <si>
    <t xml:space="preserve">        "startDateOfPension": "2023-01-03T14:03:12.243Z"</t>
  </si>
  <si>
    <t xml:space="preserve">      "investment": {</t>
  </si>
  <si>
    <t xml:space="preserve">        "investmentSchemeOrCompany": "string",</t>
  </si>
  <si>
    <t xml:space="preserve">        "investmentAmount": 0</t>
  </si>
  <si>
    <t xml:space="preserve">      "saving": {</t>
  </si>
  <si>
    <t xml:space="preserve">        "savingsAmount": 0</t>
  </si>
  <si>
    <t xml:space="preserve">      "unemployed": {</t>
  </si>
  <si>
    <t xml:space="preserve">        "applicantBenefitsReceived": true,</t>
  </si>
  <si>
    <t xml:space="preserve">        "taxCredit": true,</t>
  </si>
  <si>
    <t xml:space="preserve">        "taxCreditTerm": 1,</t>
  </si>
  <si>
    <t xml:space="preserve">        "taxCreditAmount": 0,</t>
  </si>
  <si>
    <t xml:space="preserve">        "carerAllowance": true,</t>
  </si>
  <si>
    <t xml:space="preserve">        "carerAllowanceTerm": 1,</t>
  </si>
  <si>
    <t xml:space="preserve">        "carerAllowanceAmount": 0,</t>
  </si>
  <si>
    <t xml:space="preserve">        "childBenefit": true,</t>
  </si>
  <si>
    <t xml:space="preserve">        "childBenefitTerm": 1,</t>
  </si>
  <si>
    <t xml:space="preserve">        "childBenefitAmount": 0,</t>
  </si>
  <si>
    <t xml:space="preserve">        "disabilityBenefit": true,</t>
  </si>
  <si>
    <t xml:space="preserve">        "disabilityBenefitTerm": 1,</t>
  </si>
  <si>
    <t xml:space="preserve">        "disabilityBenefitAmount": 0,</t>
  </si>
  <si>
    <t xml:space="preserve">        "fosterAllowance": true,</t>
  </si>
  <si>
    <t xml:space="preserve">        "fosterAllowanceTerm": 1,</t>
  </si>
  <si>
    <t xml:space="preserve">        "fosterAllowanceAmount": 0,</t>
  </si>
  <si>
    <t xml:space="preserve">        "guardianAllowance": true,</t>
  </si>
  <si>
    <t xml:space="preserve">        "guardianAllowanceTerm": 1,</t>
  </si>
  <si>
    <t xml:space="preserve">        "guardianAllowanceAmount": 0,</t>
  </si>
  <si>
    <t xml:space="preserve">        "childMaintenance": true,</t>
  </si>
  <si>
    <t xml:space="preserve">        "childMaintenanceTerm": 1,</t>
  </si>
  <si>
    <t xml:space="preserve">        "childMaintenanceAmount": 0,</t>
  </si>
  <si>
    <t xml:space="preserve">        "housingBenefit": true,</t>
  </si>
  <si>
    <t xml:space="preserve">        "housingBenefitTerm": 1,</t>
  </si>
  <si>
    <t xml:space="preserve">        "housingBenefitAmount": 0,</t>
  </si>
  <si>
    <t xml:space="preserve">        "employmentSupport": true,</t>
  </si>
  <si>
    <t xml:space="preserve">        "employmentSupportTerm": 1,</t>
  </si>
  <si>
    <t xml:space="preserve">        "employmentSupportAmount": 0,</t>
  </si>
  <si>
    <t xml:space="preserve">        "universalCredit": true,</t>
  </si>
  <si>
    <t xml:space="preserve">        "universalCreditTerm": 1,</t>
  </si>
  <si>
    <t xml:space="preserve">        "universalCreditAmount": 0</t>
  </si>
  <si>
    <t xml:space="preserve">  "bankDetails": {</t>
  </si>
  <si>
    <t xml:space="preserve">    "bankName": "string",</t>
  </si>
  <si>
    <t xml:space="preserve">    "bankAccountHolderName": "string",</t>
  </si>
  <si>
    <t xml:space="preserve">    "bankSortCode": "string",</t>
  </si>
  <si>
    <t xml:space="preserve">    "bankAccountNumber": "string"</t>
  </si>
  <si>
    <r>
      <t xml:space="preserve">  "success": </t>
    </r>
    <r>
      <rPr>
        <sz val="11"/>
        <rFont val="Consolas"/>
        <family val="3"/>
      </rPr>
      <t>true,</t>
    </r>
  </si>
  <si>
    <r>
      <t xml:space="preserve">    "agentCode": </t>
    </r>
    <r>
      <rPr>
        <sz val="11"/>
        <rFont val="Consolas"/>
        <family val="3"/>
      </rPr>
      <t>"9999",</t>
    </r>
  </si>
  <si>
    <r>
      <t xml:space="preserve">    "propertyTenancyId": </t>
    </r>
    <r>
      <rPr>
        <sz val="11"/>
        <rFont val="Consolas"/>
        <family val="3"/>
      </rPr>
      <t>86613,</t>
    </r>
  </si>
  <si>
    <r>
      <t xml:space="preserve">        "applicantID": </t>
    </r>
    <r>
      <rPr>
        <sz val="11"/>
        <rFont val="Consolas"/>
        <family val="3"/>
      </rPr>
      <t>678717,</t>
    </r>
  </si>
  <si>
    <r>
      <t xml:space="preserve">        "applicantName": </t>
    </r>
    <r>
      <rPr>
        <sz val="11"/>
        <rFont val="Consolas"/>
        <family val="3"/>
      </rPr>
      <t>"Mr berty a williams"</t>
    </r>
  </si>
  <si>
    <r>
      <t xml:space="preserve">  "message": </t>
    </r>
    <r>
      <rPr>
        <sz val="11"/>
        <rFont val="Consolas"/>
        <family val="3"/>
      </rPr>
      <t>"Applicant link sent successfully."</t>
    </r>
  </si>
  <si>
    <t xml:space="preserve"> CancelApplicantFromTenancy Example JSON</t>
  </si>
  <si>
    <t xml:space="preserve">  "propertyTenancyId": 1,</t>
  </si>
  <si>
    <t>ContactRole.Referencing_Applicant_Id__c</t>
  </si>
  <si>
    <t xml:space="preserve">  "applicantID": 1</t>
  </si>
  <si>
    <t xml:space="preserve">  "payload": "Success",</t>
  </si>
  <si>
    <t xml:space="preserve">  "message": "Applicant Cancelled successfully."</t>
  </si>
  <si>
    <t>SF Field</t>
  </si>
  <si>
    <t xml:space="preserve"> CancelTenancy Example JSON</t>
  </si>
  <si>
    <t xml:space="preserve">  "possessionDate": "2023-02-21T01:02:21.955Z"</t>
  </si>
  <si>
    <t xml:space="preserve">string datetime </t>
  </si>
  <si>
    <t>confirmation of the possesion date of the property</t>
  </si>
  <si>
    <t xml:space="preserve">  "cancellationReason": 1</t>
  </si>
  <si>
    <t xml:space="preserve">  "message": "Tenancy Cancelled successfully."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</si>
</sst>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8">
    <font>
      <sz val="11"/>
      <color theme="1"/>
      <name val="Calibri"/>
      <family val="2"/>
      <scheme val="minor"/>
    </font>
    <font>
      <sz val="11"/>
      <color theme="1"/>
      <name val="Calibri"/>
      <scheme val="minor"/>
    </font>
    <font>
      <b/>
      <sz val="11"/>
      <color theme="0"/>
      <name val="Calibri"/>
      <family val="2"/>
      <scheme val="minor"/>
    </font>
    <font>
      <sz val="10"/>
      <color theme="1"/>
      <name val="Calibri"/>
      <family val="2"/>
      <scheme val="minor"/>
    </font>
    <font>
      <sz val="10"/>
      <color theme="0"/>
      <name val="Calibri"/>
      <family val="2"/>
      <scheme val="minor"/>
    </font>
    <font>
      <sz val="9"/>
      <color theme="1"/>
      <name val="Calibri"/>
      <family val="2"/>
      <scheme val="minor"/>
    </font>
    <font>
      <sz val="9"/>
      <color theme="0"/>
      <name val="Calibri"/>
      <family val="2"/>
      <scheme val="minor"/>
    </font>
    <font>
      <sz val="10"/>
      <name val="Calibri"/>
      <family val="2"/>
      <scheme val="minor"/>
    </font>
    <font>
      <b/>
      <sz val="10"/>
      <color theme="1"/>
      <name val="Calibri"/>
      <family val="2"/>
      <scheme val="minor"/>
    </font>
    <font>
      <b/>
      <sz val="16"/>
      <color theme="1"/>
      <name val="Calibri"/>
      <family val="2"/>
      <scheme val="minor"/>
    </font>
    <font>
      <b/>
      <sz val="11"/>
      <color rgb="FF000000"/>
      <name val="Calibri"/>
      <family val="2"/>
    </font>
    <font>
      <b/>
      <sz val="12"/>
      <color theme="0"/>
      <name val="Calibri"/>
      <family val="2"/>
    </font>
    <font>
      <b/>
      <sz val="10"/>
      <color theme="0"/>
      <name val="Calibri"/>
      <family val="2"/>
    </font>
    <font>
      <sz val="10"/>
      <color theme="1"/>
      <name val="Arial"/>
      <family val="2"/>
    </font>
    <font>
      <sz val="10"/>
      <color rgb="FF000000"/>
      <name val="Calibri"/>
      <family val="2"/>
    </font>
    <font>
      <strike/>
      <sz val="10"/>
      <color theme="1"/>
      <name val="Arial"/>
      <family val="2"/>
    </font>
    <font>
      <strike/>
      <sz val="10"/>
      <color rgb="FF000000"/>
      <name val="Calibri"/>
      <family val="2"/>
    </font>
    <font>
      <u/>
      <sz val="11"/>
      <color theme="10"/>
      <name val="Calibri"/>
      <family val="2"/>
      <scheme val="minor"/>
    </font>
    <font>
      <sz val="10"/>
      <color rgb="FF000000"/>
      <name val="Calibri"/>
      <family val="2"/>
      <scheme val="minor"/>
    </font>
    <font>
      <sz val="12"/>
      <color rgb="FF000000"/>
      <name val="Calibri"/>
      <family val="2"/>
    </font>
    <font>
      <b/>
      <sz val="16"/>
      <color rgb="FFFF0000"/>
      <name val="Calibri"/>
      <family val="2"/>
      <scheme val="minor"/>
    </font>
    <font>
      <b/>
      <sz val="10"/>
      <color rgb="FFFF0000"/>
      <name val="Calibri"/>
      <family val="2"/>
    </font>
    <font>
      <sz val="11"/>
      <color rgb="FF000000"/>
      <name val="Calibri"/>
      <family val="2"/>
    </font>
    <font>
      <b/>
      <sz val="10"/>
      <color rgb="FFFFFFFF"/>
      <name val="Calibri"/>
      <family val="2"/>
    </font>
    <font>
      <sz val="12"/>
      <color theme="1"/>
      <name val="Calibri"/>
      <family val="2"/>
      <scheme val="minor"/>
    </font>
    <font>
      <sz val="11"/>
      <color theme="1"/>
      <name val="Courier New"/>
      <family val="3"/>
    </font>
    <font>
      <b/>
      <sz val="10"/>
      <color rgb="FF000000"/>
      <name val="Calibri"/>
      <family val="2"/>
    </font>
    <font>
      <sz val="12"/>
      <color rgb="FF000000"/>
      <name val="Calibri"/>
      <family val="2"/>
      <charset val="1"/>
    </font>
    <font>
      <b/>
      <sz val="11"/>
      <color rgb="FF000000"/>
      <name val="Calibri"/>
      <family val="2"/>
      <scheme val="minor"/>
    </font>
    <font>
      <b/>
      <sz val="11"/>
      <color theme="1"/>
      <name val="Calibri"/>
      <family val="2"/>
      <scheme val="minor"/>
    </font>
    <font>
      <strike/>
      <sz val="10"/>
      <color theme="1"/>
      <name val="Calibri"/>
      <family val="2"/>
      <scheme val="minor"/>
    </font>
    <font>
      <strike/>
      <sz val="12"/>
      <color rgb="FF000000"/>
      <name val="Calibri"/>
      <family val="2"/>
    </font>
    <font>
      <sz val="10.5"/>
      <color rgb="FF172B4D"/>
      <name val="-apple-system"/>
    </font>
    <font>
      <sz val="11"/>
      <name val="Courier New"/>
      <family val="3"/>
    </font>
    <font>
      <sz val="11"/>
      <name val="Consolas"/>
      <family val="3"/>
    </font>
    <font>
      <sz val="11"/>
      <color rgb="FF000000"/>
      <name val="Consolas"/>
      <charset val="1"/>
    </font>
    <font>
      <sz val="9"/>
      <color rgb="FF000000"/>
      <name val="Arial"/>
      <charset val="1"/>
    </font>
    <font>
      <sz val="7"/>
      <color rgb="FF000000"/>
      <name val="Consolas"/>
      <family val="3"/>
    </font>
    <font>
      <u/>
      <sz val="10"/>
      <color rgb="FF000000"/>
      <name val="Consolas"/>
      <family val="3"/>
    </font>
    <font>
      <u/>
      <sz val="10"/>
      <color theme="1"/>
      <name val="Courier New"/>
      <family val="3"/>
    </font>
    <font>
      <b/>
      <sz val="11"/>
      <color theme="1"/>
      <name val="Calibri"/>
      <scheme val="minor"/>
    </font>
    <font>
      <sz val="11"/>
      <color rgb="FF000000"/>
      <name val="Calibri"/>
      <scheme val="minor"/>
    </font>
    <font>
      <b/>
      <sz val="11"/>
      <color rgb="FF000000"/>
      <name val="Calibri"/>
      <scheme val="minor"/>
    </font>
    <font>
      <u/>
      <sz val="10"/>
      <color rgb="FF000000"/>
      <name val="Calibri"/>
      <scheme val="minor"/>
    </font>
    <font>
      <b/>
      <u/>
      <sz val="11"/>
      <color theme="1"/>
      <name val="Calibri"/>
      <family val="2"/>
      <scheme val="minor"/>
    </font>
    <font>
      <b/>
      <u/>
      <sz val="11"/>
      <color theme="1"/>
      <name val="Calibri"/>
      <scheme val="minor"/>
    </font>
    <font>
      <strike/>
      <sz val="11"/>
      <color rgb="FF000000"/>
      <name val="Calibri"/>
    </font>
    <font>
      <sz val="11"/>
      <color rgb="FF000000"/>
      <name val="Calibri"/>
    </font>
  </fonts>
  <fills count="30">
    <fill>
      <patternFill patternType="none"/>
    </fill>
    <fill>
      <patternFill patternType="gray125"/>
    </fill>
    <fill>
      <patternFill patternType="solid">
        <fgColor theme="5" tint="-0.499984740745262"/>
        <bgColor indexed="64"/>
      </patternFill>
    </fill>
    <fill>
      <patternFill patternType="solid">
        <fgColor theme="1" tint="0.249977111117893"/>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1"/>
        <bgColor indexed="64"/>
      </patternFill>
    </fill>
    <fill>
      <patternFill patternType="solid">
        <fgColor theme="1" tint="0.499984740745262"/>
        <bgColor indexed="64"/>
      </patternFill>
    </fill>
    <fill>
      <patternFill patternType="solid">
        <fgColor theme="2" tint="-0.499984740745262"/>
        <bgColor indexed="64"/>
      </patternFill>
    </fill>
    <fill>
      <patternFill patternType="solid">
        <fgColor theme="8" tint="0.39997558519241921"/>
        <bgColor indexed="64"/>
      </patternFill>
    </fill>
    <fill>
      <patternFill patternType="solid">
        <fgColor rgb="FF0070C0"/>
        <bgColor indexed="64"/>
      </patternFill>
    </fill>
    <fill>
      <patternFill patternType="solid">
        <fgColor rgb="FF002060"/>
        <bgColor indexed="64"/>
      </patternFill>
    </fill>
    <fill>
      <patternFill patternType="solid">
        <fgColor theme="6" tint="0.39997558519241921"/>
        <bgColor indexed="64"/>
      </patternFill>
    </fill>
    <fill>
      <patternFill patternType="solid">
        <fgColor theme="0" tint="-0.499984740745262"/>
        <bgColor indexed="64"/>
      </patternFill>
    </fill>
    <fill>
      <patternFill patternType="solid">
        <fgColor rgb="FFFEFFFE"/>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5" tint="-0.249977111117893"/>
        <bgColor indexed="64"/>
      </patternFill>
    </fill>
    <fill>
      <patternFill patternType="solid">
        <fgColor rgb="FF00B050"/>
        <bgColor indexed="64"/>
      </patternFill>
    </fill>
    <fill>
      <patternFill patternType="solid">
        <fgColor rgb="FFFFFF00"/>
        <bgColor indexed="64"/>
      </patternFill>
    </fill>
    <fill>
      <patternFill patternType="solid">
        <fgColor rgb="FF00B0F0"/>
        <bgColor indexed="64"/>
      </patternFill>
    </fill>
    <fill>
      <patternFill patternType="solid">
        <fgColor rgb="FFDDEBF7"/>
        <bgColor indexed="64"/>
      </patternFill>
    </fill>
    <fill>
      <patternFill patternType="solid">
        <fgColor rgb="FF833C0C"/>
        <bgColor indexed="64"/>
      </patternFill>
    </fill>
    <fill>
      <patternFill patternType="solid">
        <fgColor rgb="FFBFBFBF"/>
        <bgColor indexed="64"/>
      </patternFill>
    </fill>
    <fill>
      <patternFill patternType="solid">
        <fgColor rgb="FFF2F2F2"/>
        <bgColor indexed="64"/>
      </patternFill>
    </fill>
    <fill>
      <patternFill patternType="solid">
        <fgColor rgb="FFFFFFFF"/>
        <bgColor indexed="64"/>
      </patternFill>
    </fill>
    <fill>
      <patternFill patternType="solid">
        <fgColor rgb="FFD9E1F2"/>
        <bgColor indexed="64"/>
      </patternFill>
    </fill>
    <fill>
      <patternFill patternType="solid">
        <fgColor theme="0"/>
        <bgColor indexed="64"/>
      </patternFill>
    </fill>
    <fill>
      <patternFill patternType="solid">
        <fgColor rgb="FFF8F8F8"/>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ck">
        <color indexed="64"/>
      </right>
      <top style="medium">
        <color indexed="64"/>
      </top>
      <bottom/>
      <diagonal/>
    </border>
    <border>
      <left style="thick">
        <color indexed="64"/>
      </left>
      <right style="thick">
        <color indexed="64"/>
      </right>
      <top style="medium">
        <color indexed="64"/>
      </top>
      <bottom/>
      <diagonal/>
    </border>
    <border>
      <left style="thick">
        <color indexed="64"/>
      </left>
      <right style="medium">
        <color indexed="64"/>
      </right>
      <top style="medium">
        <color indexed="64"/>
      </top>
      <bottom/>
      <diagonal/>
    </border>
    <border>
      <left style="thin">
        <color indexed="64"/>
      </left>
      <right/>
      <top style="thin">
        <color indexed="64"/>
      </top>
      <bottom style="medium">
        <color indexed="64"/>
      </bottom>
      <diagonal/>
    </border>
    <border>
      <left/>
      <right/>
      <top style="medium">
        <color indexed="64"/>
      </top>
      <bottom/>
      <diagonal/>
    </border>
    <border>
      <left style="thin">
        <color rgb="FF000000"/>
      </left>
      <right style="thin">
        <color rgb="FF000000"/>
      </right>
      <top style="thin">
        <color rgb="FF000000"/>
      </top>
      <bottom style="thin">
        <color rgb="FF000000"/>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thin">
        <color rgb="FF000000"/>
      </left>
      <right style="thin">
        <color rgb="FF000000"/>
      </right>
      <top style="thin">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2">
    <xf numFmtId="0" fontId="0" fillId="0" borderId="0"/>
    <xf numFmtId="0" fontId="17" fillId="0" borderId="0" applyNumberFormat="0" applyFill="0" applyBorder="0" applyAlignment="0" applyProtection="0"/>
  </cellStyleXfs>
  <cellXfs count="231">
    <xf numFmtId="0" fontId="0" fillId="0" borderId="0" xfId="0"/>
    <xf numFmtId="0" fontId="3" fillId="0" borderId="0" xfId="0" applyFont="1"/>
    <xf numFmtId="0" fontId="3" fillId="0" borderId="1" xfId="0" applyFont="1" applyBorder="1" applyAlignment="1">
      <alignment horizontal="center"/>
    </xf>
    <xf numFmtId="0" fontId="3" fillId="0" borderId="0" xfId="0" applyFont="1" applyAlignment="1">
      <alignment horizontal="center"/>
    </xf>
    <xf numFmtId="0" fontId="2" fillId="3" borderId="1" xfId="0" applyFont="1" applyFill="1" applyBorder="1" applyAlignment="1">
      <alignment horizontal="center"/>
    </xf>
    <xf numFmtId="0" fontId="2" fillId="3" borderId="1" xfId="0" applyFont="1" applyFill="1" applyBorder="1" applyAlignment="1">
      <alignment horizontal="center" wrapText="1"/>
    </xf>
    <xf numFmtId="0" fontId="2" fillId="3" borderId="1" xfId="0" applyFont="1" applyFill="1" applyBorder="1" applyAlignment="1">
      <alignment wrapText="1"/>
    </xf>
    <xf numFmtId="0" fontId="3" fillId="4" borderId="1" xfId="0" applyFont="1" applyFill="1" applyBorder="1" applyAlignment="1">
      <alignment horizontal="center"/>
    </xf>
    <xf numFmtId="0" fontId="3" fillId="6" borderId="1" xfId="0" applyFont="1" applyFill="1" applyBorder="1" applyAlignment="1">
      <alignment horizontal="center"/>
    </xf>
    <xf numFmtId="0" fontId="5" fillId="0" borderId="0" xfId="0" applyFont="1"/>
    <xf numFmtId="0" fontId="2" fillId="3" borderId="2" xfId="0" applyFont="1" applyFill="1" applyBorder="1" applyAlignment="1">
      <alignment wrapText="1"/>
    </xf>
    <xf numFmtId="0" fontId="5" fillId="8" borderId="1" xfId="0" applyFont="1" applyFill="1" applyBorder="1" applyAlignment="1">
      <alignment horizontal="center" vertical="center"/>
    </xf>
    <xf numFmtId="0" fontId="6" fillId="7" borderId="1" xfId="0" applyFont="1" applyFill="1" applyBorder="1" applyAlignment="1">
      <alignment textRotation="90"/>
    </xf>
    <xf numFmtId="0" fontId="5" fillId="5" borderId="1" xfId="0" applyFont="1" applyFill="1" applyBorder="1" applyAlignment="1">
      <alignment horizontal="center" vertical="center"/>
    </xf>
    <xf numFmtId="0" fontId="7" fillId="4" borderId="1" xfId="0" applyFont="1" applyFill="1" applyBorder="1" applyAlignment="1">
      <alignment horizontal="center"/>
    </xf>
    <xf numFmtId="0" fontId="3" fillId="0" borderId="0" xfId="0" applyFont="1" applyAlignment="1">
      <alignment wrapText="1"/>
    </xf>
    <xf numFmtId="0" fontId="3" fillId="4" borderId="2" xfId="0" applyFont="1" applyFill="1" applyBorder="1" applyAlignment="1">
      <alignment wrapText="1"/>
    </xf>
    <xf numFmtId="0" fontId="3" fillId="4" borderId="1" xfId="0" applyFont="1" applyFill="1" applyBorder="1" applyAlignment="1">
      <alignment wrapText="1"/>
    </xf>
    <xf numFmtId="0" fontId="3" fillId="0" borderId="0" xfId="0" applyFont="1" applyAlignment="1">
      <alignment horizontal="center" wrapText="1"/>
    </xf>
    <xf numFmtId="0" fontId="3" fillId="4" borderId="1" xfId="0" applyFont="1" applyFill="1" applyBorder="1" applyAlignment="1">
      <alignment horizontal="center" wrapText="1"/>
    </xf>
    <xf numFmtId="0" fontId="3" fillId="6" borderId="1" xfId="0" applyFont="1" applyFill="1" applyBorder="1" applyAlignment="1">
      <alignment horizontal="center" wrapText="1"/>
    </xf>
    <xf numFmtId="0" fontId="5" fillId="10" borderId="1" xfId="0" applyFont="1" applyFill="1" applyBorder="1" applyAlignment="1">
      <alignment horizontal="center" vertical="center"/>
    </xf>
    <xf numFmtId="0" fontId="5" fillId="7" borderId="1" xfId="0" applyFont="1" applyFill="1" applyBorder="1" applyAlignment="1">
      <alignment horizontal="center" vertical="center"/>
    </xf>
    <xf numFmtId="0" fontId="9" fillId="0" borderId="0" xfId="0" applyFont="1"/>
    <xf numFmtId="0" fontId="17" fillId="4" borderId="1" xfId="1" applyFill="1" applyBorder="1" applyAlignment="1">
      <alignment horizontal="center" wrapText="1"/>
    </xf>
    <xf numFmtId="0" fontId="17" fillId="6" borderId="1" xfId="1" applyFill="1" applyBorder="1" applyAlignment="1">
      <alignment horizontal="center" wrapText="1"/>
    </xf>
    <xf numFmtId="0" fontId="18" fillId="0" borderId="1" xfId="0" applyFont="1" applyBorder="1" applyAlignment="1">
      <alignment vertical="center"/>
    </xf>
    <xf numFmtId="0" fontId="3" fillId="0" borderId="11" xfId="0" applyFont="1" applyBorder="1" applyAlignment="1">
      <alignment horizontal="center" vertical="center"/>
    </xf>
    <xf numFmtId="0" fontId="3" fillId="0" borderId="13" xfId="0" applyFont="1" applyBorder="1" applyAlignment="1">
      <alignment horizontal="center" vertical="center"/>
    </xf>
    <xf numFmtId="0" fontId="18" fillId="0" borderId="14" xfId="0" applyFont="1" applyBorder="1" applyAlignment="1">
      <alignment vertical="center"/>
    </xf>
    <xf numFmtId="0" fontId="10" fillId="13" borderId="1" xfId="0" applyFont="1" applyFill="1" applyBorder="1" applyAlignment="1">
      <alignment vertical="center"/>
    </xf>
    <xf numFmtId="0" fontId="14" fillId="0" borderId="1" xfId="0" applyFont="1" applyBorder="1" applyAlignment="1">
      <alignment vertical="center"/>
    </xf>
    <xf numFmtId="0" fontId="13" fillId="0" borderId="1" xfId="0" applyFont="1" applyBorder="1" applyAlignment="1">
      <alignment vertical="center"/>
    </xf>
    <xf numFmtId="0" fontId="16" fillId="0" borderId="1" xfId="0" applyFont="1" applyBorder="1" applyAlignment="1">
      <alignment vertical="center"/>
    </xf>
    <xf numFmtId="0" fontId="11" fillId="12" borderId="16" xfId="0" applyFont="1" applyFill="1" applyBorder="1" applyAlignment="1">
      <alignment horizontal="center" vertical="center"/>
    </xf>
    <xf numFmtId="0" fontId="11" fillId="11" borderId="11" xfId="0" applyFont="1" applyFill="1" applyBorder="1" applyAlignment="1">
      <alignment horizontal="center" vertical="center"/>
    </xf>
    <xf numFmtId="0" fontId="10" fillId="13" borderId="11" xfId="0" applyFont="1" applyFill="1" applyBorder="1" applyAlignment="1">
      <alignment horizontal="center" vertical="center"/>
    </xf>
    <xf numFmtId="0" fontId="10" fillId="13" borderId="12" xfId="0" applyFont="1" applyFill="1" applyBorder="1" applyAlignment="1">
      <alignment vertical="center"/>
    </xf>
    <xf numFmtId="0" fontId="13" fillId="0" borderId="11" xfId="0" applyFont="1" applyBorder="1" applyAlignment="1">
      <alignment horizontal="center" vertical="center"/>
    </xf>
    <xf numFmtId="0" fontId="15" fillId="0" borderId="11" xfId="0" applyFont="1" applyBorder="1" applyAlignment="1">
      <alignment horizontal="center" vertical="center"/>
    </xf>
    <xf numFmtId="0" fontId="13" fillId="0" borderId="13" xfId="0" applyFont="1" applyBorder="1" applyAlignment="1">
      <alignment horizontal="center" vertical="center"/>
    </xf>
    <xf numFmtId="0" fontId="14" fillId="0" borderId="14" xfId="0" applyFont="1" applyBorder="1" applyAlignment="1">
      <alignment vertical="center"/>
    </xf>
    <xf numFmtId="0" fontId="18" fillId="0" borderId="12" xfId="0" applyFont="1" applyBorder="1"/>
    <xf numFmtId="0" fontId="14" fillId="14" borderId="12" xfId="0" applyFont="1" applyFill="1" applyBorder="1" applyAlignment="1">
      <alignment vertical="center"/>
    </xf>
    <xf numFmtId="0" fontId="18" fillId="14" borderId="12" xfId="0" applyFont="1" applyFill="1" applyBorder="1"/>
    <xf numFmtId="0" fontId="13" fillId="0" borderId="14" xfId="0" applyFont="1" applyBorder="1" applyAlignment="1">
      <alignment vertical="center"/>
    </xf>
    <xf numFmtId="0" fontId="14" fillId="14" borderId="15" xfId="0" applyFont="1" applyFill="1" applyBorder="1" applyAlignment="1">
      <alignment vertical="center"/>
    </xf>
    <xf numFmtId="0" fontId="11" fillId="12" borderId="19" xfId="0" applyFont="1" applyFill="1" applyBorder="1" applyAlignment="1">
      <alignment horizontal="center" vertical="center"/>
    </xf>
    <xf numFmtId="0" fontId="16" fillId="14" borderId="12" xfId="0" applyFont="1" applyFill="1" applyBorder="1" applyAlignment="1">
      <alignment vertical="center"/>
    </xf>
    <xf numFmtId="0" fontId="16" fillId="14" borderId="15" xfId="0" applyFont="1" applyFill="1" applyBorder="1" applyAlignment="1">
      <alignment vertical="center"/>
    </xf>
    <xf numFmtId="0" fontId="18" fillId="14" borderId="12" xfId="0" applyFont="1" applyFill="1" applyBorder="1" applyAlignment="1">
      <alignment vertical="center"/>
    </xf>
    <xf numFmtId="0" fontId="18" fillId="14" borderId="15" xfId="0" applyFont="1" applyFill="1" applyBorder="1" applyAlignment="1">
      <alignment vertical="center"/>
    </xf>
    <xf numFmtId="0" fontId="20" fillId="0" borderId="0" xfId="0" applyFont="1"/>
    <xf numFmtId="0" fontId="19" fillId="0" borderId="1" xfId="0" applyFont="1" applyBorder="1" applyAlignment="1">
      <alignment vertical="center"/>
    </xf>
    <xf numFmtId="0" fontId="19" fillId="0" borderId="14" xfId="0" applyFont="1" applyBorder="1" applyAlignment="1">
      <alignment vertical="center"/>
    </xf>
    <xf numFmtId="0" fontId="22" fillId="15" borderId="1" xfId="0" applyFont="1" applyFill="1" applyBorder="1" applyAlignment="1">
      <alignment vertical="center"/>
    </xf>
    <xf numFmtId="0" fontId="22" fillId="15" borderId="1" xfId="0" applyFont="1" applyFill="1" applyBorder="1" applyAlignment="1">
      <alignment vertical="center" wrapText="1"/>
    </xf>
    <xf numFmtId="0" fontId="22" fillId="15" borderId="11" xfId="0" applyFont="1" applyFill="1" applyBorder="1" applyAlignment="1">
      <alignment horizontal="center" vertical="center" wrapText="1"/>
    </xf>
    <xf numFmtId="0" fontId="22" fillId="15" borderId="13" xfId="0" applyFont="1" applyFill="1" applyBorder="1" applyAlignment="1">
      <alignment horizontal="center" vertical="center" wrapText="1"/>
    </xf>
    <xf numFmtId="0" fontId="22" fillId="15" borderId="14" xfId="0" applyFont="1" applyFill="1" applyBorder="1" applyAlignment="1">
      <alignment vertical="center"/>
    </xf>
    <xf numFmtId="0" fontId="22" fillId="0" borderId="1" xfId="0" applyFont="1" applyBorder="1" applyAlignment="1">
      <alignment vertical="center"/>
    </xf>
    <xf numFmtId="0" fontId="22" fillId="0" borderId="11" xfId="0" applyFont="1" applyBorder="1" applyAlignment="1">
      <alignment horizontal="center" vertical="center" wrapText="1"/>
    </xf>
    <xf numFmtId="0" fontId="22" fillId="0" borderId="13" xfId="0" applyFont="1" applyBorder="1" applyAlignment="1">
      <alignment horizontal="center" vertical="center" wrapText="1"/>
    </xf>
    <xf numFmtId="0" fontId="22" fillId="0" borderId="14" xfId="0" applyFont="1" applyBorder="1" applyAlignment="1">
      <alignment vertical="center"/>
    </xf>
    <xf numFmtId="0" fontId="0" fillId="14" borderId="12" xfId="0" applyFill="1" applyBorder="1"/>
    <xf numFmtId="0" fontId="0" fillId="14" borderId="15" xfId="0" applyFill="1" applyBorder="1"/>
    <xf numFmtId="0" fontId="0" fillId="0" borderId="1" xfId="0" applyBorder="1" applyAlignment="1">
      <alignment horizontal="center"/>
    </xf>
    <xf numFmtId="0" fontId="2" fillId="11" borderId="16" xfId="0" applyFont="1" applyFill="1" applyBorder="1" applyAlignment="1">
      <alignment horizontal="center" vertical="center"/>
    </xf>
    <xf numFmtId="0" fontId="2" fillId="11" borderId="17" xfId="0" applyFont="1" applyFill="1" applyBorder="1" applyAlignment="1">
      <alignment horizontal="center" vertical="center"/>
    </xf>
    <xf numFmtId="0" fontId="2" fillId="11" borderId="18" xfId="0" applyFont="1" applyFill="1" applyBorder="1" applyAlignment="1">
      <alignment vertical="center"/>
    </xf>
    <xf numFmtId="0" fontId="0" fillId="0" borderId="11" xfId="0" applyBorder="1" applyAlignment="1">
      <alignment horizontal="center"/>
    </xf>
    <xf numFmtId="0" fontId="0" fillId="0" borderId="12" xfId="0" applyBorder="1"/>
    <xf numFmtId="0" fontId="0" fillId="0" borderId="15" xfId="0" applyBorder="1"/>
    <xf numFmtId="0" fontId="4" fillId="2" borderId="1" xfId="0" applyFont="1" applyFill="1" applyBorder="1" applyAlignment="1">
      <alignment horizontal="center" vertical="center" textRotation="90"/>
    </xf>
    <xf numFmtId="0" fontId="0" fillId="0" borderId="0" xfId="0" applyAlignment="1">
      <alignment wrapText="1"/>
    </xf>
    <xf numFmtId="0" fontId="0" fillId="0" borderId="0" xfId="0" applyAlignment="1">
      <alignment horizontal="center"/>
    </xf>
    <xf numFmtId="0" fontId="0" fillId="0" borderId="2" xfId="0" applyBorder="1" applyAlignment="1">
      <alignment horizontal="center"/>
    </xf>
    <xf numFmtId="0" fontId="0" fillId="0" borderId="2" xfId="0" applyBorder="1"/>
    <xf numFmtId="0" fontId="0" fillId="0" borderId="22" xfId="0" applyBorder="1"/>
    <xf numFmtId="0" fontId="2" fillId="11" borderId="23" xfId="0" applyFont="1" applyFill="1" applyBorder="1" applyAlignment="1">
      <alignment horizontal="center" wrapText="1"/>
    </xf>
    <xf numFmtId="0" fontId="8" fillId="0" borderId="0" xfId="0" applyFont="1" applyAlignment="1">
      <alignment wrapText="1"/>
    </xf>
    <xf numFmtId="0" fontId="3" fillId="0" borderId="16" xfId="0" applyFont="1" applyBorder="1" applyAlignment="1">
      <alignment wrapText="1"/>
    </xf>
    <xf numFmtId="0" fontId="3" fillId="0" borderId="11" xfId="0" applyFont="1" applyBorder="1" applyAlignment="1">
      <alignment wrapText="1"/>
    </xf>
    <xf numFmtId="0" fontId="3" fillId="0" borderId="13" xfId="0" applyFont="1" applyBorder="1" applyAlignment="1">
      <alignment wrapText="1"/>
    </xf>
    <xf numFmtId="0" fontId="5" fillId="16" borderId="18" xfId="0" applyFont="1" applyFill="1" applyBorder="1"/>
    <xf numFmtId="0" fontId="5" fillId="17" borderId="12" xfId="0" applyFont="1" applyFill="1" applyBorder="1"/>
    <xf numFmtId="0" fontId="5" fillId="18" borderId="12" xfId="0" applyFont="1" applyFill="1" applyBorder="1"/>
    <xf numFmtId="0" fontId="5" fillId="19" borderId="12" xfId="0" applyFont="1" applyFill="1" applyBorder="1"/>
    <xf numFmtId="0" fontId="5" fillId="20" borderId="12" xfId="0" applyFont="1" applyFill="1" applyBorder="1"/>
    <xf numFmtId="0" fontId="5" fillId="21" borderId="15" xfId="0" applyFont="1" applyFill="1" applyBorder="1"/>
    <xf numFmtId="0" fontId="3" fillId="6" borderId="1" xfId="0" applyFont="1" applyFill="1" applyBorder="1" applyAlignment="1">
      <alignment wrapText="1"/>
    </xf>
    <xf numFmtId="0" fontId="22" fillId="0" borderId="1" xfId="0" applyFont="1" applyBorder="1"/>
    <xf numFmtId="0" fontId="17" fillId="0" borderId="1" xfId="1" applyFill="1" applyBorder="1" applyAlignment="1">
      <alignment horizontal="center" wrapText="1"/>
    </xf>
    <xf numFmtId="0" fontId="3" fillId="0" borderId="1" xfId="0" applyFont="1" applyBorder="1" applyAlignment="1">
      <alignment horizontal="center" wrapText="1"/>
    </xf>
    <xf numFmtId="0" fontId="3" fillId="0" borderId="1" xfId="0" applyFont="1" applyBorder="1" applyAlignment="1">
      <alignment wrapText="1"/>
    </xf>
    <xf numFmtId="0" fontId="0" fillId="0" borderId="24" xfId="0" applyBorder="1"/>
    <xf numFmtId="0" fontId="2" fillId="3" borderId="4" xfId="0" applyFont="1" applyFill="1" applyBorder="1" applyAlignment="1">
      <alignment horizontal="center" wrapText="1"/>
    </xf>
    <xf numFmtId="0" fontId="25" fillId="22" borderId="24" xfId="0" applyFont="1" applyFill="1" applyBorder="1"/>
    <xf numFmtId="0" fontId="27" fillId="0" borderId="24" xfId="0" applyFont="1" applyBorder="1"/>
    <xf numFmtId="0" fontId="10" fillId="13" borderId="25" xfId="0" applyFont="1" applyFill="1" applyBorder="1" applyAlignment="1">
      <alignment horizontal="center" vertical="center"/>
    </xf>
    <xf numFmtId="0" fontId="10" fillId="13" borderId="4" xfId="0" applyFont="1" applyFill="1" applyBorder="1" applyAlignment="1">
      <alignment vertical="center"/>
    </xf>
    <xf numFmtId="0" fontId="10" fillId="13" borderId="26" xfId="0" applyFont="1" applyFill="1" applyBorder="1" applyAlignment="1">
      <alignment vertical="center"/>
    </xf>
    <xf numFmtId="0" fontId="0" fillId="0" borderId="24" xfId="0" applyBorder="1" applyAlignment="1">
      <alignment horizontal="center"/>
    </xf>
    <xf numFmtId="0" fontId="0" fillId="14" borderId="24" xfId="0" applyFill="1" applyBorder="1"/>
    <xf numFmtId="0" fontId="0" fillId="0" borderId="24" xfId="0" applyBorder="1" applyAlignment="1">
      <alignment wrapText="1"/>
    </xf>
    <xf numFmtId="0" fontId="0" fillId="0" borderId="28" xfId="0" applyBorder="1" applyAlignment="1">
      <alignment vertical="top" wrapText="1"/>
    </xf>
    <xf numFmtId="0" fontId="17" fillId="0" borderId="27" xfId="1" applyBorder="1" applyAlignment="1">
      <alignment vertical="top"/>
    </xf>
    <xf numFmtId="0" fontId="0" fillId="0" borderId="30" xfId="0" applyBorder="1" applyAlignment="1">
      <alignment horizontal="center"/>
    </xf>
    <xf numFmtId="0" fontId="0" fillId="0" borderId="30" xfId="0" applyBorder="1" applyAlignment="1">
      <alignment wrapText="1"/>
    </xf>
    <xf numFmtId="0" fontId="0" fillId="0" borderId="31" xfId="0" applyBorder="1" applyAlignment="1">
      <alignment vertical="top" wrapText="1"/>
    </xf>
    <xf numFmtId="0" fontId="2" fillId="11" borderId="33" xfId="0" applyFont="1" applyFill="1" applyBorder="1" applyAlignment="1">
      <alignment horizontal="center" vertical="center" wrapText="1"/>
    </xf>
    <xf numFmtId="0" fontId="2" fillId="11" borderId="33" xfId="0" applyFont="1" applyFill="1" applyBorder="1" applyAlignment="1">
      <alignment vertical="center" wrapText="1"/>
    </xf>
    <xf numFmtId="0" fontId="2" fillId="11" borderId="34" xfId="0" applyFont="1" applyFill="1" applyBorder="1" applyAlignment="1">
      <alignment vertical="center" wrapText="1"/>
    </xf>
    <xf numFmtId="0" fontId="0" fillId="0" borderId="36" xfId="0" applyBorder="1" applyAlignment="1">
      <alignment horizontal="center"/>
    </xf>
    <xf numFmtId="0" fontId="0" fillId="0" borderId="37" xfId="0" applyBorder="1" applyAlignment="1">
      <alignment vertical="top" wrapText="1"/>
    </xf>
    <xf numFmtId="0" fontId="3" fillId="4" borderId="1" xfId="0" applyFont="1" applyFill="1" applyBorder="1" applyAlignment="1">
      <alignment horizontal="left" wrapText="1"/>
    </xf>
    <xf numFmtId="0" fontId="17" fillId="24" borderId="1" xfId="1" applyFill="1" applyBorder="1" applyAlignment="1">
      <alignment horizontal="center" wrapText="1"/>
    </xf>
    <xf numFmtId="0" fontId="18" fillId="4" borderId="1" xfId="0" applyFont="1" applyFill="1" applyBorder="1" applyAlignment="1">
      <alignment horizontal="center"/>
    </xf>
    <xf numFmtId="0" fontId="18" fillId="6" borderId="1" xfId="0" applyFont="1" applyFill="1" applyBorder="1" applyAlignment="1">
      <alignment horizontal="center"/>
    </xf>
    <xf numFmtId="0" fontId="3" fillId="25" borderId="1" xfId="0" applyFont="1" applyFill="1" applyBorder="1" applyAlignment="1">
      <alignment horizontal="center"/>
    </xf>
    <xf numFmtId="0" fontId="3" fillId="25" borderId="1" xfId="0" applyFont="1" applyFill="1" applyBorder="1" applyAlignment="1">
      <alignment horizontal="center" wrapText="1"/>
    </xf>
    <xf numFmtId="0" fontId="3" fillId="25" borderId="1" xfId="0" applyFont="1" applyFill="1" applyBorder="1" applyAlignment="1">
      <alignment wrapText="1"/>
    </xf>
    <xf numFmtId="0" fontId="3" fillId="24" borderId="1" xfId="0" applyFont="1" applyFill="1" applyBorder="1" applyAlignment="1">
      <alignment horizontal="center"/>
    </xf>
    <xf numFmtId="0" fontId="3" fillId="24" borderId="1" xfId="0" applyFont="1" applyFill="1" applyBorder="1" applyAlignment="1">
      <alignment horizontal="center" wrapText="1"/>
    </xf>
    <xf numFmtId="0" fontId="3" fillId="24" borderId="1" xfId="0" applyFont="1" applyFill="1" applyBorder="1" applyAlignment="1">
      <alignment wrapText="1"/>
    </xf>
    <xf numFmtId="0" fontId="18" fillId="4" borderId="1" xfId="0" applyFont="1" applyFill="1" applyBorder="1" applyAlignment="1">
      <alignment horizontal="center" wrapText="1"/>
    </xf>
    <xf numFmtId="0" fontId="18" fillId="4" borderId="1" xfId="0" applyFont="1" applyFill="1" applyBorder="1" applyAlignment="1">
      <alignment wrapText="1"/>
    </xf>
    <xf numFmtId="0" fontId="17" fillId="25" borderId="1" xfId="1" applyFill="1" applyBorder="1" applyAlignment="1">
      <alignment horizontal="center" wrapText="1"/>
    </xf>
    <xf numFmtId="0" fontId="17" fillId="26" borderId="27" xfId="1" applyFill="1" applyBorder="1" applyAlignment="1">
      <alignment vertical="top" wrapText="1"/>
    </xf>
    <xf numFmtId="0" fontId="17" fillId="26" borderId="29" xfId="1" applyFill="1" applyBorder="1" applyAlignment="1">
      <alignment vertical="top" wrapText="1"/>
    </xf>
    <xf numFmtId="0" fontId="5" fillId="27" borderId="1" xfId="0" applyFont="1" applyFill="1" applyBorder="1" applyAlignment="1">
      <alignment horizontal="center" vertical="center"/>
    </xf>
    <xf numFmtId="0" fontId="0" fillId="0" borderId="13" xfId="0" applyBorder="1" applyAlignment="1">
      <alignment horizontal="center"/>
    </xf>
    <xf numFmtId="0" fontId="0" fillId="0" borderId="14" xfId="0" applyBorder="1" applyAlignment="1">
      <alignment horizontal="center"/>
    </xf>
    <xf numFmtId="0" fontId="14" fillId="24" borderId="0" xfId="0" applyFont="1" applyFill="1"/>
    <xf numFmtId="0" fontId="2" fillId="11" borderId="32" xfId="0" applyFont="1" applyFill="1" applyBorder="1" applyAlignment="1">
      <alignment vertical="center" wrapText="1"/>
    </xf>
    <xf numFmtId="0" fontId="2" fillId="3" borderId="0" xfId="0" applyFont="1" applyFill="1" applyAlignment="1">
      <alignment horizontal="center" wrapText="1"/>
    </xf>
    <xf numFmtId="0" fontId="0" fillId="0" borderId="38" xfId="0" applyBorder="1"/>
    <xf numFmtId="0" fontId="25" fillId="22" borderId="36" xfId="0" applyFont="1" applyFill="1" applyBorder="1"/>
    <xf numFmtId="0" fontId="0" fillId="0" borderId="36" xfId="0" applyBorder="1"/>
    <xf numFmtId="0" fontId="17" fillId="0" borderId="35" xfId="1" applyBorder="1" applyAlignment="1">
      <alignment vertical="top"/>
    </xf>
    <xf numFmtId="0" fontId="22" fillId="0" borderId="36" xfId="0" applyFont="1" applyBorder="1" applyAlignment="1">
      <alignment wrapText="1"/>
    </xf>
    <xf numFmtId="0" fontId="3" fillId="23" borderId="0" xfId="0" applyFont="1" applyFill="1" applyAlignment="1">
      <alignment horizontal="center"/>
    </xf>
    <xf numFmtId="0" fontId="17" fillId="28" borderId="27" xfId="1" applyFill="1" applyBorder="1" applyAlignment="1">
      <alignment vertical="top" wrapText="1"/>
    </xf>
    <xf numFmtId="0" fontId="3" fillId="28" borderId="2" xfId="0" applyFont="1" applyFill="1" applyBorder="1" applyAlignment="1">
      <alignment wrapText="1"/>
    </xf>
    <xf numFmtId="0" fontId="18" fillId="28" borderId="15" xfId="0" applyFont="1" applyFill="1" applyBorder="1" applyAlignment="1">
      <alignment vertical="center"/>
    </xf>
    <xf numFmtId="0" fontId="30" fillId="28" borderId="13" xfId="0" applyFont="1" applyFill="1" applyBorder="1" applyAlignment="1">
      <alignment horizontal="center" vertical="center"/>
    </xf>
    <xf numFmtId="0" fontId="31" fillId="28" borderId="14" xfId="0" applyFont="1" applyFill="1" applyBorder="1" applyAlignment="1">
      <alignment vertical="center"/>
    </xf>
    <xf numFmtId="0" fontId="30" fillId="0" borderId="11" xfId="0" applyFont="1" applyBorder="1" applyAlignment="1">
      <alignment horizontal="center" vertical="center"/>
    </xf>
    <xf numFmtId="0" fontId="30" fillId="0" borderId="13" xfId="0" applyFont="1" applyBorder="1" applyAlignment="1">
      <alignment horizontal="center" vertical="center"/>
    </xf>
    <xf numFmtId="0" fontId="30" fillId="0" borderId="11" xfId="0" applyFont="1" applyBorder="1" applyAlignment="1">
      <alignment horizontal="left" vertical="center"/>
    </xf>
    <xf numFmtId="0" fontId="18" fillId="8" borderId="12" xfId="0" applyFont="1" applyFill="1" applyBorder="1" applyAlignment="1">
      <alignment vertical="center"/>
    </xf>
    <xf numFmtId="0" fontId="18" fillId="8" borderId="15" xfId="0" applyFont="1" applyFill="1" applyBorder="1" applyAlignment="1">
      <alignment vertical="center"/>
    </xf>
    <xf numFmtId="0" fontId="0" fillId="8" borderId="24" xfId="0" applyFill="1" applyBorder="1"/>
    <xf numFmtId="0" fontId="29" fillId="20" borderId="39" xfId="0" applyFont="1" applyFill="1" applyBorder="1"/>
    <xf numFmtId="0" fontId="29" fillId="20" borderId="40" xfId="0" applyFont="1" applyFill="1" applyBorder="1"/>
    <xf numFmtId="0" fontId="29" fillId="20" borderId="41" xfId="0" applyFont="1" applyFill="1" applyBorder="1"/>
    <xf numFmtId="0" fontId="29" fillId="0" borderId="0" xfId="0" applyFont="1"/>
    <xf numFmtId="0" fontId="0" fillId="0" borderId="1" xfId="0" quotePrefix="1" applyBorder="1" applyAlignment="1">
      <alignment horizontal="center"/>
    </xf>
    <xf numFmtId="0" fontId="27" fillId="0" borderId="11" xfId="0" applyFont="1" applyBorder="1"/>
    <xf numFmtId="0" fontId="27" fillId="0" borderId="1" xfId="0" applyFont="1" applyBorder="1"/>
    <xf numFmtId="0" fontId="0" fillId="0" borderId="11" xfId="0" applyBorder="1"/>
    <xf numFmtId="0" fontId="0" fillId="0" borderId="13" xfId="0" applyBorder="1"/>
    <xf numFmtId="0" fontId="0" fillId="0" borderId="14" xfId="0" applyBorder="1"/>
    <xf numFmtId="0" fontId="17" fillId="4" borderId="1" xfId="1" applyFill="1" applyBorder="1" applyAlignment="1">
      <alignment wrapText="1"/>
    </xf>
    <xf numFmtId="0" fontId="0" fillId="8" borderId="12" xfId="0" applyFill="1" applyBorder="1"/>
    <xf numFmtId="0" fontId="0" fillId="8" borderId="15" xfId="0" applyFill="1" applyBorder="1"/>
    <xf numFmtId="0" fontId="0" fillId="0" borderId="11" xfId="0" applyBorder="1" applyAlignment="1">
      <alignment vertical="center" wrapText="1"/>
    </xf>
    <xf numFmtId="0" fontId="0" fillId="0" borderId="13" xfId="0" applyBorder="1" applyAlignment="1">
      <alignment vertical="center" wrapText="1"/>
    </xf>
    <xf numFmtId="0" fontId="11" fillId="12" borderId="1" xfId="0" applyFont="1" applyFill="1" applyBorder="1" applyAlignment="1">
      <alignment horizontal="center" vertical="center"/>
    </xf>
    <xf numFmtId="0" fontId="11" fillId="11" borderId="1" xfId="0" applyFont="1" applyFill="1" applyBorder="1" applyAlignment="1">
      <alignment horizontal="center" vertical="center"/>
    </xf>
    <xf numFmtId="0" fontId="10" fillId="13" borderId="1" xfId="0" applyFont="1" applyFill="1" applyBorder="1" applyAlignment="1">
      <alignment horizontal="center" vertical="center"/>
    </xf>
    <xf numFmtId="0" fontId="32" fillId="26" borderId="1" xfId="0" applyFont="1" applyFill="1" applyBorder="1" applyAlignment="1">
      <alignment vertical="center" wrapText="1"/>
    </xf>
    <xf numFmtId="0" fontId="28" fillId="20" borderId="42" xfId="0" applyFont="1" applyFill="1" applyBorder="1" applyAlignment="1">
      <alignment horizontal="left"/>
    </xf>
    <xf numFmtId="0" fontId="33" fillId="22" borderId="24" xfId="0" applyFont="1" applyFill="1" applyBorder="1"/>
    <xf numFmtId="0" fontId="35" fillId="0" borderId="0" xfId="0" applyFont="1"/>
    <xf numFmtId="0" fontId="36" fillId="0" borderId="0" xfId="0" applyFont="1"/>
    <xf numFmtId="0" fontId="37" fillId="0" borderId="0" xfId="0" applyFont="1" applyAlignment="1">
      <alignment vertical="center"/>
    </xf>
    <xf numFmtId="0" fontId="38" fillId="0" borderId="0" xfId="0" applyFont="1" applyAlignment="1">
      <alignment vertical="center"/>
    </xf>
    <xf numFmtId="0" fontId="25" fillId="20" borderId="24" xfId="0" applyFont="1" applyFill="1" applyBorder="1"/>
    <xf numFmtId="0" fontId="41" fillId="20" borderId="0" xfId="0" applyFont="1" applyFill="1"/>
    <xf numFmtId="0" fontId="40" fillId="20" borderId="24" xfId="0" applyFont="1" applyFill="1" applyBorder="1"/>
    <xf numFmtId="0" fontId="42" fillId="20" borderId="42" xfId="0" applyFont="1" applyFill="1" applyBorder="1" applyAlignment="1">
      <alignment horizontal="left"/>
    </xf>
    <xf numFmtId="0" fontId="41" fillId="20" borderId="0" xfId="0" applyFont="1" applyFill="1" applyAlignment="1">
      <alignment vertical="center"/>
    </xf>
    <xf numFmtId="0" fontId="43" fillId="20" borderId="0" xfId="0" applyFont="1" applyFill="1" applyAlignment="1">
      <alignment vertical="center"/>
    </xf>
    <xf numFmtId="0" fontId="41" fillId="20" borderId="24" xfId="0" applyFont="1" applyFill="1" applyBorder="1"/>
    <xf numFmtId="0" fontId="25" fillId="22" borderId="43" xfId="0" applyFont="1" applyFill="1" applyBorder="1"/>
    <xf numFmtId="0" fontId="25" fillId="22" borderId="44" xfId="0" applyFont="1" applyFill="1" applyBorder="1"/>
    <xf numFmtId="0" fontId="38" fillId="20" borderId="0" xfId="0" applyFont="1" applyFill="1" applyAlignment="1">
      <alignment vertical="center"/>
    </xf>
    <xf numFmtId="0" fontId="39" fillId="20" borderId="24" xfId="0" applyFont="1" applyFill="1" applyBorder="1"/>
    <xf numFmtId="0" fontId="36" fillId="29" borderId="0" xfId="0" applyFont="1" applyFill="1" applyAlignment="1">
      <alignment wrapText="1"/>
    </xf>
    <xf numFmtId="0" fontId="44" fillId="8" borderId="0" xfId="0" applyFont="1" applyFill="1"/>
    <xf numFmtId="0" fontId="45" fillId="8" borderId="0" xfId="0" applyFont="1" applyFill="1"/>
    <xf numFmtId="0" fontId="47" fillId="22" borderId="24" xfId="0" applyFont="1" applyFill="1" applyBorder="1"/>
    <xf numFmtId="0" fontId="43" fillId="20" borderId="0" xfId="0" applyFont="1" applyFill="1" applyAlignment="1">
      <alignment vertical="center" wrapText="1"/>
    </xf>
    <xf numFmtId="0" fontId="41" fillId="20" borderId="24" xfId="0" applyFont="1" applyFill="1" applyBorder="1" applyAlignment="1">
      <alignment wrapText="1"/>
    </xf>
    <xf numFmtId="0" fontId="40" fillId="20" borderId="24" xfId="0" applyFont="1" applyFill="1" applyBorder="1" applyAlignment="1">
      <alignment wrapText="1"/>
    </xf>
    <xf numFmtId="0" fontId="24" fillId="9" borderId="1" xfId="0" applyFont="1" applyFill="1" applyBorder="1" applyAlignment="1">
      <alignment horizontal="center" textRotation="90"/>
    </xf>
    <xf numFmtId="0" fontId="6" fillId="7" borderId="0" xfId="0" applyFont="1" applyFill="1" applyAlignment="1">
      <alignment horizontal="center" vertical="center"/>
    </xf>
    <xf numFmtId="0" fontId="24" fillId="5" borderId="1" xfId="0" applyFont="1" applyFill="1" applyBorder="1" applyAlignment="1">
      <alignment horizontal="center" textRotation="90"/>
    </xf>
    <xf numFmtId="0" fontId="24" fillId="8" borderId="1" xfId="0" applyFont="1" applyFill="1" applyBorder="1" applyAlignment="1">
      <alignment horizontal="center" textRotation="90"/>
    </xf>
    <xf numFmtId="0" fontId="4" fillId="2" borderId="7" xfId="0" applyFont="1" applyFill="1" applyBorder="1" applyAlignment="1">
      <alignment horizontal="center" vertical="center" textRotation="90"/>
    </xf>
    <xf numFmtId="0" fontId="4" fillId="2" borderId="0" xfId="0" applyFont="1" applyFill="1" applyAlignment="1">
      <alignment horizontal="center" vertical="center" textRotation="90"/>
    </xf>
    <xf numFmtId="0" fontId="4" fillId="2" borderId="1" xfId="0" applyFont="1" applyFill="1" applyBorder="1" applyAlignment="1">
      <alignment horizontal="center" vertical="center" textRotation="90"/>
    </xf>
    <xf numFmtId="0" fontId="4" fillId="2" borderId="2" xfId="0" applyFont="1" applyFill="1" applyBorder="1" applyAlignment="1">
      <alignment horizontal="center"/>
    </xf>
    <xf numFmtId="0" fontId="4" fillId="2" borderId="3" xfId="0" applyFont="1" applyFill="1" applyBorder="1" applyAlignment="1">
      <alignment horizontal="center"/>
    </xf>
    <xf numFmtId="0" fontId="4" fillId="2" borderId="4" xfId="0" applyFont="1" applyFill="1" applyBorder="1" applyAlignment="1">
      <alignment horizontal="center" vertical="center" textRotation="90"/>
    </xf>
    <xf numFmtId="0" fontId="4" fillId="2" borderId="5" xfId="0" applyFont="1" applyFill="1" applyBorder="1" applyAlignment="1">
      <alignment horizontal="center" vertical="center" textRotation="90"/>
    </xf>
    <xf numFmtId="0" fontId="4" fillId="2" borderId="6" xfId="0" applyFont="1" applyFill="1" applyBorder="1" applyAlignment="1">
      <alignment horizontal="center" vertical="center" textRotation="90"/>
    </xf>
    <xf numFmtId="0" fontId="3" fillId="23" borderId="7" xfId="0" applyFont="1" applyFill="1" applyBorder="1" applyAlignment="1">
      <alignment horizontal="center"/>
    </xf>
    <xf numFmtId="0" fontId="3" fillId="23" borderId="0" xfId="0" applyFont="1" applyFill="1" applyAlignment="1">
      <alignment horizontal="center"/>
    </xf>
    <xf numFmtId="0" fontId="4" fillId="2" borderId="9" xfId="0" applyFont="1" applyFill="1" applyBorder="1" applyAlignment="1">
      <alignment horizontal="center" vertical="center" textRotation="90"/>
    </xf>
    <xf numFmtId="0" fontId="4" fillId="2" borderId="10" xfId="0" applyFont="1" applyFill="1" applyBorder="1" applyAlignment="1">
      <alignment horizontal="center" vertical="center" textRotation="90"/>
    </xf>
    <xf numFmtId="0" fontId="4" fillId="2" borderId="8" xfId="0" applyFont="1" applyFill="1" applyBorder="1" applyAlignment="1">
      <alignment horizontal="center" textRotation="90"/>
    </xf>
    <xf numFmtId="0" fontId="4" fillId="2" borderId="9" xfId="0" applyFont="1" applyFill="1" applyBorder="1" applyAlignment="1">
      <alignment horizontal="center" textRotation="90"/>
    </xf>
    <xf numFmtId="0" fontId="11" fillId="12" borderId="17" xfId="0" applyFont="1" applyFill="1" applyBorder="1" applyAlignment="1">
      <alignment horizontal="center" vertical="center"/>
    </xf>
    <xf numFmtId="0" fontId="11" fillId="12" borderId="18" xfId="0" applyFont="1" applyFill="1" applyBorder="1" applyAlignment="1">
      <alignment horizontal="center" vertical="center"/>
    </xf>
    <xf numFmtId="0" fontId="12" fillId="11" borderId="1" xfId="0" applyFont="1" applyFill="1" applyBorder="1" applyAlignment="1">
      <alignment horizontal="left" vertical="center" wrapText="1"/>
    </xf>
    <xf numFmtId="0" fontId="12" fillId="11" borderId="12" xfId="0" applyFont="1" applyFill="1" applyBorder="1" applyAlignment="1">
      <alignment horizontal="left" vertical="center" wrapText="1"/>
    </xf>
    <xf numFmtId="0" fontId="11" fillId="12" borderId="1" xfId="0" applyFont="1" applyFill="1" applyBorder="1" applyAlignment="1">
      <alignment horizontal="center" vertical="center"/>
    </xf>
    <xf numFmtId="0" fontId="23" fillId="11" borderId="1" xfId="0" applyFont="1" applyFill="1" applyBorder="1" applyAlignment="1">
      <alignment horizontal="left" vertical="center" wrapText="1"/>
    </xf>
    <xf numFmtId="0" fontId="23" fillId="11" borderId="12" xfId="0" applyFont="1" applyFill="1" applyBorder="1" applyAlignment="1">
      <alignment horizontal="left" vertical="center" wrapText="1"/>
    </xf>
    <xf numFmtId="0" fontId="21" fillId="11" borderId="12" xfId="0" applyFont="1" applyFill="1" applyBorder="1" applyAlignment="1">
      <alignment horizontal="left" vertical="center" wrapText="1"/>
    </xf>
    <xf numFmtId="0" fontId="11" fillId="12" borderId="17" xfId="0" applyFont="1" applyFill="1" applyBorder="1" applyAlignment="1">
      <alignment horizontal="center" vertical="center" wrapText="1"/>
    </xf>
    <xf numFmtId="0" fontId="11" fillId="12" borderId="20" xfId="0" applyFont="1" applyFill="1" applyBorder="1" applyAlignment="1">
      <alignment horizontal="center" vertical="center"/>
    </xf>
    <xf numFmtId="0" fontId="11" fillId="12" borderId="21" xfId="0" applyFont="1" applyFill="1" applyBorder="1" applyAlignment="1">
      <alignment horizontal="center" vertical="center"/>
    </xf>
    <xf numFmtId="0" fontId="28" fillId="20" borderId="42" xfId="0" applyFont="1" applyFill="1" applyBorder="1" applyAlignment="1">
      <alignment horizontal="left"/>
    </xf>
    <xf numFmtId="0" fontId="1" fillId="20" borderId="38" xfId="0" applyFont="1" applyFill="1" applyBorder="1"/>
    <xf numFmtId="0" fontId="1" fillId="22" borderId="36" xfId="0" applyFont="1" applyFill="1" applyBorder="1"/>
    <xf numFmtId="0" fontId="1" fillId="22" borderId="24" xfId="0" applyFont="1" applyFill="1" applyBorder="1"/>
    <xf numFmtId="0" fontId="1" fillId="20" borderId="24" xfId="0" applyFont="1" applyFill="1" applyBorder="1"/>
    <xf numFmtId="0" fontId="1"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ocumenttasks/documenttask1.xml><?xml version="1.0" encoding="utf-8"?>
<Tasks xmlns="http://schemas.microsoft.com/office/tasks/2019/documenttasks">
  <Task id="{CE649E40-F4A2-469E-BEA7-AE794028FA2B}">
    <Anchor>
      <Comment id="{EE3F7046-ED84-417E-A8F7-A487EC5373B8}"/>
    </Anchor>
    <History>
      <Event time="2023-06-05T11:09:50.95" id="{0EC5FF13-D302-4F4C-9C36-C0F01072BEF6}">
        <Attribution userId="S::sduncan@openboxsoftware.com::c1d0992b-0ec5-443a-8c6c-87e1361e2b1d" userName="Sam Duncan" userProvider="AD"/>
        <Anchor>
          <Comment id="{EE3F7046-ED84-417E-A8F7-A487EC5373B8}"/>
        </Anchor>
        <Create/>
      </Event>
      <Event time="2023-06-05T11:09:50.95" id="{96102660-F86B-431B-B6C5-77480A7CCE8B}">
        <Attribution userId="S::sduncan@openboxsoftware.com::c1d0992b-0ec5-443a-8c6c-87e1361e2b1d" userName="Sam Duncan" userProvider="AD"/>
        <Anchor>
          <Comment id="{EE3F7046-ED84-417E-A8F7-A487EC5373B8}"/>
        </Anchor>
        <Assign userId="S::asalecha@openboxsoftware.com::cecf0fa8-0fc6-4f4f-987c-bb3ca9611c19" userName="Anjali Salecha" userProvider="AD"/>
      </Event>
      <Event time="2023-06-05T11:09:50.95" id="{D439847C-ECB3-415E-A125-63DE4D902CE8}">
        <Attribution userId="S::sduncan@openboxsoftware.com::c1d0992b-0ec5-443a-8c6c-87e1361e2b1d" userName="Sam Duncan" userProvider="AD"/>
        <Anchor>
          <Comment id="{EE3F7046-ED84-417E-A8F7-A487EC5373B8}"/>
        </Anchor>
        <SetTitle title="@Anjali Salecha Please can you update this to have a hard coded value of 2. This should be done via CMDT as per all the other hard coded values please."/>
      </Event>
    </History>
  </Task>
  <Task id="{13666CAE-1CC0-4D47-8F2A-FE9EB707F845}">
    <Anchor>
      <Comment id="{04235417-9291-4154-9973-A118001EB132}"/>
    </Anchor>
    <History>
      <Event time="2023-06-05T10:46:01.57" id="{EAA6303C-E6DA-4711-8E03-97F2307FFBDA}">
        <Attribution userId="S::sduncan@openboxsoftware.com::c1d0992b-0ec5-443a-8c6c-87e1361e2b1d" userName="Sam Duncan" userProvider="AD"/>
        <Anchor>
          <Comment id="{04235417-9291-4154-9973-A118001EB132}"/>
        </Anchor>
        <Create/>
      </Event>
      <Event time="2023-06-05T10:46:01.57" id="{FDE0E909-2528-4D1F-AB59-E750707A3566}">
        <Attribution userId="S::sduncan@openboxsoftware.com::c1d0992b-0ec5-443a-8c6c-87e1361e2b1d" userName="Sam Duncan" userProvider="AD"/>
        <Anchor>
          <Comment id="{04235417-9291-4154-9973-A118001EB132}"/>
        </Anchor>
        <Assign userId="S::asalecha@openboxsoftware.com::cecf0fa8-0fc6-4f4f-987c-bb3ca9611c19" userName="Anjali Salecha" userProvider="AD"/>
      </Event>
      <Event time="2023-06-05T10:46:01.57" id="{91D99F7E-517C-4F29-952A-3D0BDF7EBE0B}">
        <Attribution userId="S::sduncan@openboxsoftware.com::c1d0992b-0ec5-443a-8c6c-87e1361e2b1d" userName="Sam Duncan" userProvider="AD"/>
        <Anchor>
          <Comment id="{04235417-9291-4154-9973-A118001EB132}"/>
        </Anchor>
        <SetTitle title="@Anjali Salecha Please can you update the code when you're back at work so that this value is computed by counting opportunity contact role records"/>
      </Event>
    </History>
  </Task>
  <Task id="{B793C8CE-A820-4C0C-A822-4A081C0B545A}">
    <Anchor>
      <Comment id="{984912E5-1BA5-469D-B6E3-716031440053}"/>
    </Anchor>
    <History>
      <Event time="2023-06-05T11:12:58.19" id="{A1B4CD40-FD00-4238-8023-438C18E0AAC3}">
        <Attribution userId="S::sduncan@openboxsoftware.com::c1d0992b-0ec5-443a-8c6c-87e1361e2b1d" userName="Sam Duncan" userProvider="AD"/>
        <Anchor>
          <Comment id="{984912E5-1BA5-469D-B6E3-716031440053}"/>
        </Anchor>
        <Create/>
      </Event>
      <Event time="2023-06-05T11:12:58.19" id="{E4842A37-E7DD-4AC9-B532-A605A70845ED}">
        <Attribution userId="S::sduncan@openboxsoftware.com::c1d0992b-0ec5-443a-8c6c-87e1361e2b1d" userName="Sam Duncan" userProvider="AD"/>
        <Anchor>
          <Comment id="{984912E5-1BA5-469D-B6E3-716031440053}"/>
        </Anchor>
        <Assign userId="S::asalecha@openboxsoftware.com::cecf0fa8-0fc6-4f4f-987c-bb3ca9611c19" userName="Anjali Salecha" userProvider="AD"/>
      </Event>
      <Event time="2023-06-05T11:12:58.19" id="{7E0A9A55-F2EA-406D-BEDE-2B9237492342}">
        <Attribution userId="S::sduncan@openboxsoftware.com::c1d0992b-0ec5-443a-8c6c-87e1361e2b1d" userName="Sam Duncan" userProvider="AD"/>
        <Anchor>
          <Comment id="{984912E5-1BA5-469D-B6E3-716031440053}"/>
        </Anchor>
        <SetTitle title="@Anjali Salecha please can you adjust so that it will default to pass a value of 6 if Salesforce field is not populated."/>
      </Event>
    </History>
  </Task>
</Task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2</xdr:col>
      <xdr:colOff>360362</xdr:colOff>
      <xdr:row>3</xdr:row>
      <xdr:rowOff>110332</xdr:rowOff>
    </xdr:from>
    <xdr:to>
      <xdr:col>13</xdr:col>
      <xdr:colOff>288130</xdr:colOff>
      <xdr:row>47</xdr:row>
      <xdr:rowOff>164307</xdr:rowOff>
    </xdr:to>
    <xdr:pic>
      <xdr:nvPicPr>
        <xdr:cNvPr id="5" name="Picture 4">
          <a:extLst>
            <a:ext uri="{FF2B5EF4-FFF2-40B4-BE49-F238E27FC236}">
              <a16:creationId xmlns:a16="http://schemas.microsoft.com/office/drawing/2014/main" id="{ECF90C29-5017-2EEE-7177-418988644BC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582737" y="745332"/>
          <a:ext cx="6650831" cy="8086725"/>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pic>
    <xdr:clientData/>
  </xdr:twoCellAnchor>
</xdr:wsDr>
</file>

<file path=xl/persons/person.xml><?xml version="1.0" encoding="utf-8"?>
<personList xmlns="http://schemas.microsoft.com/office/spreadsheetml/2018/threadedcomments" xmlns:x="http://schemas.openxmlformats.org/spreadsheetml/2006/main">
  <person displayName="Anjali Salecha" id="{E2BD6BC0-64C2-4E28-B913-EB50A5E14FEF}" userId="asalecha@openboxsoftware.com" providerId="PeoplePicker"/>
  <person displayName="Sam Duncan" id="{A123DA5B-BDA5-4C6D-A9CF-D08D07F89E2F}" userId="S::sduncan@openboxsoftware.com::c1d0992b-0ec5-443a-8c6c-87e1361e2b1d" providerId="AD"/>
  <person displayName="Khonani Davhana" id="{8606B46B-7614-48D2-97B8-5B25C76826E7}" userId="S::kdavhana@openboxsoftware.com::222817fc-0cf9-4c86-be23-c340a19ae17d"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10" dT="2023-05-15T08:17:53.26" personId="{A123DA5B-BDA5-4C6D-A9CF-D08D07F89E2F}" id="{863DD782-4758-4FD9-8549-54A6BC921FD3}">
    <text>Property Type is multi-select picklist in Grainger org.  We need guidance on how to use this.</text>
  </threadedComment>
  <threadedComment ref="E12" dT="2023-05-30T10:25:10.72" personId="{8606B46B-7614-48D2-97B8-5B25C76826E7}" id="{30029E11-1053-49D7-B465-586365A5D01E}">
    <text>This field is Mandatory</text>
  </threadedComment>
  <threadedComment ref="B13" dT="2023-06-05T10:46:02.56" personId="{A123DA5B-BDA5-4C6D-A9CF-D08D07F89E2F}" id="{04235417-9291-4154-9973-A118001EB132}">
    <text>@Anjali Salecha  Please can you update the code when you're back at work so that this value is computed by counting opportunity contact role records</text>
    <mentions>
      <mention mentionpersonId="{E2BD6BC0-64C2-4E28-B913-EB50A5E14FEF}" mentionId="{64DA7D3E-F4CD-4273-9FAF-BC24482ACA41}" startIndex="0" length="15"/>
    </mentions>
  </threadedComment>
  <threadedComment ref="B30" dT="2023-06-05T11:12:58.99" personId="{A123DA5B-BDA5-4C6D-A9CF-D08D07F89E2F}" id="{984912E5-1BA5-469D-B6E3-716031440053}">
    <text>@Anjali Salecha  please can you adjust so that it will default to pass a value of 6 if Salesforce field is not populated.</text>
    <mentions>
      <mention mentionpersonId="{E2BD6BC0-64C2-4E28-B913-EB50A5E14FEF}" mentionId="{FE778EE8-8F23-426C-AB46-DF667CBFB781}" startIndex="0" length="15"/>
    </mentions>
  </threadedComment>
  <threadedComment ref="B36" dT="2023-06-05T11:09:51.77" personId="{A123DA5B-BDA5-4C6D-A9CF-D08D07F89E2F}" id="{EE3F7046-ED84-417E-A8F7-A487EC5373B8}">
    <text>@Anjali Salecha  Please can you update this to have a hard coded value of 2.  This should be done via CMDT as per all the other hard coded values please.</text>
    <mentions>
      <mention mentionpersonId="{E2BD6BC0-64C2-4E28-B913-EB50A5E14FEF}" mentionId="{A594C2FE-C910-45FC-8DD6-65F1F3319811}" startIndex="0" length="15"/>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B20" dT="2023-05-15T08:07:54.78" personId="{A123DA5B-BDA5-4C6D-A9CF-D08D07F89E2F}" id="{8DA565B6-DD7D-4C54-B42C-A2EB24C06F0C}">
    <text>Can tenants have non-UK telephone numbers?</text>
  </threadedComment>
  <threadedComment ref="B43" dT="2023-05-15T08:07:54.78" personId="{A123DA5B-BDA5-4C6D-A9CF-D08D07F89E2F}" id="{B092A0D3-C006-405A-892A-100319CBEA72}">
    <text>Can tenants have non-UK telephone numbers?</text>
  </threadedComment>
  <threadedComment ref="B47" dT="2023-05-15T08:08:14.01" personId="{A123DA5B-BDA5-4C6D-A9CF-D08D07F89E2F}" id="{84338EDE-9207-43D6-817D-00DC253B7482}">
    <text>Can tenants have non-UK telephone numbers?</text>
  </threadedComment>
</ThreadedComment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5" Type="http://schemas.microsoft.com/office/2019/04/relationships/documenttask" Target="../documenttasks/documenttask1.xml"/><Relationship Id="rId4" Type="http://schemas.microsoft.com/office/2017/10/relationships/threadedComment" Target="../threadedComments/threadedComment1.xml"/></Relationships>
</file>

<file path=xl/worksheets/_rels/sheet9.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9EBA7-F0C4-4643-A31C-76186157AE81}">
  <dimension ref="B1:E13"/>
  <sheetViews>
    <sheetView zoomScale="80" zoomScaleNormal="80" workbookViewId="0">
      <selection activeCell="D11" sqref="D11"/>
    </sheetView>
  </sheetViews>
  <sheetFormatPr defaultRowHeight="14.45"/>
  <cols>
    <col min="2" max="2" width="8.7109375" style="75"/>
    <col min="3" max="3" width="16.42578125" style="75" customWidth="1"/>
    <col min="4" max="4" width="36.5703125" customWidth="1"/>
    <col min="5" max="5" width="103.42578125" customWidth="1"/>
  </cols>
  <sheetData>
    <row r="1" spans="2:5" ht="15" thickBot="1">
      <c r="D1" s="74"/>
    </row>
    <row r="2" spans="2:5" ht="32.1" customHeight="1">
      <c r="B2" s="67" t="s">
        <v>0</v>
      </c>
      <c r="C2" s="68" t="s">
        <v>1</v>
      </c>
      <c r="D2" s="79" t="s">
        <v>2</v>
      </c>
      <c r="E2" s="69" t="s">
        <v>3</v>
      </c>
    </row>
    <row r="3" spans="2:5">
      <c r="B3" s="70" t="s">
        <v>4</v>
      </c>
      <c r="C3" s="157" t="s">
        <v>5</v>
      </c>
      <c r="D3" s="76"/>
      <c r="E3" s="71" t="s">
        <v>6</v>
      </c>
    </row>
    <row r="4" spans="2:5">
      <c r="B4" s="70" t="s">
        <v>7</v>
      </c>
      <c r="C4" s="66" t="s">
        <v>8</v>
      </c>
      <c r="D4" s="77" t="s">
        <v>9</v>
      </c>
      <c r="E4" s="71" t="s">
        <v>10</v>
      </c>
    </row>
    <row r="5" spans="2:5">
      <c r="B5" s="70" t="s">
        <v>11</v>
      </c>
      <c r="C5" s="66" t="s">
        <v>8</v>
      </c>
      <c r="D5" s="77" t="s">
        <v>9</v>
      </c>
      <c r="E5" s="71" t="s">
        <v>12</v>
      </c>
    </row>
    <row r="6" spans="2:5">
      <c r="B6" s="70" t="s">
        <v>13</v>
      </c>
      <c r="C6" s="66" t="s">
        <v>8</v>
      </c>
      <c r="D6" s="77" t="s">
        <v>9</v>
      </c>
      <c r="E6" s="71" t="s">
        <v>14</v>
      </c>
    </row>
    <row r="7" spans="2:5">
      <c r="B7" s="70" t="s">
        <v>15</v>
      </c>
      <c r="C7" s="66" t="s">
        <v>8</v>
      </c>
      <c r="D7" s="77" t="s">
        <v>9</v>
      </c>
      <c r="E7" s="71" t="s">
        <v>16</v>
      </c>
    </row>
    <row r="8" spans="2:5">
      <c r="B8" s="70" t="s">
        <v>17</v>
      </c>
      <c r="C8" s="66" t="s">
        <v>8</v>
      </c>
      <c r="D8" s="77" t="s">
        <v>9</v>
      </c>
      <c r="E8" s="71" t="s">
        <v>18</v>
      </c>
    </row>
    <row r="9" spans="2:5">
      <c r="B9" s="70"/>
      <c r="C9" s="66"/>
      <c r="D9" s="77"/>
      <c r="E9" s="71"/>
    </row>
    <row r="10" spans="2:5">
      <c r="B10" s="70"/>
      <c r="C10" s="66"/>
      <c r="D10" s="77"/>
      <c r="E10" s="71"/>
    </row>
    <row r="11" spans="2:5">
      <c r="B11" s="70"/>
      <c r="C11" s="66"/>
      <c r="D11" s="77"/>
      <c r="E11" s="71"/>
    </row>
    <row r="12" spans="2:5">
      <c r="B12" s="70"/>
      <c r="C12" s="66"/>
      <c r="D12" s="77"/>
      <c r="E12" s="71"/>
    </row>
    <row r="13" spans="2:5" ht="15" thickBot="1">
      <c r="B13" s="131"/>
      <c r="C13" s="132"/>
      <c r="D13" s="78"/>
      <c r="E13" s="7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FC01ED-C4C4-47A8-ABB0-7C04B41FCD98}">
  <sheetPr>
    <tabColor rgb="FF7030A0"/>
  </sheetPr>
  <dimension ref="B3:E20"/>
  <sheetViews>
    <sheetView zoomScale="70" zoomScaleNormal="70" workbookViewId="0">
      <selection activeCell="B7" sqref="B7"/>
    </sheetView>
  </sheetViews>
  <sheetFormatPr defaultRowHeight="15" customHeight="1"/>
  <cols>
    <col min="1" max="1" width="4.5703125" customWidth="1"/>
    <col min="2" max="2" width="55.42578125" bestFit="1" customWidth="1"/>
    <col min="3" max="3" width="8.7109375" style="75"/>
    <col min="4" max="4" width="100.5703125" style="74" customWidth="1"/>
    <col min="5" max="5" width="84.5703125" customWidth="1"/>
  </cols>
  <sheetData>
    <row r="3" spans="2:5" ht="29.1">
      <c r="B3" s="134" t="s">
        <v>19</v>
      </c>
      <c r="C3" s="110" t="s">
        <v>20</v>
      </c>
      <c r="D3" s="111" t="s">
        <v>21</v>
      </c>
      <c r="E3" s="112" t="s">
        <v>22</v>
      </c>
    </row>
    <row r="4" spans="2:5" ht="29.1">
      <c r="B4" s="139" t="s">
        <v>23</v>
      </c>
      <c r="C4" s="113">
        <v>0.1</v>
      </c>
      <c r="D4" s="140" t="s">
        <v>24</v>
      </c>
      <c r="E4" s="114" t="s">
        <v>25</v>
      </c>
    </row>
    <row r="5" spans="2:5" ht="43.5">
      <c r="B5" s="139" t="s">
        <v>26</v>
      </c>
      <c r="C5" s="113">
        <v>0.1</v>
      </c>
      <c r="D5" s="140" t="s">
        <v>27</v>
      </c>
      <c r="E5" s="114" t="s">
        <v>28</v>
      </c>
    </row>
    <row r="6" spans="2:5" ht="43.5">
      <c r="B6" s="106" t="s">
        <v>29</v>
      </c>
      <c r="C6" s="102">
        <v>0.1</v>
      </c>
      <c r="D6" s="104" t="s">
        <v>30</v>
      </c>
      <c r="E6" s="105" t="s">
        <v>31</v>
      </c>
    </row>
    <row r="7" spans="2:5" ht="87">
      <c r="B7" s="106" t="s">
        <v>32</v>
      </c>
      <c r="C7" s="102">
        <v>0.1</v>
      </c>
      <c r="D7" s="104" t="s">
        <v>33</v>
      </c>
      <c r="E7" s="105" t="s">
        <v>34</v>
      </c>
    </row>
    <row r="8" spans="2:5" ht="14.45">
      <c r="B8" s="106" t="s">
        <v>35</v>
      </c>
      <c r="C8" s="102">
        <v>0.1</v>
      </c>
      <c r="D8" s="104" t="s">
        <v>36</v>
      </c>
      <c r="E8" s="105" t="s">
        <v>37</v>
      </c>
    </row>
    <row r="9" spans="2:5" ht="43.5">
      <c r="B9" s="106" t="s">
        <v>38</v>
      </c>
      <c r="C9" s="102">
        <v>0.1</v>
      </c>
      <c r="D9" s="104" t="s">
        <v>39</v>
      </c>
      <c r="E9" s="105" t="s">
        <v>40</v>
      </c>
    </row>
    <row r="10" spans="2:5" ht="43.5">
      <c r="B10" s="106" t="s">
        <v>41</v>
      </c>
      <c r="C10" s="102">
        <v>0.1</v>
      </c>
      <c r="D10" s="104" t="s">
        <v>42</v>
      </c>
      <c r="E10" s="105" t="s">
        <v>43</v>
      </c>
    </row>
    <row r="11" spans="2:5" ht="29.1">
      <c r="B11" s="106" t="s">
        <v>44</v>
      </c>
      <c r="C11" s="102">
        <v>0.1</v>
      </c>
      <c r="D11" s="104" t="s">
        <v>45</v>
      </c>
      <c r="E11" s="105" t="s">
        <v>46</v>
      </c>
    </row>
    <row r="12" spans="2:5" ht="43.5">
      <c r="B12" s="106" t="s">
        <v>47</v>
      </c>
      <c r="C12" s="102">
        <v>0.1</v>
      </c>
      <c r="D12" s="104" t="s">
        <v>48</v>
      </c>
      <c r="E12" s="105" t="s">
        <v>49</v>
      </c>
    </row>
    <row r="13" spans="2:5" ht="29.1">
      <c r="B13" s="106" t="s">
        <v>50</v>
      </c>
      <c r="C13" s="102">
        <v>0.1</v>
      </c>
      <c r="D13" s="104" t="s">
        <v>51</v>
      </c>
      <c r="E13" s="105" t="s">
        <v>52</v>
      </c>
    </row>
    <row r="14" spans="2:5" ht="43.5">
      <c r="B14" s="142" t="s">
        <v>53</v>
      </c>
      <c r="C14" s="102">
        <v>0.1</v>
      </c>
      <c r="D14" s="104" t="s">
        <v>54</v>
      </c>
      <c r="E14" s="105" t="s">
        <v>55</v>
      </c>
    </row>
    <row r="15" spans="2:5" ht="29.1">
      <c r="B15" s="142" t="s">
        <v>56</v>
      </c>
      <c r="C15" s="102">
        <v>0.1</v>
      </c>
      <c r="D15" s="104" t="s">
        <v>57</v>
      </c>
      <c r="E15" s="105" t="s">
        <v>58</v>
      </c>
    </row>
    <row r="16" spans="2:5" ht="14.45">
      <c r="B16" s="142" t="s">
        <v>59</v>
      </c>
      <c r="C16" s="102">
        <v>0.1</v>
      </c>
      <c r="D16" s="104" t="s">
        <v>60</v>
      </c>
      <c r="E16" s="105" t="s">
        <v>61</v>
      </c>
    </row>
    <row r="17" spans="2:5" ht="14.45">
      <c r="B17" s="142" t="s">
        <v>62</v>
      </c>
      <c r="C17" s="102">
        <v>0.1</v>
      </c>
      <c r="D17" s="104" t="s">
        <v>63</v>
      </c>
      <c r="E17" s="105" t="s">
        <v>64</v>
      </c>
    </row>
    <row r="18" spans="2:5" ht="29.1">
      <c r="B18" s="142" t="s">
        <v>65</v>
      </c>
      <c r="C18" s="102">
        <v>0.1</v>
      </c>
      <c r="D18" s="104" t="s">
        <v>66</v>
      </c>
      <c r="E18" s="105" t="s">
        <v>67</v>
      </c>
    </row>
    <row r="19" spans="2:5" ht="43.5">
      <c r="B19" s="128" t="s">
        <v>68</v>
      </c>
      <c r="C19" s="102">
        <v>0.1</v>
      </c>
      <c r="D19" s="104" t="s">
        <v>69</v>
      </c>
      <c r="E19" s="105" t="s">
        <v>70</v>
      </c>
    </row>
    <row r="20" spans="2:5" ht="87">
      <c r="B20" s="129" t="s">
        <v>71</v>
      </c>
      <c r="C20" s="107">
        <v>0.1</v>
      </c>
      <c r="D20" s="108" t="s">
        <v>72</v>
      </c>
      <c r="E20" s="109" t="s">
        <v>73</v>
      </c>
    </row>
  </sheetData>
  <hyperlinks>
    <hyperlink ref="B6" location="'CreateReferenceWithAllData'!A2" display="CreateReferenceWithAllData" xr:uid="{F3A6195E-6D78-4246-A48A-CA9F26D45486}"/>
    <hyperlink ref="B7" location="'CreateReferenceWithInputFromApp'!A2" display="CreateReferenceWithInputFromApplicant" xr:uid="{9F9C8887-3CE6-4090-AE87-EB1493469AE1}"/>
    <hyperlink ref="B8" location="'GetApplicantReferenceStatus'!A2" display="GetApplicantReferenceStatus" xr:uid="{6806442F-8D0C-4F52-9BED-0127D9D38C6C}"/>
    <hyperlink ref="B9" location="'GetAgentActiveProducts'!A2" display="GetAgentActiveProducts" xr:uid="{91CAA77F-0146-4A24-AB27-9E6B31241720}"/>
    <hyperlink ref="B10" location="'GetApplicantReferenceReports'!A2" display="GetApplicantReferenceReports" xr:uid="{EB11D8FD-A027-46BA-9700-E787418EE9E1}"/>
    <hyperlink ref="B11" location="'PostApplicantReferenceDocument'!A2" display="PostApplicantReferenceDocument" xr:uid="{EAE45E8A-ECF5-4CAD-8F48-DA9794A88E21}"/>
    <hyperlink ref="B12" location="'ResendApplicantReferenceLink'!A2" display="ResendApplicantReferenceLink" xr:uid="{ABD5EB98-79A6-4239-8407-4B01D5E54734}"/>
    <hyperlink ref="B13" location="'PostApplicantReferenceNote'!A2" display="PostApplicantReferenceNote" xr:uid="{E6BC80A2-11DD-42CC-ADB4-9778EB5165BD}"/>
    <hyperlink ref="B14" location="'AddApplicantToTenancy'!A2" display="AddApplicantToTenancy" xr:uid="{73AD6C09-B0EA-4C6E-B81A-D4C38881DF0D}"/>
    <hyperlink ref="B15" location="'CancelApplicantFromTenancy'!A2" display="CancelApplicantFromTenancy" xr:uid="{842B83AE-5DEB-4A43-8AD5-E6E084B70FD7}"/>
    <hyperlink ref="B16" location="'CancelTenancy'!A2" display="CancelTenancy" xr:uid="{7C1E894E-AACB-4686-91E3-606EC32DE632}"/>
    <hyperlink ref="B17" location="'AmendTenancyDetails'!A2" display="AmendTenancyDetails" xr:uid="{0408BCF2-2271-486A-82D4-2D188B97C7C1}"/>
    <hyperlink ref="B18" location="'AmendApplicantProductType'!A2" display="AmendApplicantProductType" xr:uid="{91597810-B4B7-4442-B21D-91A983AB506C}"/>
    <hyperlink ref="B19" location="'CreateCompanyReferenceWithAllDa'!A2" display="CreateCompanyReferenceWithAllData" xr:uid="{BF5776C8-B840-454E-8A2B-3CD6C4D7FA8F}"/>
    <hyperlink ref="B20" location="'CreateCompanyReferenceWithInput'!A2" display="CreateCompanyReferenceWithInputFromApplicant" xr:uid="{67619A87-3F9B-4094-8C08-437C1207130A}"/>
    <hyperlink ref="B4" location="'GetAuthenticationToken'!A1" display="Get Authentication Token" xr:uid="{6B689F64-37A9-4CE2-9B25-658D32781164}"/>
    <hyperlink ref="B5" location="CheckConnection!A1" display="CheckConnection" xr:uid="{9D77D124-AA0C-4010-AFDD-D045C44F51A4}"/>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538F37-BC0A-421A-8913-07FABA7FABE9}">
  <dimension ref="A1"/>
  <sheetViews>
    <sheetView topLeftCell="A2" zoomScale="80" zoomScaleNormal="80" workbookViewId="0">
      <selection activeCell="P8" sqref="P8"/>
    </sheetView>
  </sheetViews>
  <sheetFormatPr defaultRowHeight="14.45"/>
  <sheetData>
    <row r="1" spans="1:1" ht="21">
      <c r="A1" s="23" t="s">
        <v>74</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AD48B-FC87-42CE-89DA-FEB4D6EFFD2B}">
  <sheetPr>
    <tabColor rgb="FFFF0000"/>
  </sheetPr>
  <dimension ref="A1:AO204"/>
  <sheetViews>
    <sheetView topLeftCell="A102" zoomScale="55" zoomScaleNormal="55" workbookViewId="0">
      <selection activeCell="C115" sqref="C115"/>
    </sheetView>
  </sheetViews>
  <sheetFormatPr defaultColWidth="8.7109375" defaultRowHeight="12.95"/>
  <cols>
    <col min="1" max="1" width="8.7109375" style="3"/>
    <col min="2" max="2" width="3.5703125" style="3" customWidth="1"/>
    <col min="3" max="3" width="30.85546875" style="3" customWidth="1"/>
    <col min="4" max="4" width="16.140625" style="18" customWidth="1"/>
    <col min="5" max="5" width="8.7109375" style="18"/>
    <col min="6" max="6" width="39.42578125" style="15" customWidth="1"/>
    <col min="7" max="7" width="60.7109375" style="15" customWidth="1"/>
    <col min="8" max="41" width="3.5703125" style="9" customWidth="1"/>
    <col min="42" max="16384" width="8.7109375" style="1"/>
  </cols>
  <sheetData>
    <row r="1" spans="1:41" ht="35.1" customHeight="1">
      <c r="H1" s="197" t="s">
        <v>75</v>
      </c>
      <c r="I1" s="197"/>
      <c r="J1" s="197"/>
      <c r="K1" s="197"/>
      <c r="L1" s="197"/>
      <c r="M1" s="197"/>
      <c r="N1" s="197"/>
      <c r="O1" s="197"/>
      <c r="P1" s="197"/>
      <c r="Q1" s="197"/>
      <c r="R1" s="197"/>
      <c r="S1" s="197"/>
      <c r="T1" s="197"/>
      <c r="U1" s="197"/>
      <c r="V1" s="197"/>
      <c r="W1" s="197"/>
      <c r="X1" s="197"/>
      <c r="Y1" s="197"/>
      <c r="Z1" s="197"/>
      <c r="AA1" s="197"/>
      <c r="AB1" s="197"/>
      <c r="AC1" s="197"/>
      <c r="AD1" s="197"/>
      <c r="AE1" s="197"/>
      <c r="AF1" s="197"/>
      <c r="AG1" s="197"/>
      <c r="AH1" s="197"/>
      <c r="AI1" s="197"/>
      <c r="AJ1" s="197"/>
      <c r="AK1" s="197"/>
      <c r="AL1" s="197"/>
      <c r="AM1" s="197"/>
      <c r="AN1" s="197"/>
      <c r="AO1" s="197"/>
    </row>
    <row r="2" spans="1:41" ht="270.95" customHeight="1">
      <c r="H2" s="199" t="s">
        <v>26</v>
      </c>
      <c r="I2" s="199"/>
      <c r="J2" s="198" t="s">
        <v>29</v>
      </c>
      <c r="K2" s="198"/>
      <c r="L2" s="199" t="s">
        <v>32</v>
      </c>
      <c r="M2" s="199"/>
      <c r="N2" s="198" t="s">
        <v>35</v>
      </c>
      <c r="O2" s="198"/>
      <c r="P2" s="199" t="s">
        <v>38</v>
      </c>
      <c r="Q2" s="199"/>
      <c r="R2" s="198" t="s">
        <v>41</v>
      </c>
      <c r="S2" s="198"/>
      <c r="T2" s="196" t="s">
        <v>44</v>
      </c>
      <c r="U2" s="196"/>
      <c r="V2" s="198" t="s">
        <v>47</v>
      </c>
      <c r="W2" s="198"/>
      <c r="X2" s="196" t="s">
        <v>50</v>
      </c>
      <c r="Y2" s="196"/>
      <c r="Z2" s="198" t="s">
        <v>53</v>
      </c>
      <c r="AA2" s="198"/>
      <c r="AB2" s="196" t="s">
        <v>76</v>
      </c>
      <c r="AC2" s="196"/>
      <c r="AD2" s="198" t="s">
        <v>56</v>
      </c>
      <c r="AE2" s="198"/>
      <c r="AF2" s="196" t="s">
        <v>59</v>
      </c>
      <c r="AG2" s="196"/>
      <c r="AH2" s="198" t="s">
        <v>62</v>
      </c>
      <c r="AI2" s="198"/>
      <c r="AJ2" s="196" t="s">
        <v>65</v>
      </c>
      <c r="AK2" s="196"/>
      <c r="AL2" s="198" t="s">
        <v>68</v>
      </c>
      <c r="AM2" s="198"/>
      <c r="AN2" s="196" t="s">
        <v>71</v>
      </c>
      <c r="AO2" s="196"/>
    </row>
    <row r="3" spans="1:41" ht="58.5" customHeight="1">
      <c r="A3" s="4" t="s">
        <v>77</v>
      </c>
      <c r="B3" s="4"/>
      <c r="C3" s="5" t="s">
        <v>78</v>
      </c>
      <c r="D3" s="5" t="s">
        <v>79</v>
      </c>
      <c r="E3" s="5" t="s">
        <v>80</v>
      </c>
      <c r="F3" s="6" t="s">
        <v>81</v>
      </c>
      <c r="G3" s="10" t="s">
        <v>82</v>
      </c>
      <c r="H3" s="12" t="s">
        <v>83</v>
      </c>
      <c r="I3" s="12" t="s">
        <v>84</v>
      </c>
      <c r="J3" s="12" t="s">
        <v>83</v>
      </c>
      <c r="K3" s="12" t="s">
        <v>84</v>
      </c>
      <c r="L3" s="12" t="s">
        <v>83</v>
      </c>
      <c r="M3" s="12" t="s">
        <v>84</v>
      </c>
      <c r="N3" s="12" t="s">
        <v>83</v>
      </c>
      <c r="O3" s="12" t="s">
        <v>84</v>
      </c>
      <c r="P3" s="12" t="s">
        <v>83</v>
      </c>
      <c r="Q3" s="12" t="s">
        <v>84</v>
      </c>
      <c r="R3" s="12" t="s">
        <v>83</v>
      </c>
      <c r="S3" s="12" t="s">
        <v>84</v>
      </c>
      <c r="T3" s="12" t="s">
        <v>83</v>
      </c>
      <c r="U3" s="12" t="s">
        <v>84</v>
      </c>
      <c r="V3" s="12" t="s">
        <v>83</v>
      </c>
      <c r="W3" s="12" t="s">
        <v>84</v>
      </c>
      <c r="X3" s="12" t="s">
        <v>83</v>
      </c>
      <c r="Y3" s="12" t="s">
        <v>84</v>
      </c>
      <c r="Z3" s="12" t="s">
        <v>83</v>
      </c>
      <c r="AA3" s="12" t="s">
        <v>84</v>
      </c>
      <c r="AB3" s="12" t="s">
        <v>83</v>
      </c>
      <c r="AC3" s="12" t="s">
        <v>84</v>
      </c>
      <c r="AD3" s="12" t="s">
        <v>83</v>
      </c>
      <c r="AE3" s="12" t="s">
        <v>84</v>
      </c>
      <c r="AF3" s="12" t="s">
        <v>83</v>
      </c>
      <c r="AG3" s="12" t="s">
        <v>84</v>
      </c>
      <c r="AH3" s="12" t="s">
        <v>83</v>
      </c>
      <c r="AI3" s="12" t="s">
        <v>84</v>
      </c>
      <c r="AJ3" s="12" t="s">
        <v>83</v>
      </c>
      <c r="AK3" s="12" t="s">
        <v>84</v>
      </c>
      <c r="AL3" s="12" t="s">
        <v>83</v>
      </c>
      <c r="AM3" s="12" t="s">
        <v>84</v>
      </c>
      <c r="AN3" s="12" t="s">
        <v>83</v>
      </c>
      <c r="AO3" s="12" t="s">
        <v>84</v>
      </c>
    </row>
    <row r="4" spans="1:41">
      <c r="A4" s="203" t="s">
        <v>85</v>
      </c>
      <c r="B4" s="204"/>
      <c r="C4" s="204"/>
      <c r="D4" s="204"/>
      <c r="E4" s="204"/>
      <c r="F4" s="204"/>
      <c r="G4" s="204"/>
      <c r="H4" s="22"/>
      <c r="I4" s="22"/>
      <c r="J4" s="13"/>
      <c r="K4" s="13"/>
      <c r="L4" s="11"/>
      <c r="M4" s="11"/>
      <c r="N4" s="13"/>
      <c r="O4" s="13"/>
      <c r="P4" s="11"/>
      <c r="Q4" s="11"/>
      <c r="R4" s="13"/>
      <c r="S4" s="13"/>
      <c r="T4" s="11"/>
      <c r="U4" s="11"/>
      <c r="V4" s="13"/>
      <c r="W4" s="13"/>
      <c r="X4" s="11"/>
      <c r="Y4" s="11"/>
      <c r="Z4" s="13"/>
      <c r="AA4" s="13"/>
      <c r="AB4" s="11"/>
      <c r="AC4" s="11"/>
      <c r="AD4" s="13"/>
      <c r="AE4" s="13"/>
      <c r="AF4" s="11"/>
      <c r="AG4" s="11"/>
      <c r="AH4" s="13"/>
      <c r="AI4" s="13"/>
      <c r="AJ4" s="11"/>
      <c r="AK4" s="11"/>
      <c r="AL4" s="13"/>
      <c r="AM4" s="13"/>
      <c r="AN4" s="11"/>
      <c r="AO4" s="11"/>
    </row>
    <row r="5" spans="1:41" ht="132.75" customHeight="1">
      <c r="A5" s="2">
        <v>1</v>
      </c>
      <c r="B5" s="205" t="s">
        <v>85</v>
      </c>
      <c r="C5" s="7" t="s">
        <v>86</v>
      </c>
      <c r="D5" s="19" t="s">
        <v>87</v>
      </c>
      <c r="E5" s="19">
        <v>50</v>
      </c>
      <c r="F5" s="17"/>
      <c r="G5" s="16" t="s">
        <v>88</v>
      </c>
      <c r="H5" s="22"/>
      <c r="I5" s="22"/>
      <c r="J5" s="13"/>
      <c r="K5" s="13" t="s">
        <v>89</v>
      </c>
      <c r="L5" s="11"/>
      <c r="M5" s="11" t="s">
        <v>89</v>
      </c>
      <c r="N5" s="13"/>
      <c r="O5" s="13"/>
      <c r="P5" s="11"/>
      <c r="Q5" s="11"/>
      <c r="R5" s="13"/>
      <c r="S5" s="13"/>
      <c r="T5" s="11"/>
      <c r="U5" s="11"/>
      <c r="V5" s="13"/>
      <c r="W5" s="13"/>
      <c r="X5" s="11"/>
      <c r="Y5" s="11"/>
      <c r="Z5" s="13"/>
      <c r="AA5" s="13"/>
      <c r="AB5" s="11"/>
      <c r="AC5" s="11"/>
      <c r="AD5" s="13"/>
      <c r="AE5" s="13"/>
      <c r="AF5" s="11"/>
      <c r="AG5" s="11"/>
      <c r="AH5" s="13"/>
      <c r="AI5" s="13"/>
      <c r="AJ5" s="11"/>
      <c r="AK5" s="11"/>
      <c r="AL5" s="13"/>
      <c r="AM5" s="13" t="s">
        <v>89</v>
      </c>
      <c r="AN5" s="11"/>
      <c r="AO5" s="11"/>
    </row>
    <row r="6" spans="1:41" ht="120.6" customHeight="1">
      <c r="A6" s="2">
        <v>2</v>
      </c>
      <c r="B6" s="206"/>
      <c r="C6" s="7" t="s">
        <v>90</v>
      </c>
      <c r="D6" s="19" t="s">
        <v>87</v>
      </c>
      <c r="E6" s="19">
        <v>50</v>
      </c>
      <c r="F6" s="17"/>
      <c r="G6" s="16" t="s">
        <v>91</v>
      </c>
      <c r="H6" s="22"/>
      <c r="I6" s="22"/>
      <c r="J6" s="13"/>
      <c r="K6" s="13" t="s">
        <v>89</v>
      </c>
      <c r="L6" s="11"/>
      <c r="M6" s="11" t="s">
        <v>89</v>
      </c>
      <c r="N6" s="21" t="s">
        <v>92</v>
      </c>
      <c r="O6" s="13" t="s">
        <v>89</v>
      </c>
      <c r="P6" s="11"/>
      <c r="Q6" s="11"/>
      <c r="R6" s="21" t="s">
        <v>92</v>
      </c>
      <c r="S6" s="13"/>
      <c r="T6" s="21" t="s">
        <v>92</v>
      </c>
      <c r="U6" s="11"/>
      <c r="V6" s="21" t="s">
        <v>92</v>
      </c>
      <c r="W6" s="13"/>
      <c r="X6" s="21" t="s">
        <v>92</v>
      </c>
      <c r="Y6" s="11"/>
      <c r="Z6" s="13"/>
      <c r="AA6" s="13"/>
      <c r="AB6" s="11"/>
      <c r="AC6" s="11"/>
      <c r="AD6" s="13"/>
      <c r="AE6" s="13"/>
      <c r="AF6" s="11"/>
      <c r="AG6" s="11"/>
      <c r="AH6" s="13"/>
      <c r="AI6" s="13"/>
      <c r="AJ6" s="11"/>
      <c r="AK6" s="11"/>
      <c r="AL6" s="13"/>
      <c r="AM6" s="13" t="s">
        <v>89</v>
      </c>
      <c r="AN6" s="11"/>
      <c r="AO6" s="11"/>
    </row>
    <row r="7" spans="1:41" ht="62.45" customHeight="1">
      <c r="A7" s="2">
        <v>3</v>
      </c>
      <c r="B7" s="206"/>
      <c r="C7" s="7" t="s">
        <v>93</v>
      </c>
      <c r="D7" s="19" t="s">
        <v>87</v>
      </c>
      <c r="E7" s="19">
        <v>50</v>
      </c>
      <c r="F7" s="17"/>
      <c r="G7" s="16" t="s">
        <v>94</v>
      </c>
      <c r="H7" s="22"/>
      <c r="I7" s="22"/>
      <c r="J7" s="21" t="s">
        <v>92</v>
      </c>
      <c r="K7" s="13" t="s">
        <v>89</v>
      </c>
      <c r="L7" s="21" t="s">
        <v>92</v>
      </c>
      <c r="M7" s="11"/>
      <c r="N7" s="13"/>
      <c r="O7" s="13"/>
      <c r="P7" s="21" t="s">
        <v>92</v>
      </c>
      <c r="Q7" s="11" t="s">
        <v>89</v>
      </c>
      <c r="R7" s="13"/>
      <c r="S7" s="13"/>
      <c r="T7" s="11"/>
      <c r="U7" s="11"/>
      <c r="V7" s="13"/>
      <c r="W7" s="13"/>
      <c r="X7" s="11"/>
      <c r="Y7" s="11"/>
      <c r="Z7" s="13"/>
      <c r="AA7" s="13"/>
      <c r="AB7" s="11"/>
      <c r="AC7" s="11"/>
      <c r="AD7" s="13"/>
      <c r="AE7" s="13"/>
      <c r="AF7" s="11"/>
      <c r="AG7" s="11"/>
      <c r="AH7" s="13"/>
      <c r="AI7" s="13"/>
      <c r="AJ7" s="11"/>
      <c r="AK7" s="11"/>
      <c r="AL7" s="21" t="s">
        <v>92</v>
      </c>
      <c r="AM7" s="13" t="s">
        <v>89</v>
      </c>
      <c r="AN7" s="11"/>
      <c r="AO7" s="11"/>
    </row>
    <row r="8" spans="1:41" ht="62.1" customHeight="1">
      <c r="A8" s="2">
        <v>4</v>
      </c>
      <c r="B8" s="206"/>
      <c r="C8" s="7" t="s">
        <v>95</v>
      </c>
      <c r="D8" s="19" t="s">
        <v>87</v>
      </c>
      <c r="E8" s="19">
        <v>200</v>
      </c>
      <c r="F8" s="17"/>
      <c r="G8" s="16" t="s">
        <v>96</v>
      </c>
      <c r="H8" s="22"/>
      <c r="I8" s="22"/>
      <c r="J8" s="13"/>
      <c r="K8" s="13"/>
      <c r="L8" s="11"/>
      <c r="M8" s="11"/>
      <c r="N8" s="13"/>
      <c r="O8" s="13"/>
      <c r="P8" s="11"/>
      <c r="Q8" s="11" t="s">
        <v>89</v>
      </c>
      <c r="R8" s="13"/>
      <c r="S8" s="13"/>
      <c r="T8" s="11"/>
      <c r="U8" s="11"/>
      <c r="V8" s="13"/>
      <c r="W8" s="13"/>
      <c r="X8" s="11"/>
      <c r="Y8" s="11"/>
      <c r="Z8" s="13"/>
      <c r="AA8" s="13"/>
      <c r="AB8" s="11"/>
      <c r="AC8" s="11"/>
      <c r="AD8" s="13"/>
      <c r="AE8" s="13"/>
      <c r="AF8" s="11"/>
      <c r="AG8" s="11"/>
      <c r="AH8" s="13"/>
      <c r="AI8" s="13"/>
      <c r="AJ8" s="11"/>
      <c r="AK8" s="11"/>
      <c r="AL8" s="21" t="s">
        <v>92</v>
      </c>
      <c r="AM8" s="13"/>
      <c r="AN8" s="11"/>
      <c r="AO8" s="11"/>
    </row>
    <row r="9" spans="1:41" ht="29.1">
      <c r="A9" s="2">
        <v>5</v>
      </c>
      <c r="B9" s="206"/>
      <c r="C9" s="7" t="s">
        <v>97</v>
      </c>
      <c r="D9" s="24" t="s">
        <v>98</v>
      </c>
      <c r="E9" s="19"/>
      <c r="F9" s="17" t="s">
        <v>99</v>
      </c>
      <c r="G9" s="16" t="s">
        <v>100</v>
      </c>
      <c r="H9" s="22"/>
      <c r="I9" s="22"/>
      <c r="J9" s="21" t="s">
        <v>92</v>
      </c>
      <c r="K9" s="13"/>
      <c r="L9" s="21" t="s">
        <v>92</v>
      </c>
      <c r="M9" s="11"/>
      <c r="N9" s="13"/>
      <c r="O9" s="13"/>
      <c r="P9" s="11"/>
      <c r="Q9" s="11"/>
      <c r="R9" s="13"/>
      <c r="S9" s="13"/>
      <c r="T9" s="11"/>
      <c r="U9" s="11"/>
      <c r="V9" s="13"/>
      <c r="W9" s="13"/>
      <c r="X9" s="11"/>
      <c r="Y9" s="11"/>
      <c r="Z9" s="13"/>
      <c r="AA9" s="13"/>
      <c r="AB9" s="11"/>
      <c r="AC9" s="11"/>
      <c r="AD9" s="13"/>
      <c r="AE9" s="13"/>
      <c r="AF9" s="11"/>
      <c r="AG9" s="11"/>
      <c r="AH9" s="13"/>
      <c r="AI9" s="13"/>
      <c r="AJ9" s="11"/>
      <c r="AK9" s="11"/>
      <c r="AL9" s="21" t="s">
        <v>92</v>
      </c>
      <c r="AM9" s="13"/>
      <c r="AN9" s="11"/>
      <c r="AO9" s="11"/>
    </row>
    <row r="10" spans="1:41" ht="17.100000000000001" customHeight="1">
      <c r="A10" s="2">
        <v>6</v>
      </c>
      <c r="B10" s="206"/>
      <c r="C10" s="7" t="s">
        <v>101</v>
      </c>
      <c r="D10" s="19" t="s">
        <v>102</v>
      </c>
      <c r="E10" s="19"/>
      <c r="F10" s="17"/>
      <c r="G10" s="16" t="s">
        <v>103</v>
      </c>
      <c r="H10" s="22"/>
      <c r="I10" s="22"/>
      <c r="J10" s="21" t="s">
        <v>92</v>
      </c>
      <c r="K10" s="13"/>
      <c r="L10" s="21" t="s">
        <v>92</v>
      </c>
      <c r="M10" s="11"/>
      <c r="N10" s="13"/>
      <c r="O10" s="13"/>
      <c r="P10" s="11"/>
      <c r="Q10" s="11"/>
      <c r="R10" s="13"/>
      <c r="S10" s="13"/>
      <c r="T10" s="11"/>
      <c r="U10" s="11"/>
      <c r="V10" s="13"/>
      <c r="W10" s="13"/>
      <c r="X10" s="11"/>
      <c r="Y10" s="11"/>
      <c r="Z10" s="13"/>
      <c r="AA10" s="13"/>
      <c r="AB10" s="11"/>
      <c r="AC10" s="11"/>
      <c r="AD10" s="13"/>
      <c r="AE10" s="13"/>
      <c r="AF10" s="11"/>
      <c r="AG10" s="11"/>
      <c r="AH10" s="13"/>
      <c r="AI10" s="13"/>
      <c r="AJ10" s="11"/>
      <c r="AK10" s="11"/>
      <c r="AL10" s="21" t="s">
        <v>92</v>
      </c>
      <c r="AM10" s="13"/>
      <c r="AN10" s="11"/>
      <c r="AO10" s="11"/>
    </row>
    <row r="11" spans="1:41" ht="26.1">
      <c r="A11" s="2">
        <v>7</v>
      </c>
      <c r="B11" s="206"/>
      <c r="C11" s="7" t="s">
        <v>104</v>
      </c>
      <c r="D11" s="19" t="s">
        <v>105</v>
      </c>
      <c r="E11" s="19"/>
      <c r="F11" s="17" t="s">
        <v>106</v>
      </c>
      <c r="G11" s="16" t="s">
        <v>107</v>
      </c>
      <c r="H11" s="22"/>
      <c r="I11" s="22"/>
      <c r="J11" s="21" t="s">
        <v>92</v>
      </c>
      <c r="K11" s="13"/>
      <c r="L11" s="21" t="s">
        <v>92</v>
      </c>
      <c r="M11" s="11"/>
      <c r="N11" s="13"/>
      <c r="O11" s="13"/>
      <c r="P11" s="11"/>
      <c r="Q11" s="11"/>
      <c r="R11" s="13"/>
      <c r="S11" s="13"/>
      <c r="T11" s="11"/>
      <c r="U11" s="11"/>
      <c r="V11" s="13"/>
      <c r="W11" s="13"/>
      <c r="X11" s="11"/>
      <c r="Y11" s="11"/>
      <c r="Z11" s="13"/>
      <c r="AA11" s="13"/>
      <c r="AB11" s="11"/>
      <c r="AC11" s="11"/>
      <c r="AD11" s="13"/>
      <c r="AE11" s="13"/>
      <c r="AF11" s="11"/>
      <c r="AG11" s="11"/>
      <c r="AH11" s="13"/>
      <c r="AI11" s="13"/>
      <c r="AJ11" s="11"/>
      <c r="AK11" s="11"/>
      <c r="AL11" s="21" t="s">
        <v>92</v>
      </c>
      <c r="AM11" s="13"/>
      <c r="AN11" s="11"/>
      <c r="AO11" s="11"/>
    </row>
    <row r="12" spans="1:41" ht="29.1">
      <c r="A12" s="2">
        <v>8</v>
      </c>
      <c r="B12" s="206"/>
      <c r="C12" s="7" t="s">
        <v>108</v>
      </c>
      <c r="D12" s="24" t="s">
        <v>109</v>
      </c>
      <c r="E12" s="19"/>
      <c r="F12" s="17" t="s">
        <v>110</v>
      </c>
      <c r="G12" s="16" t="s">
        <v>111</v>
      </c>
      <c r="H12" s="22"/>
      <c r="I12" s="22"/>
      <c r="J12" s="21" t="s">
        <v>92</v>
      </c>
      <c r="K12" s="13"/>
      <c r="L12" s="21" t="s">
        <v>92</v>
      </c>
      <c r="M12" s="11"/>
      <c r="N12" s="13"/>
      <c r="O12" s="13"/>
      <c r="P12" s="11"/>
      <c r="Q12" s="11"/>
      <c r="R12" s="13"/>
      <c r="S12" s="13"/>
      <c r="T12" s="11"/>
      <c r="U12" s="11"/>
      <c r="V12" s="13"/>
      <c r="W12" s="13"/>
      <c r="X12" s="11"/>
      <c r="Y12" s="11"/>
      <c r="Z12" s="13"/>
      <c r="AA12" s="13"/>
      <c r="AB12" s="11"/>
      <c r="AC12" s="11"/>
      <c r="AD12" s="13"/>
      <c r="AE12" s="13"/>
      <c r="AF12" s="11"/>
      <c r="AG12" s="11"/>
      <c r="AH12" s="13"/>
      <c r="AI12" s="13"/>
      <c r="AJ12" s="11"/>
      <c r="AK12" s="11"/>
      <c r="AL12" s="21" t="s">
        <v>92</v>
      </c>
      <c r="AM12" s="13"/>
      <c r="AN12" s="11"/>
      <c r="AO12" s="11"/>
    </row>
    <row r="13" spans="1:41">
      <c r="A13" s="2">
        <v>9</v>
      </c>
      <c r="B13" s="206"/>
      <c r="C13" s="7" t="s">
        <v>112</v>
      </c>
      <c r="D13" s="19" t="s">
        <v>113</v>
      </c>
      <c r="E13" s="19"/>
      <c r="F13" s="17" t="s">
        <v>114</v>
      </c>
      <c r="G13" s="16" t="s">
        <v>115</v>
      </c>
      <c r="H13" s="22"/>
      <c r="I13" s="22"/>
      <c r="J13" s="21" t="s">
        <v>92</v>
      </c>
      <c r="K13" s="13"/>
      <c r="L13" s="21" t="s">
        <v>92</v>
      </c>
      <c r="M13" s="11"/>
      <c r="N13" s="13"/>
      <c r="O13" s="13"/>
      <c r="P13" s="11"/>
      <c r="Q13" s="11"/>
      <c r="R13" s="13"/>
      <c r="S13" s="13"/>
      <c r="T13" s="11"/>
      <c r="U13" s="11"/>
      <c r="V13" s="13"/>
      <c r="W13" s="13"/>
      <c r="X13" s="11"/>
      <c r="Y13" s="11"/>
      <c r="Z13" s="13"/>
      <c r="AA13" s="13"/>
      <c r="AB13" s="11"/>
      <c r="AC13" s="11"/>
      <c r="AD13" s="13"/>
      <c r="AE13" s="13"/>
      <c r="AF13" s="11"/>
      <c r="AG13" s="11"/>
      <c r="AH13" s="13"/>
      <c r="AI13" s="13"/>
      <c r="AJ13" s="11"/>
      <c r="AK13" s="11"/>
      <c r="AL13" s="21" t="s">
        <v>92</v>
      </c>
      <c r="AM13" s="13"/>
      <c r="AN13" s="11"/>
      <c r="AO13" s="11"/>
    </row>
    <row r="14" spans="1:41" ht="42.75" customHeight="1">
      <c r="A14" s="2">
        <v>10</v>
      </c>
      <c r="B14" s="206"/>
      <c r="C14" s="7" t="s">
        <v>116</v>
      </c>
      <c r="D14" s="24" t="s">
        <v>117</v>
      </c>
      <c r="E14" s="19"/>
      <c r="F14" s="17" t="s">
        <v>118</v>
      </c>
      <c r="G14" s="16" t="s">
        <v>119</v>
      </c>
      <c r="H14" s="22"/>
      <c r="I14" s="22"/>
      <c r="J14" s="21" t="s">
        <v>92</v>
      </c>
      <c r="K14" s="13"/>
      <c r="L14" s="21" t="s">
        <v>92</v>
      </c>
      <c r="M14" s="11"/>
      <c r="N14" s="13"/>
      <c r="O14" s="13"/>
      <c r="P14" s="11"/>
      <c r="Q14" s="11"/>
      <c r="R14" s="13"/>
      <c r="S14" s="13"/>
      <c r="T14" s="11"/>
      <c r="U14" s="11"/>
      <c r="V14" s="13"/>
      <c r="W14" s="13"/>
      <c r="X14" s="11"/>
      <c r="Y14" s="11"/>
      <c r="Z14" s="13"/>
      <c r="AA14" s="13"/>
      <c r="AB14" s="11"/>
      <c r="AC14" s="11"/>
      <c r="AD14" s="13"/>
      <c r="AE14" s="13"/>
      <c r="AF14" s="11"/>
      <c r="AG14" s="11"/>
      <c r="AH14" s="13"/>
      <c r="AI14" s="13"/>
      <c r="AJ14" s="11"/>
      <c r="AK14" s="11"/>
      <c r="AL14" s="13" t="s">
        <v>89</v>
      </c>
      <c r="AM14" s="13"/>
      <c r="AN14" s="11"/>
      <c r="AO14" s="11"/>
    </row>
    <row r="15" spans="1:41" ht="43.5">
      <c r="A15" s="2">
        <v>11</v>
      </c>
      <c r="B15" s="206"/>
      <c r="C15" s="7" t="s">
        <v>120</v>
      </c>
      <c r="D15" s="24" t="s">
        <v>121</v>
      </c>
      <c r="E15" s="19"/>
      <c r="F15" s="17" t="s">
        <v>122</v>
      </c>
      <c r="G15" s="16" t="s">
        <v>123</v>
      </c>
      <c r="H15" s="22"/>
      <c r="I15" s="22"/>
      <c r="J15" s="13" t="s">
        <v>89</v>
      </c>
      <c r="K15" s="13"/>
      <c r="L15" s="11" t="s">
        <v>89</v>
      </c>
      <c r="M15" s="11"/>
      <c r="N15" s="13"/>
      <c r="O15" s="13"/>
      <c r="P15" s="11"/>
      <c r="Q15" s="11"/>
      <c r="R15" s="13"/>
      <c r="S15" s="13"/>
      <c r="T15" s="11"/>
      <c r="U15" s="11"/>
      <c r="V15" s="13"/>
      <c r="W15" s="13"/>
      <c r="X15" s="11"/>
      <c r="Y15" s="11"/>
      <c r="Z15" s="13"/>
      <c r="AA15" s="13"/>
      <c r="AB15" s="11"/>
      <c r="AC15" s="11"/>
      <c r="AD15" s="13"/>
      <c r="AE15" s="13"/>
      <c r="AF15" s="11"/>
      <c r="AG15" s="11"/>
      <c r="AH15" s="13"/>
      <c r="AI15" s="13"/>
      <c r="AJ15" s="11"/>
      <c r="AK15" s="11"/>
      <c r="AL15" s="13" t="s">
        <v>89</v>
      </c>
      <c r="AM15" s="13"/>
      <c r="AN15" s="11"/>
      <c r="AO15" s="11"/>
    </row>
    <row r="16" spans="1:41">
      <c r="A16" s="2">
        <v>12</v>
      </c>
      <c r="B16" s="206"/>
      <c r="C16" s="7" t="s">
        <v>124</v>
      </c>
      <c r="D16" s="19" t="s">
        <v>102</v>
      </c>
      <c r="E16" s="19"/>
      <c r="F16" s="17"/>
      <c r="G16" s="16" t="s">
        <v>125</v>
      </c>
      <c r="H16" s="22"/>
      <c r="I16" s="22"/>
      <c r="J16" s="13" t="s">
        <v>89</v>
      </c>
      <c r="K16" s="13"/>
      <c r="L16" s="11" t="s">
        <v>89</v>
      </c>
      <c r="M16" s="11"/>
      <c r="N16" s="13"/>
      <c r="O16" s="13"/>
      <c r="P16" s="11"/>
      <c r="Q16" s="11"/>
      <c r="R16" s="13"/>
      <c r="S16" s="13"/>
      <c r="T16" s="11"/>
      <c r="U16" s="11"/>
      <c r="V16" s="13"/>
      <c r="W16" s="13"/>
      <c r="X16" s="11"/>
      <c r="Y16" s="11"/>
      <c r="Z16" s="13"/>
      <c r="AA16" s="13"/>
      <c r="AB16" s="11"/>
      <c r="AC16" s="11"/>
      <c r="AD16" s="13"/>
      <c r="AE16" s="13"/>
      <c r="AF16" s="11"/>
      <c r="AG16" s="11"/>
      <c r="AH16" s="13"/>
      <c r="AI16" s="13"/>
      <c r="AJ16" s="11"/>
      <c r="AK16" s="11"/>
      <c r="AL16" s="13" t="s">
        <v>89</v>
      </c>
      <c r="AM16" s="13"/>
      <c r="AN16" s="11"/>
      <c r="AO16" s="11"/>
    </row>
    <row r="17" spans="1:41">
      <c r="A17" s="2">
        <v>13</v>
      </c>
      <c r="B17" s="206"/>
      <c r="C17" s="7" t="s">
        <v>126</v>
      </c>
      <c r="D17" s="19" t="s">
        <v>102</v>
      </c>
      <c r="E17" s="19"/>
      <c r="F17" s="17"/>
      <c r="G17" s="16" t="s">
        <v>127</v>
      </c>
      <c r="H17" s="22"/>
      <c r="I17" s="22"/>
      <c r="J17" s="13" t="s">
        <v>89</v>
      </c>
      <c r="K17" s="13"/>
      <c r="L17" s="11" t="s">
        <v>89</v>
      </c>
      <c r="M17" s="11"/>
      <c r="N17" s="13"/>
      <c r="O17" s="13"/>
      <c r="P17" s="11"/>
      <c r="Q17" s="11"/>
      <c r="R17" s="13"/>
      <c r="S17" s="13"/>
      <c r="T17" s="11"/>
      <c r="U17" s="11"/>
      <c r="V17" s="13"/>
      <c r="W17" s="13"/>
      <c r="X17" s="11"/>
      <c r="Y17" s="11"/>
      <c r="Z17" s="13"/>
      <c r="AA17" s="13"/>
      <c r="AB17" s="11"/>
      <c r="AC17" s="11"/>
      <c r="AD17" s="13"/>
      <c r="AE17" s="13"/>
      <c r="AF17" s="11"/>
      <c r="AG17" s="11"/>
      <c r="AH17" s="13"/>
      <c r="AI17" s="13"/>
      <c r="AJ17" s="11"/>
      <c r="AK17" s="11"/>
      <c r="AL17" s="13" t="s">
        <v>89</v>
      </c>
      <c r="AM17" s="13"/>
      <c r="AN17" s="11"/>
      <c r="AO17" s="11"/>
    </row>
    <row r="18" spans="1:41">
      <c r="A18" s="2">
        <v>14</v>
      </c>
      <c r="B18" s="207"/>
      <c r="C18" s="7" t="s">
        <v>128</v>
      </c>
      <c r="D18" s="19" t="s">
        <v>102</v>
      </c>
      <c r="E18" s="19"/>
      <c r="F18" s="17"/>
      <c r="G18" s="16" t="s">
        <v>129</v>
      </c>
      <c r="H18" s="22"/>
      <c r="I18" s="22"/>
      <c r="J18" s="13" t="s">
        <v>89</v>
      </c>
      <c r="K18" s="13"/>
      <c r="L18" s="11" t="s">
        <v>89</v>
      </c>
      <c r="M18" s="11"/>
      <c r="N18" s="13"/>
      <c r="O18" s="13"/>
      <c r="P18" s="11"/>
      <c r="Q18" s="11"/>
      <c r="R18" s="13"/>
      <c r="S18" s="13"/>
      <c r="T18" s="11"/>
      <c r="U18" s="11"/>
      <c r="V18" s="13"/>
      <c r="W18" s="13"/>
      <c r="X18" s="11"/>
      <c r="Y18" s="11"/>
      <c r="Z18" s="13"/>
      <c r="AA18" s="13"/>
      <c r="AB18" s="11"/>
      <c r="AC18" s="11"/>
      <c r="AD18" s="13"/>
      <c r="AE18" s="13"/>
      <c r="AF18" s="11"/>
      <c r="AG18" s="11"/>
      <c r="AH18" s="13"/>
      <c r="AI18" s="13"/>
      <c r="AJ18" s="11"/>
      <c r="AK18" s="11"/>
      <c r="AL18" s="13" t="s">
        <v>89</v>
      </c>
      <c r="AM18" s="13"/>
      <c r="AN18" s="11"/>
      <c r="AO18" s="11"/>
    </row>
    <row r="19" spans="1:41">
      <c r="A19" s="2">
        <v>15</v>
      </c>
      <c r="B19" s="205" t="s">
        <v>130</v>
      </c>
      <c r="C19" s="8" t="s">
        <v>131</v>
      </c>
      <c r="D19" s="20" t="s">
        <v>87</v>
      </c>
      <c r="E19" s="20">
        <v>100</v>
      </c>
      <c r="F19" s="90"/>
      <c r="G19" s="90" t="s">
        <v>132</v>
      </c>
      <c r="H19" s="22"/>
      <c r="I19" s="22"/>
      <c r="J19" s="13" t="s">
        <v>89</v>
      </c>
      <c r="K19" s="13"/>
      <c r="L19" s="11" t="s">
        <v>89</v>
      </c>
      <c r="M19" s="11"/>
      <c r="N19" s="13"/>
      <c r="O19" s="13"/>
      <c r="P19" s="11"/>
      <c r="Q19" s="11"/>
      <c r="R19" s="13"/>
      <c r="S19" s="13"/>
      <c r="T19" s="11"/>
      <c r="U19" s="11"/>
      <c r="V19" s="13"/>
      <c r="W19" s="13"/>
      <c r="X19" s="11"/>
      <c r="Y19" s="11"/>
      <c r="Z19" s="13"/>
      <c r="AA19" s="13"/>
      <c r="AB19" s="11"/>
      <c r="AC19" s="11"/>
      <c r="AD19" s="13"/>
      <c r="AE19" s="13"/>
      <c r="AF19" s="11"/>
      <c r="AG19" s="11"/>
      <c r="AH19" s="13"/>
      <c r="AI19" s="13"/>
      <c r="AJ19" s="11"/>
      <c r="AK19" s="11"/>
      <c r="AL19" s="13" t="s">
        <v>89</v>
      </c>
      <c r="AM19" s="13"/>
      <c r="AN19" s="11"/>
      <c r="AO19" s="11"/>
    </row>
    <row r="20" spans="1:41">
      <c r="A20" s="2">
        <v>16</v>
      </c>
      <c r="B20" s="206"/>
      <c r="C20" s="8" t="s">
        <v>133</v>
      </c>
      <c r="D20" s="20" t="s">
        <v>87</v>
      </c>
      <c r="E20" s="20">
        <v>100</v>
      </c>
      <c r="F20" s="90"/>
      <c r="G20" s="90" t="s">
        <v>134</v>
      </c>
      <c r="H20" s="22"/>
      <c r="I20" s="22"/>
      <c r="J20" s="13" t="s">
        <v>89</v>
      </c>
      <c r="K20" s="13"/>
      <c r="L20" s="11" t="s">
        <v>89</v>
      </c>
      <c r="M20" s="11"/>
      <c r="N20" s="13"/>
      <c r="O20" s="13"/>
      <c r="P20" s="11"/>
      <c r="Q20" s="11"/>
      <c r="R20" s="13"/>
      <c r="S20" s="13"/>
      <c r="T20" s="11"/>
      <c r="U20" s="11"/>
      <c r="V20" s="13"/>
      <c r="W20" s="13"/>
      <c r="X20" s="11"/>
      <c r="Y20" s="11"/>
      <c r="Z20" s="13"/>
      <c r="AA20" s="13"/>
      <c r="AB20" s="11"/>
      <c r="AC20" s="11"/>
      <c r="AD20" s="13"/>
      <c r="AE20" s="13"/>
      <c r="AF20" s="11"/>
      <c r="AG20" s="11"/>
      <c r="AH20" s="13"/>
      <c r="AI20" s="13"/>
      <c r="AJ20" s="11"/>
      <c r="AK20" s="11"/>
      <c r="AL20" s="21" t="s">
        <v>92</v>
      </c>
      <c r="AM20" s="13"/>
      <c r="AN20" s="11"/>
      <c r="AO20" s="11"/>
    </row>
    <row r="21" spans="1:41">
      <c r="A21" s="2">
        <v>17</v>
      </c>
      <c r="B21" s="206"/>
      <c r="C21" s="8" t="s">
        <v>135</v>
      </c>
      <c r="D21" s="20" t="s">
        <v>87</v>
      </c>
      <c r="E21" s="20">
        <v>100</v>
      </c>
      <c r="F21" s="90"/>
      <c r="G21" s="90" t="s">
        <v>136</v>
      </c>
      <c r="H21" s="22"/>
      <c r="I21" s="22"/>
      <c r="J21" s="21" t="s">
        <v>92</v>
      </c>
      <c r="K21" s="13"/>
      <c r="L21" s="21" t="s">
        <v>92</v>
      </c>
      <c r="M21" s="11"/>
      <c r="N21" s="13"/>
      <c r="O21" s="13"/>
      <c r="P21" s="11"/>
      <c r="Q21" s="11"/>
      <c r="R21" s="13"/>
      <c r="S21" s="13"/>
      <c r="T21" s="11"/>
      <c r="U21" s="11"/>
      <c r="V21" s="13"/>
      <c r="W21" s="13"/>
      <c r="X21" s="11"/>
      <c r="Y21" s="11"/>
      <c r="Z21" s="13"/>
      <c r="AA21" s="13"/>
      <c r="AB21" s="11"/>
      <c r="AC21" s="11"/>
      <c r="AD21" s="13"/>
      <c r="AE21" s="13"/>
      <c r="AF21" s="11"/>
      <c r="AG21" s="11"/>
      <c r="AH21" s="13"/>
      <c r="AI21" s="13"/>
      <c r="AJ21" s="11"/>
      <c r="AK21" s="11"/>
      <c r="AL21" s="21" t="s">
        <v>92</v>
      </c>
      <c r="AM21" s="13"/>
      <c r="AN21" s="11"/>
      <c r="AO21" s="11"/>
    </row>
    <row r="22" spans="1:41">
      <c r="A22" s="2">
        <v>18</v>
      </c>
      <c r="B22" s="206"/>
      <c r="C22" s="8" t="s">
        <v>137</v>
      </c>
      <c r="D22" s="20" t="s">
        <v>87</v>
      </c>
      <c r="E22" s="20">
        <v>100</v>
      </c>
      <c r="F22" s="90"/>
      <c r="G22" s="90" t="s">
        <v>138</v>
      </c>
      <c r="H22" s="22"/>
      <c r="I22" s="22"/>
      <c r="J22" s="21" t="s">
        <v>139</v>
      </c>
      <c r="K22" s="13"/>
      <c r="L22" s="21" t="s">
        <v>139</v>
      </c>
      <c r="M22" s="11"/>
      <c r="N22" s="13"/>
      <c r="O22" s="13"/>
      <c r="P22" s="11"/>
      <c r="Q22" s="11"/>
      <c r="R22" s="13"/>
      <c r="S22" s="13"/>
      <c r="T22" s="11"/>
      <c r="U22" s="11"/>
      <c r="V22" s="13"/>
      <c r="W22" s="13"/>
      <c r="X22" s="11"/>
      <c r="Y22" s="11"/>
      <c r="Z22" s="13"/>
      <c r="AA22" s="13"/>
      <c r="AB22" s="11"/>
      <c r="AC22" s="11"/>
      <c r="AD22" s="13"/>
      <c r="AE22" s="13"/>
      <c r="AF22" s="11"/>
      <c r="AG22" s="11"/>
      <c r="AH22" s="13"/>
      <c r="AI22" s="13"/>
      <c r="AJ22" s="11"/>
      <c r="AK22" s="11"/>
      <c r="AL22" s="21" t="s">
        <v>139</v>
      </c>
      <c r="AM22" s="13"/>
      <c r="AN22" s="11"/>
      <c r="AO22" s="11"/>
    </row>
    <row r="23" spans="1:41">
      <c r="A23" s="2">
        <v>19</v>
      </c>
      <c r="B23" s="206"/>
      <c r="C23" s="8" t="s">
        <v>140</v>
      </c>
      <c r="D23" s="20" t="s">
        <v>87</v>
      </c>
      <c r="E23" s="20">
        <v>50</v>
      </c>
      <c r="F23" s="90"/>
      <c r="G23" s="90" t="s">
        <v>141</v>
      </c>
      <c r="H23" s="22"/>
      <c r="I23" s="22"/>
      <c r="J23" s="21" t="s">
        <v>92</v>
      </c>
      <c r="K23" s="13"/>
      <c r="L23" s="21" t="s">
        <v>92</v>
      </c>
      <c r="M23" s="11"/>
      <c r="N23" s="13"/>
      <c r="O23" s="13"/>
      <c r="P23" s="11"/>
      <c r="Q23" s="11"/>
      <c r="R23" s="13"/>
      <c r="S23" s="13"/>
      <c r="T23" s="11"/>
      <c r="U23" s="11"/>
      <c r="V23" s="13"/>
      <c r="W23" s="13"/>
      <c r="X23" s="11"/>
      <c r="Y23" s="11"/>
      <c r="Z23" s="13"/>
      <c r="AA23" s="13"/>
      <c r="AB23" s="11"/>
      <c r="AC23" s="11"/>
      <c r="AD23" s="13"/>
      <c r="AE23" s="13"/>
      <c r="AF23" s="11"/>
      <c r="AG23" s="11"/>
      <c r="AH23" s="13"/>
      <c r="AI23" s="13"/>
      <c r="AJ23" s="11"/>
      <c r="AK23" s="11"/>
      <c r="AL23" s="21" t="s">
        <v>92</v>
      </c>
      <c r="AM23" s="13"/>
      <c r="AN23" s="11"/>
      <c r="AO23" s="11"/>
    </row>
    <row r="24" spans="1:41">
      <c r="A24" s="2">
        <v>20</v>
      </c>
      <c r="B24" s="206"/>
      <c r="C24" s="8" t="s">
        <v>142</v>
      </c>
      <c r="D24" s="20" t="s">
        <v>87</v>
      </c>
      <c r="E24" s="20">
        <v>50</v>
      </c>
      <c r="F24" s="90"/>
      <c r="G24" s="90" t="s">
        <v>143</v>
      </c>
      <c r="H24" s="22"/>
      <c r="I24" s="22"/>
      <c r="J24" s="21" t="s">
        <v>92</v>
      </c>
      <c r="K24" s="13"/>
      <c r="L24" s="21" t="s">
        <v>92</v>
      </c>
      <c r="M24" s="11"/>
      <c r="N24" s="13"/>
      <c r="O24" s="13"/>
      <c r="P24" s="11"/>
      <c r="Q24" s="11"/>
      <c r="R24" s="13"/>
      <c r="S24" s="13"/>
      <c r="T24" s="11"/>
      <c r="U24" s="11"/>
      <c r="V24" s="13"/>
      <c r="W24" s="13"/>
      <c r="X24" s="11"/>
      <c r="Y24" s="11"/>
      <c r="Z24" s="13"/>
      <c r="AA24" s="13"/>
      <c r="AB24" s="11"/>
      <c r="AC24" s="11"/>
      <c r="AD24" s="13"/>
      <c r="AE24" s="13"/>
      <c r="AF24" s="11"/>
      <c r="AG24" s="11"/>
      <c r="AH24" s="13"/>
      <c r="AI24" s="13"/>
      <c r="AJ24" s="11"/>
      <c r="AK24" s="11"/>
      <c r="AL24" s="21" t="s">
        <v>92</v>
      </c>
      <c r="AM24" s="13"/>
      <c r="AN24" s="11"/>
      <c r="AO24" s="11"/>
    </row>
    <row r="25" spans="1:41" ht="29.1">
      <c r="A25" s="2">
        <v>21</v>
      </c>
      <c r="B25" s="207"/>
      <c r="C25" s="8" t="s">
        <v>144</v>
      </c>
      <c r="D25" s="25" t="s">
        <v>145</v>
      </c>
      <c r="E25" s="20"/>
      <c r="F25" s="90" t="s">
        <v>99</v>
      </c>
      <c r="G25" s="90" t="s">
        <v>146</v>
      </c>
      <c r="H25" s="22"/>
      <c r="I25" s="22"/>
      <c r="J25" s="21" t="s">
        <v>92</v>
      </c>
      <c r="K25" s="13"/>
      <c r="L25" s="21" t="s">
        <v>92</v>
      </c>
      <c r="M25" s="11"/>
      <c r="N25" s="13"/>
      <c r="O25" s="13"/>
      <c r="P25" s="11"/>
      <c r="Q25" s="11"/>
      <c r="R25" s="13"/>
      <c r="S25" s="13"/>
      <c r="T25" s="11"/>
      <c r="U25" s="11"/>
      <c r="V25" s="13"/>
      <c r="W25" s="13"/>
      <c r="X25" s="11"/>
      <c r="Y25" s="11"/>
      <c r="Z25" s="13"/>
      <c r="AA25" s="13"/>
      <c r="AB25" s="11"/>
      <c r="AC25" s="11"/>
      <c r="AD25" s="13"/>
      <c r="AE25" s="13"/>
      <c r="AF25" s="11"/>
      <c r="AG25" s="11"/>
      <c r="AH25" s="13"/>
      <c r="AI25" s="13"/>
      <c r="AJ25" s="11"/>
      <c r="AK25" s="11"/>
      <c r="AL25" s="21" t="s">
        <v>92</v>
      </c>
      <c r="AM25" s="13"/>
      <c r="AN25" s="11"/>
      <c r="AO25" s="11"/>
    </row>
    <row r="26" spans="1:41">
      <c r="A26" s="203" t="s">
        <v>147</v>
      </c>
      <c r="B26" s="204"/>
      <c r="C26" s="204"/>
      <c r="D26" s="204"/>
      <c r="E26" s="204"/>
      <c r="F26" s="204"/>
      <c r="G26" s="204"/>
      <c r="H26" s="22"/>
      <c r="I26" s="22"/>
      <c r="J26" s="13"/>
      <c r="K26" s="13"/>
      <c r="L26" s="11"/>
      <c r="M26" s="11"/>
      <c r="N26" s="13"/>
      <c r="O26" s="13"/>
      <c r="P26" s="11"/>
      <c r="Q26" s="11"/>
      <c r="R26" s="13"/>
      <c r="S26" s="13"/>
      <c r="T26" s="11"/>
      <c r="U26" s="11"/>
      <c r="V26" s="13"/>
      <c r="W26" s="13"/>
      <c r="X26" s="11"/>
      <c r="Y26" s="11"/>
      <c r="Z26" s="13"/>
      <c r="AA26" s="13"/>
      <c r="AB26" s="11"/>
      <c r="AC26" s="11"/>
      <c r="AD26" s="13"/>
      <c r="AE26" s="13"/>
      <c r="AF26" s="11"/>
      <c r="AG26" s="11"/>
      <c r="AH26" s="13"/>
      <c r="AI26" s="13"/>
      <c r="AJ26" s="11"/>
      <c r="AK26" s="11"/>
      <c r="AL26" s="13"/>
      <c r="AM26" s="13"/>
      <c r="AN26" s="11"/>
      <c r="AO26" s="11"/>
    </row>
    <row r="27" spans="1:41" ht="52.5">
      <c r="A27" s="2">
        <v>22</v>
      </c>
      <c r="B27" s="202" t="s">
        <v>148</v>
      </c>
      <c r="C27" s="19" t="s">
        <v>149</v>
      </c>
      <c r="D27" s="163" t="s">
        <v>150</v>
      </c>
      <c r="E27" s="17"/>
      <c r="F27" s="17"/>
      <c r="G27" s="17" t="s">
        <v>151</v>
      </c>
      <c r="H27" s="22"/>
      <c r="I27" s="22"/>
      <c r="J27" s="13"/>
      <c r="K27" s="13"/>
      <c r="L27" s="11"/>
      <c r="M27" s="11"/>
      <c r="N27" s="13"/>
      <c r="O27" s="13" t="s">
        <v>89</v>
      </c>
      <c r="P27" s="11"/>
      <c r="Q27" s="11"/>
      <c r="R27" s="13"/>
      <c r="S27" s="13"/>
      <c r="T27" s="11"/>
      <c r="U27" s="11"/>
      <c r="V27" s="13"/>
      <c r="W27" s="13"/>
      <c r="X27" s="11"/>
      <c r="Y27" s="11"/>
      <c r="Z27" s="13"/>
      <c r="AA27" s="13"/>
      <c r="AB27" s="11"/>
      <c r="AC27" s="11"/>
      <c r="AD27" s="13"/>
      <c r="AE27" s="13"/>
      <c r="AF27" s="11"/>
      <c r="AG27" s="11"/>
      <c r="AH27" s="13"/>
      <c r="AI27" s="13"/>
      <c r="AJ27" s="11"/>
      <c r="AK27" s="11"/>
      <c r="AL27" s="13"/>
      <c r="AM27" s="13"/>
      <c r="AN27" s="11"/>
      <c r="AO27" s="11"/>
    </row>
    <row r="28" spans="1:41" ht="52.5">
      <c r="A28" s="2">
        <v>23</v>
      </c>
      <c r="B28" s="202"/>
      <c r="C28" s="19" t="s">
        <v>152</v>
      </c>
      <c r="D28" s="163" t="s">
        <v>153</v>
      </c>
      <c r="E28" s="17"/>
      <c r="F28" s="17"/>
      <c r="G28" s="17" t="s">
        <v>154</v>
      </c>
      <c r="H28" s="22"/>
      <c r="I28" s="22"/>
      <c r="J28" s="13"/>
      <c r="K28" s="13"/>
      <c r="L28" s="11"/>
      <c r="M28" s="11"/>
      <c r="N28" s="13"/>
      <c r="O28" s="13" t="s">
        <v>89</v>
      </c>
      <c r="P28" s="11"/>
      <c r="Q28" s="11"/>
      <c r="R28" s="13"/>
      <c r="S28" s="13"/>
      <c r="T28" s="11"/>
      <c r="U28" s="11"/>
      <c r="V28" s="13"/>
      <c r="W28" s="13"/>
      <c r="X28" s="11"/>
      <c r="Y28" s="11"/>
      <c r="Z28" s="13"/>
      <c r="AA28" s="13"/>
      <c r="AB28" s="11"/>
      <c r="AC28" s="11"/>
      <c r="AD28" s="13"/>
      <c r="AE28" s="13"/>
      <c r="AF28" s="11"/>
      <c r="AG28" s="11"/>
      <c r="AH28" s="13"/>
      <c r="AI28" s="13"/>
      <c r="AJ28" s="11"/>
      <c r="AK28" s="11"/>
      <c r="AL28" s="13"/>
      <c r="AM28" s="13"/>
      <c r="AN28" s="11"/>
      <c r="AO28" s="11"/>
    </row>
    <row r="29" spans="1:41" ht="29.1">
      <c r="A29" s="2">
        <v>24</v>
      </c>
      <c r="B29" s="202"/>
      <c r="C29" s="7" t="s">
        <v>155</v>
      </c>
      <c r="D29" s="24" t="s">
        <v>156</v>
      </c>
      <c r="E29" s="19"/>
      <c r="F29" s="17" t="s">
        <v>99</v>
      </c>
      <c r="G29" s="17" t="s">
        <v>157</v>
      </c>
      <c r="H29" s="22"/>
      <c r="I29" s="22"/>
      <c r="J29" s="21" t="s">
        <v>92</v>
      </c>
      <c r="K29" s="13"/>
      <c r="L29" s="21" t="s">
        <v>92</v>
      </c>
      <c r="M29" s="11"/>
      <c r="N29" s="13"/>
      <c r="O29" s="13"/>
      <c r="P29" s="11"/>
      <c r="Q29" s="11"/>
      <c r="R29" s="13"/>
      <c r="S29" s="13"/>
      <c r="T29" s="11"/>
      <c r="U29" s="11"/>
      <c r="V29" s="13"/>
      <c r="W29" s="13"/>
      <c r="X29" s="11"/>
      <c r="Y29" s="11"/>
      <c r="Z29" s="13"/>
      <c r="AA29" s="13"/>
      <c r="AB29" s="11"/>
      <c r="AC29" s="11"/>
      <c r="AD29" s="13"/>
      <c r="AE29" s="13"/>
      <c r="AF29" s="11"/>
      <c r="AG29" s="11"/>
      <c r="AH29" s="13"/>
      <c r="AI29" s="13"/>
      <c r="AJ29" s="11"/>
      <c r="AK29" s="11"/>
      <c r="AL29" s="21" t="s">
        <v>92</v>
      </c>
      <c r="AM29" s="13"/>
      <c r="AN29" s="11"/>
      <c r="AO29" s="11"/>
    </row>
    <row r="30" spans="1:41" ht="29.1">
      <c r="A30" s="2">
        <v>25</v>
      </c>
      <c r="B30" s="202"/>
      <c r="C30" s="7" t="s">
        <v>158</v>
      </c>
      <c r="D30" s="24" t="s">
        <v>159</v>
      </c>
      <c r="E30" s="19"/>
      <c r="F30" s="17" t="s">
        <v>160</v>
      </c>
      <c r="G30" s="17" t="s">
        <v>161</v>
      </c>
      <c r="H30" s="22"/>
      <c r="I30" s="22"/>
      <c r="J30" s="21" t="s">
        <v>92</v>
      </c>
      <c r="K30" s="13"/>
      <c r="L30" s="21" t="s">
        <v>92</v>
      </c>
      <c r="M30" s="11"/>
      <c r="N30" s="13"/>
      <c r="O30" s="13"/>
      <c r="P30" s="11"/>
      <c r="Q30" s="11"/>
      <c r="R30" s="13"/>
      <c r="S30" s="13"/>
      <c r="T30" s="11"/>
      <c r="U30" s="11"/>
      <c r="V30" s="13"/>
      <c r="W30" s="13"/>
      <c r="X30" s="11"/>
      <c r="Y30" s="11"/>
      <c r="Z30" s="13"/>
      <c r="AA30" s="13"/>
      <c r="AB30" s="11"/>
      <c r="AC30" s="11"/>
      <c r="AD30" s="13"/>
      <c r="AE30" s="13"/>
      <c r="AF30" s="11"/>
      <c r="AG30" s="11"/>
      <c r="AH30" s="13"/>
      <c r="AI30" s="13"/>
      <c r="AJ30" s="11"/>
      <c r="AK30" s="11"/>
      <c r="AL30" s="21" t="s">
        <v>92</v>
      </c>
      <c r="AM30" s="13"/>
      <c r="AN30" s="11"/>
      <c r="AO30" s="11"/>
    </row>
    <row r="31" spans="1:41">
      <c r="A31" s="2">
        <v>26</v>
      </c>
      <c r="B31" s="202"/>
      <c r="C31" s="7" t="s">
        <v>162</v>
      </c>
      <c r="D31" s="19" t="s">
        <v>163</v>
      </c>
      <c r="E31" s="19"/>
      <c r="F31" s="17"/>
      <c r="G31" s="143" t="s">
        <v>164</v>
      </c>
      <c r="H31" s="22"/>
      <c r="I31" s="22"/>
      <c r="J31" s="21" t="s">
        <v>92</v>
      </c>
      <c r="K31" s="13"/>
      <c r="L31" s="21" t="s">
        <v>92</v>
      </c>
      <c r="M31" s="11"/>
      <c r="N31" s="13"/>
      <c r="O31" s="13"/>
      <c r="P31" s="11"/>
      <c r="Q31" s="11"/>
      <c r="R31" s="13"/>
      <c r="S31" s="13"/>
      <c r="T31" s="11"/>
      <c r="U31" s="11"/>
      <c r="V31" s="13"/>
      <c r="W31" s="13"/>
      <c r="X31" s="11"/>
      <c r="Y31" s="11"/>
      <c r="Z31" s="13"/>
      <c r="AA31" s="13"/>
      <c r="AB31" s="11"/>
      <c r="AC31" s="11"/>
      <c r="AD31" s="13"/>
      <c r="AE31" s="13"/>
      <c r="AF31" s="11"/>
      <c r="AG31" s="11"/>
      <c r="AH31" s="13"/>
      <c r="AI31" s="13"/>
      <c r="AJ31" s="11"/>
      <c r="AK31" s="11"/>
      <c r="AL31" s="21" t="s">
        <v>92</v>
      </c>
      <c r="AM31" s="13"/>
      <c r="AN31" s="11"/>
      <c r="AO31" s="11"/>
    </row>
    <row r="32" spans="1:41" ht="14.45">
      <c r="A32" s="2">
        <v>27</v>
      </c>
      <c r="B32" s="202"/>
      <c r="C32" s="7" t="s">
        <v>165</v>
      </c>
      <c r="D32" s="24" t="s">
        <v>166</v>
      </c>
      <c r="E32" s="19"/>
      <c r="F32" s="17" t="s">
        <v>167</v>
      </c>
      <c r="G32" s="17" t="s">
        <v>168</v>
      </c>
      <c r="H32" s="22"/>
      <c r="I32" s="22"/>
      <c r="J32" s="21" t="s">
        <v>92</v>
      </c>
      <c r="K32" s="13"/>
      <c r="L32" s="21" t="s">
        <v>92</v>
      </c>
      <c r="M32" s="11"/>
      <c r="N32" s="13"/>
      <c r="O32" s="13"/>
      <c r="P32" s="11"/>
      <c r="Q32" s="11"/>
      <c r="R32" s="13"/>
      <c r="S32" s="13"/>
      <c r="T32" s="11"/>
      <c r="U32" s="11"/>
      <c r="V32" s="13"/>
      <c r="W32" s="13"/>
      <c r="X32" s="11"/>
      <c r="Y32" s="11"/>
      <c r="Z32" s="13"/>
      <c r="AA32" s="13"/>
      <c r="AB32" s="11"/>
      <c r="AC32" s="11"/>
      <c r="AD32" s="13"/>
      <c r="AE32" s="13"/>
      <c r="AF32" s="11"/>
      <c r="AG32" s="11"/>
      <c r="AH32" s="13"/>
      <c r="AI32" s="13"/>
      <c r="AJ32" s="11"/>
      <c r="AK32" s="11"/>
      <c r="AL32" s="13"/>
      <c r="AM32" s="13"/>
      <c r="AN32" s="11"/>
      <c r="AO32" s="11"/>
    </row>
    <row r="33" spans="1:41">
      <c r="A33" s="2">
        <v>28</v>
      </c>
      <c r="B33" s="202"/>
      <c r="C33" s="7" t="s">
        <v>169</v>
      </c>
      <c r="D33" s="19" t="s">
        <v>87</v>
      </c>
      <c r="E33" s="19">
        <v>100</v>
      </c>
      <c r="F33" s="17"/>
      <c r="G33" s="17" t="s">
        <v>170</v>
      </c>
      <c r="H33" s="22"/>
      <c r="I33" s="22"/>
      <c r="J33" s="13" t="s">
        <v>89</v>
      </c>
      <c r="K33" s="13"/>
      <c r="L33" s="11" t="s">
        <v>89</v>
      </c>
      <c r="M33" s="11"/>
      <c r="N33" s="13"/>
      <c r="O33" s="13"/>
      <c r="P33" s="11"/>
      <c r="Q33" s="11"/>
      <c r="R33" s="13"/>
      <c r="S33" s="13"/>
      <c r="T33" s="11"/>
      <c r="U33" s="11"/>
      <c r="V33" s="13"/>
      <c r="W33" s="13"/>
      <c r="X33" s="11"/>
      <c r="Y33" s="11"/>
      <c r="Z33" s="13"/>
      <c r="AA33" s="13"/>
      <c r="AB33" s="11"/>
      <c r="AC33" s="11"/>
      <c r="AD33" s="13"/>
      <c r="AE33" s="13"/>
      <c r="AF33" s="11"/>
      <c r="AG33" s="11"/>
      <c r="AH33" s="13"/>
      <c r="AI33" s="13"/>
      <c r="AJ33" s="11"/>
      <c r="AK33" s="11"/>
      <c r="AL33" s="13"/>
      <c r="AM33" s="13"/>
      <c r="AN33" s="11"/>
      <c r="AO33" s="11"/>
    </row>
    <row r="34" spans="1:41">
      <c r="A34" s="2">
        <v>29</v>
      </c>
      <c r="B34" s="202"/>
      <c r="C34" s="7" t="s">
        <v>171</v>
      </c>
      <c r="D34" s="19" t="s">
        <v>87</v>
      </c>
      <c r="E34" s="19">
        <v>100</v>
      </c>
      <c r="F34" s="17" t="s">
        <v>172</v>
      </c>
      <c r="G34" s="17" t="s">
        <v>173</v>
      </c>
      <c r="H34" s="22"/>
      <c r="I34" s="22"/>
      <c r="J34" s="21" t="s">
        <v>92</v>
      </c>
      <c r="K34" s="13"/>
      <c r="L34" s="21" t="s">
        <v>92</v>
      </c>
      <c r="M34" s="11"/>
      <c r="N34" s="13"/>
      <c r="O34" s="13"/>
      <c r="P34" s="11"/>
      <c r="Q34" s="11"/>
      <c r="R34" s="13"/>
      <c r="S34" s="13"/>
      <c r="T34" s="11"/>
      <c r="U34" s="11"/>
      <c r="V34" s="13"/>
      <c r="W34" s="13"/>
      <c r="X34" s="11"/>
      <c r="Y34" s="11"/>
      <c r="Z34" s="13"/>
      <c r="AA34" s="13"/>
      <c r="AB34" s="11"/>
      <c r="AC34" s="11"/>
      <c r="AD34" s="13"/>
      <c r="AE34" s="13"/>
      <c r="AF34" s="11"/>
      <c r="AG34" s="11"/>
      <c r="AH34" s="13"/>
      <c r="AI34" s="13"/>
      <c r="AJ34" s="11"/>
      <c r="AK34" s="11"/>
      <c r="AL34" s="13"/>
      <c r="AM34" s="13"/>
      <c r="AN34" s="11"/>
      <c r="AO34" s="11"/>
    </row>
    <row r="35" spans="1:41">
      <c r="A35" s="2">
        <v>30</v>
      </c>
      <c r="B35" s="202"/>
      <c r="C35" s="7" t="s">
        <v>174</v>
      </c>
      <c r="D35" s="19" t="s">
        <v>87</v>
      </c>
      <c r="E35" s="19">
        <v>50</v>
      </c>
      <c r="F35" s="17" t="s">
        <v>172</v>
      </c>
      <c r="G35" s="17" t="s">
        <v>175</v>
      </c>
      <c r="H35" s="22"/>
      <c r="I35" s="22"/>
      <c r="J35" s="13" t="s">
        <v>89</v>
      </c>
      <c r="K35" s="13"/>
      <c r="L35" s="11" t="s">
        <v>89</v>
      </c>
      <c r="M35" s="11"/>
      <c r="N35" s="13"/>
      <c r="O35" s="13"/>
      <c r="P35" s="11"/>
      <c r="Q35" s="11"/>
      <c r="R35" s="13"/>
      <c r="S35" s="13"/>
      <c r="T35" s="11"/>
      <c r="U35" s="11"/>
      <c r="V35" s="13"/>
      <c r="W35" s="13"/>
      <c r="X35" s="11"/>
      <c r="Y35" s="11"/>
      <c r="Z35" s="13"/>
      <c r="AA35" s="13"/>
      <c r="AB35" s="11"/>
      <c r="AC35" s="11"/>
      <c r="AD35" s="13"/>
      <c r="AE35" s="13"/>
      <c r="AF35" s="11"/>
      <c r="AG35" s="11"/>
      <c r="AH35" s="13"/>
      <c r="AI35" s="13"/>
      <c r="AJ35" s="11"/>
      <c r="AK35" s="11"/>
      <c r="AL35" s="13"/>
      <c r="AM35" s="13"/>
      <c r="AN35" s="11"/>
      <c r="AO35" s="11"/>
    </row>
    <row r="36" spans="1:41">
      <c r="A36" s="2">
        <v>31</v>
      </c>
      <c r="B36" s="202"/>
      <c r="C36" s="7" t="s">
        <v>176</v>
      </c>
      <c r="D36" s="19" t="s">
        <v>87</v>
      </c>
      <c r="E36" s="19">
        <v>100</v>
      </c>
      <c r="F36" s="17" t="s">
        <v>172</v>
      </c>
      <c r="G36" s="17" t="s">
        <v>177</v>
      </c>
      <c r="H36" s="22"/>
      <c r="I36" s="22"/>
      <c r="J36" s="21" t="s">
        <v>92</v>
      </c>
      <c r="K36" s="13"/>
      <c r="L36" s="21" t="s">
        <v>92</v>
      </c>
      <c r="M36" s="11"/>
      <c r="N36" s="13"/>
      <c r="O36" s="13"/>
      <c r="P36" s="11"/>
      <c r="Q36" s="11"/>
      <c r="R36" s="13"/>
      <c r="S36" s="13"/>
      <c r="T36" s="11"/>
      <c r="U36" s="11"/>
      <c r="V36" s="13"/>
      <c r="W36" s="13"/>
      <c r="X36" s="11"/>
      <c r="Y36" s="11"/>
      <c r="Z36" s="13"/>
      <c r="AA36" s="13"/>
      <c r="AB36" s="11"/>
      <c r="AC36" s="11"/>
      <c r="AD36" s="13"/>
      <c r="AE36" s="13"/>
      <c r="AF36" s="11"/>
      <c r="AG36" s="11"/>
      <c r="AH36" s="13"/>
      <c r="AI36" s="13"/>
      <c r="AJ36" s="11"/>
      <c r="AK36" s="11"/>
      <c r="AL36" s="13"/>
      <c r="AM36" s="13"/>
      <c r="AN36" s="11"/>
      <c r="AO36" s="11"/>
    </row>
    <row r="37" spans="1:41">
      <c r="A37" s="2">
        <v>32</v>
      </c>
      <c r="B37" s="202"/>
      <c r="C37" s="7" t="s">
        <v>178</v>
      </c>
      <c r="D37" s="19" t="s">
        <v>105</v>
      </c>
      <c r="E37" s="19"/>
      <c r="F37" s="17" t="s">
        <v>179</v>
      </c>
      <c r="G37" s="17" t="s">
        <v>180</v>
      </c>
      <c r="H37" s="22"/>
      <c r="I37" s="22"/>
      <c r="J37" s="21" t="s">
        <v>92</v>
      </c>
      <c r="K37" s="13"/>
      <c r="L37" s="21" t="s">
        <v>92</v>
      </c>
      <c r="M37" s="11"/>
      <c r="N37" s="13"/>
      <c r="O37" s="13"/>
      <c r="P37" s="11"/>
      <c r="Q37" s="11"/>
      <c r="R37" s="13"/>
      <c r="S37" s="13"/>
      <c r="T37" s="11"/>
      <c r="U37" s="11"/>
      <c r="V37" s="13"/>
      <c r="W37" s="13"/>
      <c r="X37" s="11"/>
      <c r="Y37" s="11"/>
      <c r="Z37" s="13"/>
      <c r="AA37" s="13"/>
      <c r="AB37" s="11"/>
      <c r="AC37" s="11"/>
      <c r="AD37" s="13"/>
      <c r="AE37" s="13"/>
      <c r="AF37" s="11"/>
      <c r="AG37" s="11"/>
      <c r="AH37" s="13"/>
      <c r="AI37" s="13"/>
      <c r="AJ37" s="11"/>
      <c r="AK37" s="11"/>
      <c r="AL37" s="21" t="s">
        <v>92</v>
      </c>
      <c r="AM37" s="13"/>
      <c r="AN37" s="11"/>
      <c r="AO37" s="11"/>
    </row>
    <row r="38" spans="1:41">
      <c r="A38" s="2">
        <v>33</v>
      </c>
      <c r="B38" s="202"/>
      <c r="C38" s="7" t="s">
        <v>181</v>
      </c>
      <c r="D38" s="19" t="s">
        <v>113</v>
      </c>
      <c r="E38" s="19"/>
      <c r="F38" s="17" t="s">
        <v>114</v>
      </c>
      <c r="G38" s="17" t="s">
        <v>182</v>
      </c>
      <c r="H38" s="22"/>
      <c r="I38" s="22"/>
      <c r="J38" s="21" t="s">
        <v>92</v>
      </c>
      <c r="K38" s="13"/>
      <c r="L38" s="11"/>
      <c r="M38" s="11"/>
      <c r="N38" s="13"/>
      <c r="O38" s="13"/>
      <c r="P38" s="11"/>
      <c r="Q38" s="11"/>
      <c r="R38" s="13"/>
      <c r="S38" s="13"/>
      <c r="T38" s="11"/>
      <c r="U38" s="11"/>
      <c r="V38" s="13"/>
      <c r="W38" s="13"/>
      <c r="X38" s="11"/>
      <c r="Y38" s="11"/>
      <c r="Z38" s="13"/>
      <c r="AA38" s="13"/>
      <c r="AB38" s="11"/>
      <c r="AC38" s="11"/>
      <c r="AD38" s="13"/>
      <c r="AE38" s="13"/>
      <c r="AF38" s="11"/>
      <c r="AG38" s="11"/>
      <c r="AH38" s="13"/>
      <c r="AI38" s="13"/>
      <c r="AJ38" s="11"/>
      <c r="AK38" s="11"/>
      <c r="AL38" s="13"/>
      <c r="AM38" s="13"/>
      <c r="AN38" s="11"/>
      <c r="AO38" s="11"/>
    </row>
    <row r="39" spans="1:41">
      <c r="A39" s="2">
        <v>34</v>
      </c>
      <c r="B39" s="202"/>
      <c r="C39" s="14" t="s">
        <v>183</v>
      </c>
      <c r="D39" s="19" t="s">
        <v>87</v>
      </c>
      <c r="E39" s="19">
        <v>100</v>
      </c>
      <c r="F39" s="17"/>
      <c r="G39" s="17" t="s">
        <v>184</v>
      </c>
      <c r="H39" s="22"/>
      <c r="I39" s="22"/>
      <c r="J39" s="13" t="s">
        <v>89</v>
      </c>
      <c r="K39" s="13"/>
      <c r="L39" s="11"/>
      <c r="M39" s="11"/>
      <c r="N39" s="13"/>
      <c r="O39" s="13"/>
      <c r="P39" s="11"/>
      <c r="Q39" s="11"/>
      <c r="R39" s="13"/>
      <c r="S39" s="13"/>
      <c r="T39" s="11"/>
      <c r="U39" s="11"/>
      <c r="V39" s="13"/>
      <c r="W39" s="13"/>
      <c r="X39" s="11"/>
      <c r="Y39" s="11"/>
      <c r="Z39" s="13"/>
      <c r="AA39" s="13"/>
      <c r="AB39" s="11"/>
      <c r="AC39" s="11"/>
      <c r="AD39" s="13"/>
      <c r="AE39" s="13"/>
      <c r="AF39" s="11"/>
      <c r="AG39" s="11"/>
      <c r="AH39" s="13"/>
      <c r="AI39" s="13"/>
      <c r="AJ39" s="11"/>
      <c r="AK39" s="11"/>
      <c r="AL39" s="21" t="s">
        <v>92</v>
      </c>
      <c r="AM39" s="13"/>
      <c r="AN39" s="11"/>
      <c r="AO39" s="11"/>
    </row>
    <row r="40" spans="1:41">
      <c r="A40" s="2">
        <v>35</v>
      </c>
      <c r="B40" s="202"/>
      <c r="C40" s="14" t="s">
        <v>185</v>
      </c>
      <c r="D40" s="19" t="s">
        <v>87</v>
      </c>
      <c r="E40" s="19">
        <v>100</v>
      </c>
      <c r="F40" s="17"/>
      <c r="G40" s="17" t="s">
        <v>186</v>
      </c>
      <c r="H40" s="22"/>
      <c r="I40" s="22"/>
      <c r="J40" s="13" t="s">
        <v>89</v>
      </c>
      <c r="K40" s="13"/>
      <c r="L40" s="11"/>
      <c r="M40" s="11"/>
      <c r="N40" s="13"/>
      <c r="O40" s="13"/>
      <c r="P40" s="11"/>
      <c r="Q40" s="11"/>
      <c r="R40" s="13"/>
      <c r="S40" s="13"/>
      <c r="T40" s="11"/>
      <c r="U40" s="11"/>
      <c r="V40" s="13"/>
      <c r="W40" s="13"/>
      <c r="X40" s="11"/>
      <c r="Y40" s="11"/>
      <c r="Z40" s="13"/>
      <c r="AA40" s="13"/>
      <c r="AB40" s="11"/>
      <c r="AC40" s="11"/>
      <c r="AD40" s="13"/>
      <c r="AE40" s="13"/>
      <c r="AF40" s="11"/>
      <c r="AG40" s="11"/>
      <c r="AH40" s="13"/>
      <c r="AI40" s="13"/>
      <c r="AJ40" s="11"/>
      <c r="AK40" s="11"/>
      <c r="AL40" s="21" t="s">
        <v>92</v>
      </c>
      <c r="AM40" s="13"/>
      <c r="AN40" s="11"/>
      <c r="AO40" s="11"/>
    </row>
    <row r="41" spans="1:41">
      <c r="A41" s="2">
        <v>36</v>
      </c>
      <c r="B41" s="202"/>
      <c r="C41" s="14" t="s">
        <v>187</v>
      </c>
      <c r="D41" s="19" t="s">
        <v>113</v>
      </c>
      <c r="E41" s="19"/>
      <c r="F41" s="17" t="s">
        <v>114</v>
      </c>
      <c r="G41" s="17" t="s">
        <v>188</v>
      </c>
      <c r="H41" s="22"/>
      <c r="I41" s="22"/>
      <c r="J41" s="13" t="s">
        <v>89</v>
      </c>
      <c r="K41" s="13"/>
      <c r="L41" s="11"/>
      <c r="M41" s="11"/>
      <c r="N41" s="13"/>
      <c r="O41" s="13"/>
      <c r="P41" s="11"/>
      <c r="Q41" s="11"/>
      <c r="R41" s="13"/>
      <c r="S41" s="13"/>
      <c r="T41" s="11"/>
      <c r="U41" s="11"/>
      <c r="V41" s="13"/>
      <c r="W41" s="13"/>
      <c r="X41" s="11"/>
      <c r="Y41" s="11"/>
      <c r="Z41" s="13"/>
      <c r="AA41" s="13"/>
      <c r="AB41" s="11"/>
      <c r="AC41" s="11"/>
      <c r="AD41" s="13"/>
      <c r="AE41" s="13"/>
      <c r="AF41" s="11"/>
      <c r="AG41" s="11"/>
      <c r="AH41" s="13"/>
      <c r="AI41" s="13"/>
      <c r="AJ41" s="11"/>
      <c r="AK41" s="11"/>
      <c r="AL41" s="21" t="s">
        <v>92</v>
      </c>
      <c r="AM41" s="13"/>
      <c r="AN41" s="11"/>
      <c r="AO41" s="11"/>
    </row>
    <row r="42" spans="1:41" ht="43.5">
      <c r="A42" s="2">
        <v>37</v>
      </c>
      <c r="B42" s="202"/>
      <c r="C42" s="7" t="s">
        <v>189</v>
      </c>
      <c r="D42" s="24" t="s">
        <v>190</v>
      </c>
      <c r="E42" s="19"/>
      <c r="F42" s="17" t="s">
        <v>191</v>
      </c>
      <c r="G42" s="17" t="s">
        <v>192</v>
      </c>
      <c r="H42" s="22"/>
      <c r="I42" s="22"/>
      <c r="J42" s="21" t="s">
        <v>92</v>
      </c>
      <c r="K42" s="13"/>
      <c r="L42" s="21" t="s">
        <v>92</v>
      </c>
      <c r="M42" s="11"/>
      <c r="N42" s="13"/>
      <c r="O42" s="13"/>
      <c r="P42" s="11"/>
      <c r="Q42" s="11"/>
      <c r="R42" s="13"/>
      <c r="S42" s="13"/>
      <c r="T42" s="11"/>
      <c r="U42" s="11"/>
      <c r="V42" s="13"/>
      <c r="W42" s="13"/>
      <c r="X42" s="11"/>
      <c r="Y42" s="11"/>
      <c r="Z42" s="13"/>
      <c r="AA42" s="13"/>
      <c r="AB42" s="11"/>
      <c r="AC42" s="11"/>
      <c r="AD42" s="13"/>
      <c r="AE42" s="13"/>
      <c r="AF42" s="11"/>
      <c r="AG42" s="11"/>
      <c r="AH42" s="13"/>
      <c r="AI42" s="13"/>
      <c r="AJ42" s="11"/>
      <c r="AK42" s="11"/>
      <c r="AL42" s="21" t="s">
        <v>92</v>
      </c>
      <c r="AM42" s="13"/>
      <c r="AN42" s="11"/>
      <c r="AO42" s="11"/>
    </row>
    <row r="43" spans="1:41">
      <c r="A43" s="2">
        <v>38</v>
      </c>
      <c r="B43" s="202"/>
      <c r="C43" s="7" t="s">
        <v>193</v>
      </c>
      <c r="D43" s="19" t="s">
        <v>87</v>
      </c>
      <c r="E43" s="19">
        <v>15</v>
      </c>
      <c r="F43" s="17" t="s">
        <v>194</v>
      </c>
      <c r="G43" s="17" t="s">
        <v>195</v>
      </c>
      <c r="H43" s="22"/>
      <c r="I43" s="22"/>
      <c r="J43" s="21" t="s">
        <v>92</v>
      </c>
      <c r="K43" s="13"/>
      <c r="L43" s="21" t="s">
        <v>92</v>
      </c>
      <c r="M43" s="11"/>
      <c r="N43" s="13"/>
      <c r="O43" s="13"/>
      <c r="P43" s="11"/>
      <c r="Q43" s="11"/>
      <c r="R43" s="13"/>
      <c r="S43" s="13"/>
      <c r="T43" s="11"/>
      <c r="U43" s="11"/>
      <c r="V43" s="13"/>
      <c r="W43" s="13"/>
      <c r="X43" s="11"/>
      <c r="Y43" s="11"/>
      <c r="Z43" s="13"/>
      <c r="AA43" s="13"/>
      <c r="AB43" s="11"/>
      <c r="AC43" s="11"/>
      <c r="AD43" s="13"/>
      <c r="AE43" s="13"/>
      <c r="AF43" s="11"/>
      <c r="AG43" s="11"/>
      <c r="AH43" s="13"/>
      <c r="AI43" s="13"/>
      <c r="AJ43" s="11"/>
      <c r="AK43" s="11"/>
      <c r="AL43" s="21" t="s">
        <v>92</v>
      </c>
      <c r="AM43" s="13"/>
      <c r="AN43" s="11"/>
      <c r="AO43" s="11"/>
    </row>
    <row r="44" spans="1:41" ht="39">
      <c r="A44" s="2">
        <v>39</v>
      </c>
      <c r="B44" s="202"/>
      <c r="C44" s="119" t="s">
        <v>196</v>
      </c>
      <c r="D44" s="120" t="s">
        <v>197</v>
      </c>
      <c r="E44" s="120">
        <v>200</v>
      </c>
      <c r="F44" s="121" t="s">
        <v>198</v>
      </c>
      <c r="G44" s="17" t="s">
        <v>199</v>
      </c>
      <c r="H44" s="22"/>
      <c r="I44" s="22"/>
      <c r="J44" s="21" t="s">
        <v>92</v>
      </c>
      <c r="K44" s="13"/>
      <c r="L44" s="21" t="s">
        <v>92</v>
      </c>
      <c r="M44" s="11"/>
      <c r="N44" s="13"/>
      <c r="O44" s="13"/>
      <c r="P44" s="11"/>
      <c r="Q44" s="11"/>
      <c r="R44" s="13"/>
      <c r="S44" s="13"/>
      <c r="T44" s="11"/>
      <c r="U44" s="11"/>
      <c r="V44" s="13"/>
      <c r="W44" s="13"/>
      <c r="X44" s="11"/>
      <c r="Y44" s="11"/>
      <c r="Z44" s="13"/>
      <c r="AA44" s="13"/>
      <c r="AB44" s="11"/>
      <c r="AC44" s="11"/>
      <c r="AD44" s="13"/>
      <c r="AE44" s="13"/>
      <c r="AF44" s="11"/>
      <c r="AG44" s="11"/>
      <c r="AH44" s="13"/>
      <c r="AI44" s="13"/>
      <c r="AJ44" s="11"/>
      <c r="AK44" s="11"/>
      <c r="AL44" s="21" t="s">
        <v>92</v>
      </c>
      <c r="AM44" s="13"/>
      <c r="AN44" s="11"/>
      <c r="AO44" s="11"/>
    </row>
    <row r="45" spans="1:41" ht="43.5">
      <c r="A45" s="2">
        <v>40</v>
      </c>
      <c r="B45" s="202"/>
      <c r="C45" s="7" t="s">
        <v>200</v>
      </c>
      <c r="D45" s="24" t="s">
        <v>190</v>
      </c>
      <c r="E45" s="19"/>
      <c r="F45" s="17" t="s">
        <v>191</v>
      </c>
      <c r="G45" s="17" t="s">
        <v>201</v>
      </c>
      <c r="H45" s="22"/>
      <c r="I45" s="22"/>
      <c r="J45" s="21" t="s">
        <v>92</v>
      </c>
      <c r="K45" s="13"/>
      <c r="L45" s="11"/>
      <c r="M45" s="11"/>
      <c r="N45" s="13"/>
      <c r="O45" s="13"/>
      <c r="P45" s="11"/>
      <c r="Q45" s="11"/>
      <c r="R45" s="13"/>
      <c r="S45" s="13"/>
      <c r="T45" s="11"/>
      <c r="U45" s="11"/>
      <c r="V45" s="13"/>
      <c r="W45" s="13"/>
      <c r="X45" s="11"/>
      <c r="Y45" s="11"/>
      <c r="Z45" s="13"/>
      <c r="AA45" s="13"/>
      <c r="AB45" s="11"/>
      <c r="AC45" s="11"/>
      <c r="AD45" s="13"/>
      <c r="AE45" s="13"/>
      <c r="AF45" s="11"/>
      <c r="AG45" s="11"/>
      <c r="AH45" s="13"/>
      <c r="AI45" s="13"/>
      <c r="AJ45" s="11"/>
      <c r="AK45" s="11"/>
      <c r="AL45" s="21" t="s">
        <v>92</v>
      </c>
      <c r="AM45" s="13"/>
      <c r="AN45" s="11"/>
      <c r="AO45" s="11"/>
    </row>
    <row r="46" spans="1:41">
      <c r="A46" s="2">
        <v>41</v>
      </c>
      <c r="B46" s="202"/>
      <c r="C46" s="7" t="s">
        <v>202</v>
      </c>
      <c r="D46" s="19" t="s">
        <v>87</v>
      </c>
      <c r="E46" s="19">
        <v>15</v>
      </c>
      <c r="F46" s="17" t="s">
        <v>194</v>
      </c>
      <c r="G46" s="17" t="s">
        <v>203</v>
      </c>
      <c r="H46" s="22"/>
      <c r="I46" s="22"/>
      <c r="J46" s="13" t="s">
        <v>89</v>
      </c>
      <c r="K46" s="13"/>
      <c r="L46" s="11"/>
      <c r="M46" s="11"/>
      <c r="N46" s="13"/>
      <c r="O46" s="13"/>
      <c r="P46" s="11"/>
      <c r="Q46" s="11"/>
      <c r="R46" s="13"/>
      <c r="S46" s="13"/>
      <c r="T46" s="11"/>
      <c r="U46" s="11"/>
      <c r="V46" s="13"/>
      <c r="W46" s="13"/>
      <c r="X46" s="11"/>
      <c r="Y46" s="11"/>
      <c r="Z46" s="13"/>
      <c r="AA46" s="13"/>
      <c r="AB46" s="11"/>
      <c r="AC46" s="11"/>
      <c r="AD46" s="13"/>
      <c r="AE46" s="13"/>
      <c r="AF46" s="11"/>
      <c r="AG46" s="11"/>
      <c r="AH46" s="13"/>
      <c r="AI46" s="13"/>
      <c r="AJ46" s="11"/>
      <c r="AK46" s="11"/>
      <c r="AL46" s="13" t="s">
        <v>89</v>
      </c>
      <c r="AM46" s="13"/>
      <c r="AN46" s="11"/>
      <c r="AO46" s="11"/>
    </row>
    <row r="47" spans="1:41" ht="29.1">
      <c r="A47" s="2">
        <v>42</v>
      </c>
      <c r="B47" s="202"/>
      <c r="C47" s="14" t="s">
        <v>204</v>
      </c>
      <c r="D47" s="24" t="s">
        <v>205</v>
      </c>
      <c r="E47" s="19"/>
      <c r="F47" s="19"/>
      <c r="G47" s="17" t="s">
        <v>206</v>
      </c>
      <c r="H47" s="22"/>
      <c r="I47" s="22"/>
      <c r="J47" s="13"/>
      <c r="K47" s="13"/>
      <c r="L47" s="11"/>
      <c r="M47" s="11"/>
      <c r="N47" s="13"/>
      <c r="O47" s="13"/>
      <c r="P47" s="11"/>
      <c r="Q47" s="11"/>
      <c r="R47" s="13"/>
      <c r="S47" s="13"/>
      <c r="T47" s="11"/>
      <c r="U47" s="11"/>
      <c r="V47" s="13"/>
      <c r="W47" s="13"/>
      <c r="X47" s="11"/>
      <c r="Y47" s="11"/>
      <c r="Z47" s="13"/>
      <c r="AA47" s="13"/>
      <c r="AB47" s="11"/>
      <c r="AC47" s="11"/>
      <c r="AD47" s="13"/>
      <c r="AE47" s="13"/>
      <c r="AF47" s="11"/>
      <c r="AG47" s="11"/>
      <c r="AH47" s="13"/>
      <c r="AI47" s="13"/>
      <c r="AJ47" s="11"/>
      <c r="AK47" s="11"/>
      <c r="AL47" s="13"/>
      <c r="AM47" s="13"/>
      <c r="AN47" s="11"/>
      <c r="AO47" s="11"/>
    </row>
    <row r="48" spans="1:41" ht="26.1">
      <c r="A48" s="2">
        <v>43</v>
      </c>
      <c r="B48" s="202"/>
      <c r="C48" s="14" t="s">
        <v>207</v>
      </c>
      <c r="D48" s="19" t="s">
        <v>87</v>
      </c>
      <c r="E48" s="19">
        <v>200</v>
      </c>
      <c r="F48" s="17"/>
      <c r="G48" s="17" t="s">
        <v>208</v>
      </c>
      <c r="H48" s="22"/>
      <c r="I48" s="22"/>
      <c r="J48" s="13"/>
      <c r="K48" s="13"/>
      <c r="L48" s="11"/>
      <c r="M48" s="11"/>
      <c r="N48" s="13"/>
      <c r="O48" s="13"/>
      <c r="P48" s="11"/>
      <c r="Q48" s="11"/>
      <c r="R48" s="13"/>
      <c r="S48" s="13"/>
      <c r="T48" s="11"/>
      <c r="U48" s="11"/>
      <c r="V48" s="13"/>
      <c r="W48" s="13"/>
      <c r="X48" s="11"/>
      <c r="Y48" s="11"/>
      <c r="Z48" s="13"/>
      <c r="AA48" s="13"/>
      <c r="AB48" s="11"/>
      <c r="AC48" s="11"/>
      <c r="AD48" s="13"/>
      <c r="AE48" s="13"/>
      <c r="AF48" s="11"/>
      <c r="AG48" s="11"/>
      <c r="AH48" s="13"/>
      <c r="AI48" s="13"/>
      <c r="AJ48" s="11"/>
      <c r="AK48" s="11"/>
      <c r="AL48" s="13"/>
      <c r="AM48" s="13"/>
      <c r="AN48" s="11"/>
      <c r="AO48" s="11"/>
    </row>
    <row r="49" spans="1:41">
      <c r="A49" s="2">
        <v>44</v>
      </c>
      <c r="B49" s="202"/>
      <c r="C49" s="14" t="s">
        <v>209</v>
      </c>
      <c r="D49" s="19" t="s">
        <v>163</v>
      </c>
      <c r="E49" s="19"/>
      <c r="F49" s="17"/>
      <c r="G49" s="17" t="s">
        <v>210</v>
      </c>
      <c r="H49" s="22"/>
      <c r="I49" s="22"/>
      <c r="J49" s="13"/>
      <c r="K49" s="13"/>
      <c r="L49" s="11"/>
      <c r="M49" s="11"/>
      <c r="N49" s="13"/>
      <c r="O49" s="13"/>
      <c r="P49" s="11"/>
      <c r="Q49" s="11"/>
      <c r="R49" s="13"/>
      <c r="S49" s="13"/>
      <c r="T49" s="11"/>
      <c r="U49" s="11"/>
      <c r="V49" s="13"/>
      <c r="W49" s="13"/>
      <c r="X49" s="11"/>
      <c r="Y49" s="11"/>
      <c r="Z49" s="13"/>
      <c r="AA49" s="13"/>
      <c r="AB49" s="11"/>
      <c r="AC49" s="11"/>
      <c r="AD49" s="13"/>
      <c r="AE49" s="13"/>
      <c r="AF49" s="11"/>
      <c r="AG49" s="11"/>
      <c r="AH49" s="13"/>
      <c r="AI49" s="13"/>
      <c r="AJ49" s="11"/>
      <c r="AK49" s="11"/>
      <c r="AL49" s="13"/>
      <c r="AM49" s="13"/>
      <c r="AN49" s="11"/>
      <c r="AO49" s="11"/>
    </row>
    <row r="50" spans="1:41" ht="29.1">
      <c r="A50" s="2">
        <v>45</v>
      </c>
      <c r="B50" s="202"/>
      <c r="C50" s="7" t="s">
        <v>211</v>
      </c>
      <c r="D50" s="24" t="s">
        <v>212</v>
      </c>
      <c r="E50" s="19"/>
      <c r="F50" s="17" t="s">
        <v>213</v>
      </c>
      <c r="G50" s="17" t="s">
        <v>214</v>
      </c>
      <c r="H50" s="22"/>
      <c r="I50" s="22"/>
      <c r="J50" s="21" t="s">
        <v>92</v>
      </c>
      <c r="K50" s="13"/>
      <c r="L50" s="11"/>
      <c r="M50" s="11"/>
      <c r="N50" s="13"/>
      <c r="O50" s="13"/>
      <c r="P50" s="11"/>
      <c r="Q50" s="11"/>
      <c r="R50" s="13"/>
      <c r="S50" s="13"/>
      <c r="T50" s="11"/>
      <c r="U50" s="11"/>
      <c r="V50" s="13"/>
      <c r="W50" s="13"/>
      <c r="X50" s="11"/>
      <c r="Y50" s="11"/>
      <c r="Z50" s="13"/>
      <c r="AA50" s="13"/>
      <c r="AB50" s="11"/>
      <c r="AC50" s="11"/>
      <c r="AD50" s="13"/>
      <c r="AE50" s="13"/>
      <c r="AF50" s="11"/>
      <c r="AG50" s="11"/>
      <c r="AH50" s="13"/>
      <c r="AI50" s="13"/>
      <c r="AJ50" s="11"/>
      <c r="AK50" s="11"/>
      <c r="AL50" s="13"/>
      <c r="AM50" s="13"/>
      <c r="AN50" s="11"/>
      <c r="AO50" s="11"/>
    </row>
    <row r="51" spans="1:41">
      <c r="A51" s="2">
        <v>46</v>
      </c>
      <c r="B51" s="202"/>
      <c r="C51" s="7" t="s">
        <v>215</v>
      </c>
      <c r="D51" s="19" t="s">
        <v>87</v>
      </c>
      <c r="E51" s="19">
        <v>100</v>
      </c>
      <c r="F51" s="17" t="s">
        <v>216</v>
      </c>
      <c r="G51" s="17" t="s">
        <v>217</v>
      </c>
      <c r="H51" s="22"/>
      <c r="I51" s="22"/>
      <c r="J51" s="13" t="s">
        <v>89</v>
      </c>
      <c r="K51" s="13"/>
      <c r="L51" s="11"/>
      <c r="M51" s="11"/>
      <c r="N51" s="13"/>
      <c r="O51" s="13"/>
      <c r="P51" s="11"/>
      <c r="Q51" s="11"/>
      <c r="R51" s="13"/>
      <c r="S51" s="13"/>
      <c r="T51" s="11"/>
      <c r="U51" s="11"/>
      <c r="V51" s="13"/>
      <c r="W51" s="13"/>
      <c r="X51" s="11"/>
      <c r="Y51" s="11"/>
      <c r="Z51" s="13"/>
      <c r="AA51" s="13"/>
      <c r="AB51" s="11"/>
      <c r="AC51" s="11"/>
      <c r="AD51" s="13"/>
      <c r="AE51" s="13"/>
      <c r="AF51" s="11"/>
      <c r="AG51" s="11"/>
      <c r="AH51" s="13"/>
      <c r="AI51" s="13"/>
      <c r="AJ51" s="11"/>
      <c r="AK51" s="11"/>
      <c r="AL51" s="13"/>
      <c r="AM51" s="13"/>
      <c r="AN51" s="11"/>
      <c r="AO51" s="11"/>
    </row>
    <row r="52" spans="1:41" ht="29.1">
      <c r="A52" s="2">
        <v>47</v>
      </c>
      <c r="B52" s="202"/>
      <c r="C52" s="7" t="s">
        <v>218</v>
      </c>
      <c r="D52" s="24" t="s">
        <v>219</v>
      </c>
      <c r="E52" s="19"/>
      <c r="F52" s="17" t="s">
        <v>160</v>
      </c>
      <c r="G52" s="17" t="s">
        <v>220</v>
      </c>
      <c r="H52" s="22"/>
      <c r="I52" s="22"/>
      <c r="J52" s="21" t="s">
        <v>92</v>
      </c>
      <c r="K52" s="13"/>
      <c r="L52" s="11"/>
      <c r="M52" s="11"/>
      <c r="N52" s="13"/>
      <c r="O52" s="13"/>
      <c r="P52" s="11"/>
      <c r="Q52" s="11"/>
      <c r="R52" s="13"/>
      <c r="S52" s="13"/>
      <c r="T52" s="11"/>
      <c r="U52" s="11"/>
      <c r="V52" s="13"/>
      <c r="W52" s="13"/>
      <c r="X52" s="11"/>
      <c r="Y52" s="11"/>
      <c r="Z52" s="13"/>
      <c r="AA52" s="13"/>
      <c r="AB52" s="11"/>
      <c r="AC52" s="11"/>
      <c r="AD52" s="13"/>
      <c r="AE52" s="13"/>
      <c r="AF52" s="11"/>
      <c r="AG52" s="11"/>
      <c r="AH52" s="13"/>
      <c r="AI52" s="13"/>
      <c r="AJ52" s="11"/>
      <c r="AK52" s="11"/>
      <c r="AL52" s="13"/>
      <c r="AM52" s="13"/>
      <c r="AN52" s="11"/>
      <c r="AO52" s="11"/>
    </row>
    <row r="53" spans="1:41">
      <c r="A53" s="2">
        <v>48</v>
      </c>
      <c r="B53" s="202"/>
      <c r="C53" s="7" t="s">
        <v>221</v>
      </c>
      <c r="D53" s="19" t="s">
        <v>87</v>
      </c>
      <c r="E53" s="17">
        <v>65535</v>
      </c>
      <c r="F53" s="17"/>
      <c r="G53" s="17" t="s">
        <v>222</v>
      </c>
      <c r="H53" s="22"/>
      <c r="I53" s="22"/>
      <c r="J53" s="13" t="s">
        <v>89</v>
      </c>
      <c r="K53" s="13"/>
      <c r="L53" s="11"/>
      <c r="M53" s="11"/>
      <c r="N53" s="13"/>
      <c r="O53" s="13"/>
      <c r="P53" s="11"/>
      <c r="Q53" s="11"/>
      <c r="R53" s="13"/>
      <c r="S53" s="13"/>
      <c r="T53" s="11"/>
      <c r="U53" s="11"/>
      <c r="V53" s="13"/>
      <c r="W53" s="13"/>
      <c r="X53" s="11"/>
      <c r="Y53" s="11"/>
      <c r="Z53" s="13"/>
      <c r="AA53" s="13"/>
      <c r="AB53" s="11"/>
      <c r="AC53" s="11"/>
      <c r="AD53" s="13"/>
      <c r="AE53" s="13"/>
      <c r="AF53" s="11"/>
      <c r="AG53" s="11"/>
      <c r="AH53" s="13"/>
      <c r="AI53" s="13"/>
      <c r="AJ53" s="11"/>
      <c r="AK53" s="11"/>
      <c r="AL53" s="13" t="s">
        <v>89</v>
      </c>
      <c r="AM53" s="13"/>
      <c r="AN53" s="11"/>
      <c r="AO53" s="11"/>
    </row>
    <row r="54" spans="1:41">
      <c r="A54" s="2">
        <v>49</v>
      </c>
      <c r="B54" s="202"/>
      <c r="C54" s="7" t="s">
        <v>223</v>
      </c>
      <c r="D54" s="19" t="s">
        <v>163</v>
      </c>
      <c r="E54" s="19"/>
      <c r="F54" s="17"/>
      <c r="G54" s="17" t="s">
        <v>224</v>
      </c>
      <c r="H54" s="22"/>
      <c r="I54" s="22"/>
      <c r="J54" s="21" t="s">
        <v>92</v>
      </c>
      <c r="K54" s="13"/>
      <c r="L54" s="11"/>
      <c r="M54" s="11"/>
      <c r="N54" s="13"/>
      <c r="O54" s="13"/>
      <c r="P54" s="11"/>
      <c r="Q54" s="11"/>
      <c r="R54" s="13"/>
      <c r="S54" s="13"/>
      <c r="T54" s="11"/>
      <c r="U54" s="11"/>
      <c r="V54" s="13"/>
      <c r="W54" s="13"/>
      <c r="X54" s="11"/>
      <c r="Y54" s="11"/>
      <c r="Z54" s="13"/>
      <c r="AA54" s="13"/>
      <c r="AB54" s="11"/>
      <c r="AC54" s="11"/>
      <c r="AD54" s="13"/>
      <c r="AE54" s="13"/>
      <c r="AF54" s="11"/>
      <c r="AG54" s="11"/>
      <c r="AH54" s="13"/>
      <c r="AI54" s="13"/>
      <c r="AJ54" s="11"/>
      <c r="AK54" s="11"/>
      <c r="AL54" s="13"/>
      <c r="AM54" s="13"/>
      <c r="AN54" s="11"/>
      <c r="AO54" s="11"/>
    </row>
    <row r="55" spans="1:41">
      <c r="A55" s="2">
        <v>50</v>
      </c>
      <c r="B55" s="202" t="s">
        <v>225</v>
      </c>
      <c r="C55" s="8" t="s">
        <v>171</v>
      </c>
      <c r="D55" s="20" t="s">
        <v>87</v>
      </c>
      <c r="E55" s="20">
        <v>100</v>
      </c>
      <c r="F55" s="90" t="s">
        <v>172</v>
      </c>
      <c r="G55" s="90" t="s">
        <v>173</v>
      </c>
      <c r="H55" s="22"/>
      <c r="I55" s="22"/>
      <c r="J55" s="13" t="s">
        <v>89</v>
      </c>
      <c r="K55" s="13"/>
      <c r="L55" s="11"/>
      <c r="M55" s="11"/>
      <c r="N55" s="13"/>
      <c r="O55" s="13"/>
      <c r="P55" s="11"/>
      <c r="Q55" s="11"/>
      <c r="R55" s="13"/>
      <c r="S55" s="13"/>
      <c r="T55" s="11"/>
      <c r="U55" s="11"/>
      <c r="V55" s="13"/>
      <c r="W55" s="13"/>
      <c r="X55" s="11"/>
      <c r="Y55" s="11"/>
      <c r="Z55" s="13"/>
      <c r="AA55" s="13"/>
      <c r="AB55" s="11"/>
      <c r="AC55" s="11"/>
      <c r="AD55" s="13"/>
      <c r="AE55" s="13"/>
      <c r="AF55" s="11"/>
      <c r="AG55" s="11"/>
      <c r="AH55" s="13"/>
      <c r="AI55" s="13"/>
      <c r="AJ55" s="11"/>
      <c r="AK55" s="11"/>
      <c r="AL55" s="13"/>
      <c r="AM55" s="13"/>
      <c r="AN55" s="11"/>
      <c r="AO55" s="11"/>
    </row>
    <row r="56" spans="1:41">
      <c r="A56" s="2">
        <v>51</v>
      </c>
      <c r="B56" s="202"/>
      <c r="C56" s="8" t="s">
        <v>174</v>
      </c>
      <c r="D56" s="20" t="s">
        <v>87</v>
      </c>
      <c r="E56" s="20">
        <v>50</v>
      </c>
      <c r="F56" s="90" t="s">
        <v>172</v>
      </c>
      <c r="G56" s="90" t="s">
        <v>175</v>
      </c>
      <c r="H56" s="22"/>
      <c r="I56" s="22"/>
      <c r="J56" s="13" t="s">
        <v>89</v>
      </c>
      <c r="K56" s="13"/>
      <c r="L56" s="11"/>
      <c r="M56" s="11"/>
      <c r="N56" s="13"/>
      <c r="O56" s="13"/>
      <c r="P56" s="11"/>
      <c r="Q56" s="11"/>
      <c r="R56" s="13"/>
      <c r="S56" s="13"/>
      <c r="T56" s="11"/>
      <c r="U56" s="11"/>
      <c r="V56" s="13"/>
      <c r="W56" s="13"/>
      <c r="X56" s="11"/>
      <c r="Y56" s="11"/>
      <c r="Z56" s="13"/>
      <c r="AA56" s="13"/>
      <c r="AB56" s="11"/>
      <c r="AC56" s="11"/>
      <c r="AD56" s="13"/>
      <c r="AE56" s="13"/>
      <c r="AF56" s="11"/>
      <c r="AG56" s="11"/>
      <c r="AH56" s="13"/>
      <c r="AI56" s="13"/>
      <c r="AJ56" s="11"/>
      <c r="AK56" s="11"/>
      <c r="AL56" s="13"/>
      <c r="AM56" s="13"/>
      <c r="AN56" s="11"/>
      <c r="AO56" s="11"/>
    </row>
    <row r="57" spans="1:41">
      <c r="A57" s="2">
        <v>52</v>
      </c>
      <c r="B57" s="202"/>
      <c r="C57" s="8" t="s">
        <v>226</v>
      </c>
      <c r="D57" s="20" t="s">
        <v>87</v>
      </c>
      <c r="E57" s="20">
        <v>100</v>
      </c>
      <c r="F57" s="90" t="s">
        <v>172</v>
      </c>
      <c r="G57" s="90" t="s">
        <v>177</v>
      </c>
      <c r="H57" s="22"/>
      <c r="I57" s="22"/>
      <c r="J57" s="13" t="s">
        <v>89</v>
      </c>
      <c r="K57" s="13"/>
      <c r="L57" s="11"/>
      <c r="M57" s="11"/>
      <c r="N57" s="13"/>
      <c r="O57" s="13"/>
      <c r="P57" s="11"/>
      <c r="Q57" s="11"/>
      <c r="R57" s="13"/>
      <c r="S57" s="13"/>
      <c r="T57" s="11"/>
      <c r="U57" s="11"/>
      <c r="V57" s="13"/>
      <c r="W57" s="13"/>
      <c r="X57" s="11"/>
      <c r="Y57" s="11"/>
      <c r="Z57" s="13"/>
      <c r="AA57" s="13"/>
      <c r="AB57" s="11"/>
      <c r="AC57" s="11"/>
      <c r="AD57" s="13"/>
      <c r="AE57" s="13"/>
      <c r="AF57" s="11"/>
      <c r="AG57" s="11"/>
      <c r="AH57" s="13"/>
      <c r="AI57" s="13"/>
      <c r="AJ57" s="11"/>
      <c r="AK57" s="11"/>
      <c r="AL57" s="13"/>
      <c r="AM57" s="13"/>
      <c r="AN57" s="11"/>
      <c r="AO57" s="11"/>
    </row>
    <row r="58" spans="1:41">
      <c r="A58" s="2">
        <v>53</v>
      </c>
      <c r="B58" s="202"/>
      <c r="C58" s="8" t="s">
        <v>227</v>
      </c>
      <c r="D58" s="20" t="s">
        <v>113</v>
      </c>
      <c r="E58" s="20"/>
      <c r="F58" s="90" t="s">
        <v>114</v>
      </c>
      <c r="G58" s="90" t="s">
        <v>228</v>
      </c>
      <c r="H58" s="22"/>
      <c r="I58" s="22"/>
      <c r="J58" s="13" t="s">
        <v>89</v>
      </c>
      <c r="K58" s="13"/>
      <c r="L58" s="11"/>
      <c r="M58" s="11"/>
      <c r="N58" s="13"/>
      <c r="O58" s="13"/>
      <c r="P58" s="11"/>
      <c r="Q58" s="11"/>
      <c r="R58" s="13"/>
      <c r="S58" s="13"/>
      <c r="T58" s="11"/>
      <c r="U58" s="11"/>
      <c r="V58" s="13"/>
      <c r="W58" s="13"/>
      <c r="X58" s="11"/>
      <c r="Y58" s="11"/>
      <c r="Z58" s="13"/>
      <c r="AA58" s="13"/>
      <c r="AB58" s="11"/>
      <c r="AC58" s="11"/>
      <c r="AD58" s="13"/>
      <c r="AE58" s="13"/>
      <c r="AF58" s="11"/>
      <c r="AG58" s="11"/>
      <c r="AH58" s="13"/>
      <c r="AI58" s="13"/>
      <c r="AJ58" s="11"/>
      <c r="AK58" s="11"/>
      <c r="AL58" s="13"/>
      <c r="AM58" s="13"/>
      <c r="AN58" s="11"/>
      <c r="AO58" s="11"/>
    </row>
    <row r="59" spans="1:41">
      <c r="A59" s="2">
        <v>54</v>
      </c>
      <c r="B59" s="202" t="s">
        <v>229</v>
      </c>
      <c r="C59" s="7" t="s">
        <v>131</v>
      </c>
      <c r="D59" s="19" t="s">
        <v>87</v>
      </c>
      <c r="E59" s="19">
        <v>100</v>
      </c>
      <c r="F59" s="17"/>
      <c r="G59" s="17" t="s">
        <v>132</v>
      </c>
      <c r="H59" s="22"/>
      <c r="I59" s="22"/>
      <c r="J59" s="13" t="s">
        <v>89</v>
      </c>
      <c r="K59" s="13"/>
      <c r="L59" s="11"/>
      <c r="M59" s="11"/>
      <c r="N59" s="13"/>
      <c r="O59" s="13"/>
      <c r="P59" s="11"/>
      <c r="Q59" s="11"/>
      <c r="R59" s="13"/>
      <c r="S59" s="13"/>
      <c r="T59" s="11"/>
      <c r="U59" s="11"/>
      <c r="V59" s="13"/>
      <c r="W59" s="13"/>
      <c r="X59" s="11"/>
      <c r="Y59" s="11"/>
      <c r="Z59" s="13"/>
      <c r="AA59" s="13"/>
      <c r="AB59" s="11"/>
      <c r="AC59" s="11"/>
      <c r="AD59" s="13"/>
      <c r="AE59" s="13"/>
      <c r="AF59" s="11"/>
      <c r="AG59" s="11"/>
      <c r="AH59" s="13"/>
      <c r="AI59" s="13"/>
      <c r="AJ59" s="11"/>
      <c r="AK59" s="11"/>
      <c r="AL59" s="13"/>
      <c r="AM59" s="13"/>
      <c r="AN59" s="11"/>
      <c r="AO59" s="11"/>
    </row>
    <row r="60" spans="1:41">
      <c r="A60" s="2">
        <v>55</v>
      </c>
      <c r="B60" s="202"/>
      <c r="C60" s="7" t="s">
        <v>133</v>
      </c>
      <c r="D60" s="19" t="s">
        <v>87</v>
      </c>
      <c r="E60" s="19">
        <v>100</v>
      </c>
      <c r="F60" s="17"/>
      <c r="G60" s="17" t="s">
        <v>134</v>
      </c>
      <c r="H60" s="22"/>
      <c r="I60" s="22"/>
      <c r="J60" s="13" t="s">
        <v>89</v>
      </c>
      <c r="K60" s="13"/>
      <c r="L60" s="11"/>
      <c r="M60" s="11"/>
      <c r="N60" s="13"/>
      <c r="O60" s="13"/>
      <c r="P60" s="11"/>
      <c r="Q60" s="11"/>
      <c r="R60" s="13"/>
      <c r="S60" s="13"/>
      <c r="T60" s="11"/>
      <c r="U60" s="11"/>
      <c r="V60" s="13"/>
      <c r="W60" s="13"/>
      <c r="X60" s="11"/>
      <c r="Y60" s="11"/>
      <c r="Z60" s="13"/>
      <c r="AA60" s="13"/>
      <c r="AB60" s="11"/>
      <c r="AC60" s="11"/>
      <c r="AD60" s="13"/>
      <c r="AE60" s="13"/>
      <c r="AF60" s="11"/>
      <c r="AG60" s="11"/>
      <c r="AH60" s="13"/>
      <c r="AI60" s="13"/>
      <c r="AJ60" s="11"/>
      <c r="AK60" s="11"/>
      <c r="AL60" s="13"/>
      <c r="AM60" s="13"/>
      <c r="AN60" s="11"/>
      <c r="AO60" s="11"/>
    </row>
    <row r="61" spans="1:41">
      <c r="A61" s="2">
        <v>56</v>
      </c>
      <c r="B61" s="202"/>
      <c r="C61" s="7" t="s">
        <v>135</v>
      </c>
      <c r="D61" s="19" t="s">
        <v>87</v>
      </c>
      <c r="E61" s="19">
        <v>100</v>
      </c>
      <c r="F61" s="17"/>
      <c r="G61" s="17" t="s">
        <v>136</v>
      </c>
      <c r="H61" s="22"/>
      <c r="I61" s="22"/>
      <c r="J61" s="21" t="s">
        <v>92</v>
      </c>
      <c r="K61" s="13"/>
      <c r="L61" s="11"/>
      <c r="M61" s="11"/>
      <c r="N61" s="13"/>
      <c r="O61" s="13"/>
      <c r="P61" s="11"/>
      <c r="Q61" s="11"/>
      <c r="R61" s="13"/>
      <c r="S61" s="13"/>
      <c r="T61" s="11"/>
      <c r="U61" s="11"/>
      <c r="V61" s="13"/>
      <c r="W61" s="13"/>
      <c r="X61" s="11"/>
      <c r="Y61" s="11"/>
      <c r="Z61" s="13"/>
      <c r="AA61" s="13"/>
      <c r="AB61" s="11"/>
      <c r="AC61" s="11"/>
      <c r="AD61" s="13"/>
      <c r="AE61" s="13"/>
      <c r="AF61" s="11"/>
      <c r="AG61" s="11"/>
      <c r="AH61" s="13"/>
      <c r="AI61" s="13"/>
      <c r="AJ61" s="11"/>
      <c r="AK61" s="11"/>
      <c r="AL61" s="13"/>
      <c r="AM61" s="13"/>
      <c r="AN61" s="11"/>
      <c r="AO61" s="11"/>
    </row>
    <row r="62" spans="1:41">
      <c r="A62" s="2">
        <v>57</v>
      </c>
      <c r="B62" s="202"/>
      <c r="C62" s="7" t="s">
        <v>137</v>
      </c>
      <c r="D62" s="19" t="s">
        <v>87</v>
      </c>
      <c r="E62" s="19">
        <v>100</v>
      </c>
      <c r="F62" s="17"/>
      <c r="G62" s="17" t="s">
        <v>138</v>
      </c>
      <c r="H62" s="22"/>
      <c r="I62" s="22"/>
      <c r="J62" s="21" t="s">
        <v>139</v>
      </c>
      <c r="K62" s="13"/>
      <c r="L62" s="11"/>
      <c r="M62" s="11"/>
      <c r="N62" s="13"/>
      <c r="O62" s="13"/>
      <c r="P62" s="11"/>
      <c r="Q62" s="11"/>
      <c r="R62" s="13"/>
      <c r="S62" s="13"/>
      <c r="T62" s="11"/>
      <c r="U62" s="11"/>
      <c r="V62" s="13"/>
      <c r="W62" s="13"/>
      <c r="X62" s="11"/>
      <c r="Y62" s="11"/>
      <c r="Z62" s="13"/>
      <c r="AA62" s="13"/>
      <c r="AB62" s="11"/>
      <c r="AC62" s="11"/>
      <c r="AD62" s="13"/>
      <c r="AE62" s="13"/>
      <c r="AF62" s="11"/>
      <c r="AG62" s="11"/>
      <c r="AH62" s="13"/>
      <c r="AI62" s="13"/>
      <c r="AJ62" s="11"/>
      <c r="AK62" s="11"/>
      <c r="AL62" s="13"/>
      <c r="AM62" s="13"/>
      <c r="AN62" s="11"/>
      <c r="AO62" s="11"/>
    </row>
    <row r="63" spans="1:41">
      <c r="A63" s="2">
        <v>58</v>
      </c>
      <c r="B63" s="202"/>
      <c r="C63" s="7" t="s">
        <v>140</v>
      </c>
      <c r="D63" s="19" t="s">
        <v>87</v>
      </c>
      <c r="E63" s="19">
        <v>100</v>
      </c>
      <c r="F63" s="17"/>
      <c r="G63" s="17" t="s">
        <v>141</v>
      </c>
      <c r="H63" s="22"/>
      <c r="I63" s="22"/>
      <c r="J63" s="21" t="s">
        <v>92</v>
      </c>
      <c r="K63" s="13"/>
      <c r="L63" s="11"/>
      <c r="M63" s="11"/>
      <c r="N63" s="13"/>
      <c r="O63" s="13"/>
      <c r="P63" s="11"/>
      <c r="Q63" s="11"/>
      <c r="R63" s="13"/>
      <c r="S63" s="13"/>
      <c r="T63" s="11"/>
      <c r="U63" s="11"/>
      <c r="V63" s="13"/>
      <c r="W63" s="13"/>
      <c r="X63" s="11"/>
      <c r="Y63" s="11"/>
      <c r="Z63" s="13"/>
      <c r="AA63" s="13"/>
      <c r="AB63" s="11"/>
      <c r="AC63" s="11"/>
      <c r="AD63" s="13"/>
      <c r="AE63" s="13"/>
      <c r="AF63" s="11"/>
      <c r="AG63" s="11"/>
      <c r="AH63" s="13"/>
      <c r="AI63" s="13"/>
      <c r="AJ63" s="11"/>
      <c r="AK63" s="11"/>
      <c r="AL63" s="13"/>
      <c r="AM63" s="13"/>
      <c r="AN63" s="11"/>
      <c r="AO63" s="11"/>
    </row>
    <row r="64" spans="1:41">
      <c r="A64" s="2">
        <v>59</v>
      </c>
      <c r="B64" s="202"/>
      <c r="C64" s="7" t="s">
        <v>142</v>
      </c>
      <c r="D64" s="19" t="s">
        <v>87</v>
      </c>
      <c r="E64" s="19">
        <v>50</v>
      </c>
      <c r="F64" s="17"/>
      <c r="G64" s="17" t="s">
        <v>143</v>
      </c>
      <c r="H64" s="22"/>
      <c r="I64" s="22"/>
      <c r="J64" s="21" t="s">
        <v>92</v>
      </c>
      <c r="K64" s="13"/>
      <c r="L64" s="11"/>
      <c r="M64" s="11"/>
      <c r="N64" s="13"/>
      <c r="O64" s="13"/>
      <c r="P64" s="11"/>
      <c r="Q64" s="11"/>
      <c r="R64" s="13"/>
      <c r="S64" s="13"/>
      <c r="T64" s="11"/>
      <c r="U64" s="11"/>
      <c r="V64" s="13"/>
      <c r="W64" s="13"/>
      <c r="X64" s="11"/>
      <c r="Y64" s="11"/>
      <c r="Z64" s="13"/>
      <c r="AA64" s="13"/>
      <c r="AB64" s="11"/>
      <c r="AC64" s="11"/>
      <c r="AD64" s="13"/>
      <c r="AE64" s="13"/>
      <c r="AF64" s="11"/>
      <c r="AG64" s="11"/>
      <c r="AH64" s="13"/>
      <c r="AI64" s="13"/>
      <c r="AJ64" s="11"/>
      <c r="AK64" s="11"/>
      <c r="AL64" s="13"/>
      <c r="AM64" s="13"/>
      <c r="AN64" s="11"/>
      <c r="AO64" s="11"/>
    </row>
    <row r="65" spans="1:41" ht="43.5">
      <c r="A65" s="2">
        <v>60</v>
      </c>
      <c r="B65" s="202"/>
      <c r="C65" s="7" t="s">
        <v>230</v>
      </c>
      <c r="D65" s="24" t="s">
        <v>190</v>
      </c>
      <c r="E65" s="19"/>
      <c r="F65" s="17" t="s">
        <v>191</v>
      </c>
      <c r="G65" s="17" t="s">
        <v>231</v>
      </c>
      <c r="H65" s="22"/>
      <c r="I65" s="22"/>
      <c r="J65" s="21" t="s">
        <v>92</v>
      </c>
      <c r="K65" s="13"/>
      <c r="L65" s="11"/>
      <c r="M65" s="11"/>
      <c r="N65" s="13"/>
      <c r="O65" s="13"/>
      <c r="P65" s="11"/>
      <c r="Q65" s="11"/>
      <c r="R65" s="13"/>
      <c r="S65" s="13"/>
      <c r="T65" s="11"/>
      <c r="U65" s="11"/>
      <c r="V65" s="13"/>
      <c r="W65" s="13"/>
      <c r="X65" s="11"/>
      <c r="Y65" s="11"/>
      <c r="Z65" s="13"/>
      <c r="AA65" s="13"/>
      <c r="AB65" s="11"/>
      <c r="AC65" s="11"/>
      <c r="AD65" s="13"/>
      <c r="AE65" s="13"/>
      <c r="AF65" s="11"/>
      <c r="AG65" s="11"/>
      <c r="AH65" s="13"/>
      <c r="AI65" s="13"/>
      <c r="AJ65" s="11"/>
      <c r="AK65" s="11"/>
      <c r="AL65" s="13"/>
      <c r="AM65" s="13"/>
      <c r="AN65" s="11"/>
      <c r="AO65" s="11"/>
    </row>
    <row r="66" spans="1:41">
      <c r="A66" s="2">
        <v>61</v>
      </c>
      <c r="B66" s="202"/>
      <c r="C66" s="7" t="s">
        <v>232</v>
      </c>
      <c r="D66" s="19" t="s">
        <v>163</v>
      </c>
      <c r="E66" s="19"/>
      <c r="F66" s="17"/>
      <c r="G66" s="17" t="s">
        <v>233</v>
      </c>
      <c r="H66" s="22"/>
      <c r="I66" s="22"/>
      <c r="J66" s="21" t="s">
        <v>92</v>
      </c>
      <c r="K66" s="13"/>
      <c r="L66" s="11"/>
      <c r="M66" s="11"/>
      <c r="N66" s="13"/>
      <c r="O66" s="13"/>
      <c r="P66" s="11"/>
      <c r="Q66" s="11"/>
      <c r="R66" s="13"/>
      <c r="S66" s="13"/>
      <c r="T66" s="11"/>
      <c r="U66" s="11"/>
      <c r="V66" s="13"/>
      <c r="W66" s="13"/>
      <c r="X66" s="11"/>
      <c r="Y66" s="11"/>
      <c r="Z66" s="13"/>
      <c r="AA66" s="13"/>
      <c r="AB66" s="11"/>
      <c r="AC66" s="11"/>
      <c r="AD66" s="13"/>
      <c r="AE66" s="13"/>
      <c r="AF66" s="11"/>
      <c r="AG66" s="11"/>
      <c r="AH66" s="13"/>
      <c r="AI66" s="13"/>
      <c r="AJ66" s="11"/>
      <c r="AK66" s="11"/>
      <c r="AL66" s="13"/>
      <c r="AM66" s="13"/>
      <c r="AN66" s="11"/>
      <c r="AO66" s="11"/>
    </row>
    <row r="67" spans="1:41" ht="29.1">
      <c r="A67" s="2">
        <v>62</v>
      </c>
      <c r="B67" s="202"/>
      <c r="C67" s="7" t="s">
        <v>234</v>
      </c>
      <c r="D67" s="24" t="s">
        <v>235</v>
      </c>
      <c r="E67" s="19"/>
      <c r="F67" s="17" t="s">
        <v>160</v>
      </c>
      <c r="G67" s="17" t="s">
        <v>236</v>
      </c>
      <c r="H67" s="22"/>
      <c r="I67" s="22"/>
      <c r="J67" s="21" t="s">
        <v>92</v>
      </c>
      <c r="K67" s="13"/>
      <c r="L67" s="11"/>
      <c r="M67" s="11"/>
      <c r="N67" s="13"/>
      <c r="O67" s="13"/>
      <c r="P67" s="11"/>
      <c r="Q67" s="11"/>
      <c r="R67" s="13"/>
      <c r="S67" s="13"/>
      <c r="T67" s="11"/>
      <c r="U67" s="11"/>
      <c r="V67" s="13"/>
      <c r="W67" s="13"/>
      <c r="X67" s="11"/>
      <c r="Y67" s="11"/>
      <c r="Z67" s="13"/>
      <c r="AA67" s="13"/>
      <c r="AB67" s="11"/>
      <c r="AC67" s="11"/>
      <c r="AD67" s="13"/>
      <c r="AE67" s="13"/>
      <c r="AF67" s="11"/>
      <c r="AG67" s="11"/>
      <c r="AH67" s="13"/>
      <c r="AI67" s="13"/>
      <c r="AJ67" s="11"/>
      <c r="AK67" s="11"/>
      <c r="AL67" s="13"/>
      <c r="AM67" s="13"/>
      <c r="AN67" s="11"/>
      <c r="AO67" s="11"/>
    </row>
    <row r="68" spans="1:41" ht="14.45">
      <c r="A68" s="2">
        <v>63</v>
      </c>
      <c r="B68" s="202"/>
      <c r="C68" s="7" t="s">
        <v>237</v>
      </c>
      <c r="D68" s="24" t="s">
        <v>238</v>
      </c>
      <c r="E68" s="19"/>
      <c r="F68" s="17" t="s">
        <v>239</v>
      </c>
      <c r="G68" s="17" t="s">
        <v>240</v>
      </c>
      <c r="H68" s="22"/>
      <c r="I68" s="22"/>
      <c r="J68" s="21" t="s">
        <v>92</v>
      </c>
      <c r="K68" s="13"/>
      <c r="L68" s="11"/>
      <c r="M68" s="11"/>
      <c r="N68" s="13"/>
      <c r="O68" s="13"/>
      <c r="P68" s="11"/>
      <c r="Q68" s="11"/>
      <c r="R68" s="13"/>
      <c r="S68" s="13"/>
      <c r="T68" s="11"/>
      <c r="U68" s="11"/>
      <c r="V68" s="13"/>
      <c r="W68" s="13"/>
      <c r="X68" s="11"/>
      <c r="Y68" s="11"/>
      <c r="Z68" s="13"/>
      <c r="AA68" s="13"/>
      <c r="AB68" s="11"/>
      <c r="AC68" s="11"/>
      <c r="AD68" s="13"/>
      <c r="AE68" s="13"/>
      <c r="AF68" s="11"/>
      <c r="AG68" s="11"/>
      <c r="AH68" s="13"/>
      <c r="AI68" s="13"/>
      <c r="AJ68" s="11"/>
      <c r="AK68" s="11"/>
      <c r="AL68" s="13"/>
      <c r="AM68" s="13"/>
      <c r="AN68" s="11"/>
      <c r="AO68" s="11"/>
    </row>
    <row r="69" spans="1:41">
      <c r="A69" s="2">
        <v>64</v>
      </c>
      <c r="B69" s="202"/>
      <c r="C69" s="7" t="s">
        <v>241</v>
      </c>
      <c r="D69" s="19" t="s">
        <v>102</v>
      </c>
      <c r="E69" s="19">
        <v>4</v>
      </c>
      <c r="F69" s="17" t="s">
        <v>242</v>
      </c>
      <c r="G69" s="17" t="s">
        <v>243</v>
      </c>
      <c r="H69" s="22"/>
      <c r="I69" s="22"/>
      <c r="J69" s="21" t="s">
        <v>92</v>
      </c>
      <c r="K69" s="13"/>
      <c r="L69" s="11"/>
      <c r="M69" s="11"/>
      <c r="N69" s="13"/>
      <c r="O69" s="13"/>
      <c r="P69" s="11"/>
      <c r="Q69" s="11"/>
      <c r="R69" s="13"/>
      <c r="S69" s="13"/>
      <c r="T69" s="11"/>
      <c r="U69" s="11"/>
      <c r="V69" s="13"/>
      <c r="W69" s="13"/>
      <c r="X69" s="11"/>
      <c r="Y69" s="11"/>
      <c r="Z69" s="13"/>
      <c r="AA69" s="13"/>
      <c r="AB69" s="11"/>
      <c r="AC69" s="11"/>
      <c r="AD69" s="13"/>
      <c r="AE69" s="13"/>
      <c r="AF69" s="11"/>
      <c r="AG69" s="11"/>
      <c r="AH69" s="13"/>
      <c r="AI69" s="13"/>
      <c r="AJ69" s="11"/>
      <c r="AK69" s="11"/>
      <c r="AL69" s="13"/>
      <c r="AM69" s="13"/>
      <c r="AN69" s="11"/>
      <c r="AO69" s="11"/>
    </row>
    <row r="70" spans="1:41" ht="29.1">
      <c r="A70" s="2">
        <v>65</v>
      </c>
      <c r="B70" s="202" t="s">
        <v>244</v>
      </c>
      <c r="C70" s="8" t="s">
        <v>245</v>
      </c>
      <c r="D70" s="25" t="s">
        <v>246</v>
      </c>
      <c r="E70" s="20"/>
      <c r="F70" s="90" t="s">
        <v>110</v>
      </c>
      <c r="G70" s="90" t="s">
        <v>247</v>
      </c>
      <c r="H70" s="22"/>
      <c r="I70" s="22"/>
      <c r="J70" s="21" t="s">
        <v>92</v>
      </c>
      <c r="K70" s="13"/>
      <c r="L70" s="11"/>
      <c r="M70" s="11"/>
      <c r="N70" s="13"/>
      <c r="O70" s="13"/>
      <c r="P70" s="11"/>
      <c r="Q70" s="11"/>
      <c r="R70" s="13"/>
      <c r="S70" s="13"/>
      <c r="T70" s="11"/>
      <c r="U70" s="11"/>
      <c r="V70" s="13"/>
      <c r="W70" s="13"/>
      <c r="X70" s="11"/>
      <c r="Y70" s="11"/>
      <c r="Z70" s="13"/>
      <c r="AA70" s="13"/>
      <c r="AB70" s="11"/>
      <c r="AC70" s="11"/>
      <c r="AD70" s="13"/>
      <c r="AE70" s="13"/>
      <c r="AF70" s="11"/>
      <c r="AG70" s="11"/>
      <c r="AH70" s="13"/>
      <c r="AI70" s="13"/>
      <c r="AJ70" s="11"/>
      <c r="AK70" s="11"/>
      <c r="AL70" s="13"/>
      <c r="AM70" s="13"/>
      <c r="AN70" s="11"/>
      <c r="AO70" s="11"/>
    </row>
    <row r="71" spans="1:41">
      <c r="A71" s="2">
        <v>66</v>
      </c>
      <c r="B71" s="202"/>
      <c r="C71" s="8" t="s">
        <v>248</v>
      </c>
      <c r="D71" s="20" t="s">
        <v>105</v>
      </c>
      <c r="E71" s="20"/>
      <c r="F71" s="90" t="s">
        <v>179</v>
      </c>
      <c r="G71" s="90" t="s">
        <v>249</v>
      </c>
      <c r="H71" s="22"/>
      <c r="I71" s="22"/>
      <c r="J71" s="13" t="s">
        <v>89</v>
      </c>
      <c r="K71" s="13"/>
      <c r="L71" s="11"/>
      <c r="M71" s="11"/>
      <c r="N71" s="13"/>
      <c r="O71" s="13"/>
      <c r="P71" s="11"/>
      <c r="Q71" s="11"/>
      <c r="R71" s="13"/>
      <c r="S71" s="13"/>
      <c r="T71" s="11"/>
      <c r="U71" s="11"/>
      <c r="V71" s="13"/>
      <c r="W71" s="13"/>
      <c r="X71" s="11"/>
      <c r="Y71" s="11"/>
      <c r="Z71" s="13"/>
      <c r="AA71" s="13"/>
      <c r="AB71" s="11"/>
      <c r="AC71" s="11"/>
      <c r="AD71" s="13"/>
      <c r="AE71" s="13"/>
      <c r="AF71" s="11"/>
      <c r="AG71" s="11"/>
      <c r="AH71" s="13"/>
      <c r="AI71" s="13"/>
      <c r="AJ71" s="11"/>
      <c r="AK71" s="11"/>
      <c r="AL71" s="13"/>
      <c r="AM71" s="13"/>
      <c r="AN71" s="11"/>
      <c r="AO71" s="11"/>
    </row>
    <row r="72" spans="1:41">
      <c r="A72" s="2">
        <v>67</v>
      </c>
      <c r="B72" s="202"/>
      <c r="C72" s="8" t="s">
        <v>250</v>
      </c>
      <c r="D72" s="20" t="s">
        <v>87</v>
      </c>
      <c r="E72" s="20">
        <v>500</v>
      </c>
      <c r="F72" s="90"/>
      <c r="G72" s="90" t="s">
        <v>251</v>
      </c>
      <c r="H72" s="22"/>
      <c r="I72" s="22"/>
      <c r="J72" s="13" t="s">
        <v>89</v>
      </c>
      <c r="K72" s="13"/>
      <c r="L72" s="11"/>
      <c r="M72" s="11"/>
      <c r="N72" s="13"/>
      <c r="O72" s="13"/>
      <c r="P72" s="11"/>
      <c r="Q72" s="11"/>
      <c r="R72" s="13"/>
      <c r="S72" s="13"/>
      <c r="T72" s="11"/>
      <c r="U72" s="11"/>
      <c r="V72" s="13"/>
      <c r="W72" s="13"/>
      <c r="X72" s="11"/>
      <c r="Y72" s="11"/>
      <c r="Z72" s="13"/>
      <c r="AA72" s="13"/>
      <c r="AB72" s="11"/>
      <c r="AC72" s="11"/>
      <c r="AD72" s="13"/>
      <c r="AE72" s="13"/>
      <c r="AF72" s="11"/>
      <c r="AG72" s="11"/>
      <c r="AH72" s="13"/>
      <c r="AI72" s="13"/>
      <c r="AJ72" s="11"/>
      <c r="AK72" s="11"/>
      <c r="AL72" s="13"/>
      <c r="AM72" s="13"/>
      <c r="AN72" s="11"/>
      <c r="AO72" s="11"/>
    </row>
    <row r="73" spans="1:41" ht="43.5">
      <c r="A73" s="2">
        <v>68</v>
      </c>
      <c r="B73" s="202"/>
      <c r="C73" s="8" t="s">
        <v>252</v>
      </c>
      <c r="D73" s="116" t="s">
        <v>190</v>
      </c>
      <c r="E73" s="20"/>
      <c r="F73" s="90" t="s">
        <v>191</v>
      </c>
      <c r="G73" s="90" t="s">
        <v>253</v>
      </c>
      <c r="H73" s="22"/>
      <c r="I73" s="22"/>
      <c r="J73" s="21" t="s">
        <v>92</v>
      </c>
      <c r="K73" s="13"/>
      <c r="L73" s="11"/>
      <c r="M73" s="11"/>
      <c r="N73" s="13"/>
      <c r="O73" s="13"/>
      <c r="P73" s="11"/>
      <c r="Q73" s="11"/>
      <c r="R73" s="13"/>
      <c r="S73" s="13"/>
      <c r="T73" s="11"/>
      <c r="U73" s="11"/>
      <c r="V73" s="13"/>
      <c r="W73" s="13"/>
      <c r="X73" s="11"/>
      <c r="Y73" s="11"/>
      <c r="Z73" s="13"/>
      <c r="AA73" s="13"/>
      <c r="AB73" s="11"/>
      <c r="AC73" s="11"/>
      <c r="AD73" s="13"/>
      <c r="AE73" s="13"/>
      <c r="AF73" s="11"/>
      <c r="AG73" s="11"/>
      <c r="AH73" s="13"/>
      <c r="AI73" s="13"/>
      <c r="AJ73" s="11"/>
      <c r="AK73" s="11"/>
      <c r="AL73" s="13"/>
      <c r="AM73" s="13"/>
      <c r="AN73" s="11"/>
      <c r="AO73" s="11"/>
    </row>
    <row r="74" spans="1:41">
      <c r="A74" s="2">
        <v>69</v>
      </c>
      <c r="B74" s="202"/>
      <c r="C74" s="8" t="s">
        <v>254</v>
      </c>
      <c r="D74" s="20" t="s">
        <v>87</v>
      </c>
      <c r="E74" s="20">
        <v>15</v>
      </c>
      <c r="F74" s="90" t="s">
        <v>194</v>
      </c>
      <c r="G74" s="90" t="s">
        <v>255</v>
      </c>
      <c r="H74" s="22"/>
      <c r="I74" s="22"/>
      <c r="J74" s="13" t="s">
        <v>89</v>
      </c>
      <c r="K74" s="13"/>
      <c r="L74" s="11"/>
      <c r="M74" s="11"/>
      <c r="N74" s="13"/>
      <c r="O74" s="13"/>
      <c r="P74" s="11"/>
      <c r="Q74" s="11"/>
      <c r="R74" s="13"/>
      <c r="S74" s="13"/>
      <c r="T74" s="11"/>
      <c r="U74" s="11"/>
      <c r="V74" s="13"/>
      <c r="W74" s="13"/>
      <c r="X74" s="11"/>
      <c r="Y74" s="11"/>
      <c r="Z74" s="13"/>
      <c r="AA74" s="13"/>
      <c r="AB74" s="11"/>
      <c r="AC74" s="11"/>
      <c r="AD74" s="13"/>
      <c r="AE74" s="13"/>
      <c r="AF74" s="11"/>
      <c r="AG74" s="11"/>
      <c r="AH74" s="13"/>
      <c r="AI74" s="13"/>
      <c r="AJ74" s="11"/>
      <c r="AK74" s="11"/>
      <c r="AL74" s="13"/>
      <c r="AM74" s="13"/>
      <c r="AN74" s="11"/>
      <c r="AO74" s="11"/>
    </row>
    <row r="75" spans="1:41" ht="43.5">
      <c r="A75" s="2">
        <v>70</v>
      </c>
      <c r="B75" s="202"/>
      <c r="C75" s="8" t="s">
        <v>256</v>
      </c>
      <c r="D75" s="116" t="s">
        <v>190</v>
      </c>
      <c r="E75" s="20"/>
      <c r="F75" s="90" t="s">
        <v>191</v>
      </c>
      <c r="G75" s="90" t="s">
        <v>257</v>
      </c>
      <c r="H75" s="22"/>
      <c r="I75" s="22"/>
      <c r="J75" s="21" t="s">
        <v>92</v>
      </c>
      <c r="K75" s="13"/>
      <c r="L75" s="11"/>
      <c r="M75" s="11"/>
      <c r="N75" s="13"/>
      <c r="O75" s="13"/>
      <c r="P75" s="11"/>
      <c r="Q75" s="11"/>
      <c r="R75" s="13"/>
      <c r="S75" s="13"/>
      <c r="T75" s="11"/>
      <c r="U75" s="11"/>
      <c r="V75" s="13"/>
      <c r="W75" s="13"/>
      <c r="X75" s="11"/>
      <c r="Y75" s="11"/>
      <c r="Z75" s="13"/>
      <c r="AA75" s="13"/>
      <c r="AB75" s="11"/>
      <c r="AC75" s="11"/>
      <c r="AD75" s="13"/>
      <c r="AE75" s="13"/>
      <c r="AF75" s="11"/>
      <c r="AG75" s="11"/>
      <c r="AH75" s="13"/>
      <c r="AI75" s="13"/>
      <c r="AJ75" s="11"/>
      <c r="AK75" s="11"/>
      <c r="AL75" s="13"/>
      <c r="AM75" s="13"/>
      <c r="AN75" s="11"/>
      <c r="AO75" s="11"/>
    </row>
    <row r="76" spans="1:41">
      <c r="A76" s="2">
        <v>71</v>
      </c>
      <c r="B76" s="202"/>
      <c r="C76" s="8" t="s">
        <v>258</v>
      </c>
      <c r="D76" s="20" t="s">
        <v>87</v>
      </c>
      <c r="E76" s="20">
        <v>15</v>
      </c>
      <c r="F76" s="90" t="s">
        <v>194</v>
      </c>
      <c r="G76" s="90" t="s">
        <v>259</v>
      </c>
      <c r="H76" s="22"/>
      <c r="I76" s="22"/>
      <c r="J76" s="13" t="s">
        <v>89</v>
      </c>
      <c r="K76" s="13"/>
      <c r="L76" s="11"/>
      <c r="M76" s="11"/>
      <c r="N76" s="13"/>
      <c r="O76" s="13"/>
      <c r="P76" s="11"/>
      <c r="Q76" s="11"/>
      <c r="R76" s="13"/>
      <c r="S76" s="13"/>
      <c r="T76" s="11"/>
      <c r="U76" s="11"/>
      <c r="V76" s="13"/>
      <c r="W76" s="13"/>
      <c r="X76" s="11"/>
      <c r="Y76" s="11"/>
      <c r="Z76" s="13"/>
      <c r="AA76" s="13"/>
      <c r="AB76" s="11"/>
      <c r="AC76" s="11"/>
      <c r="AD76" s="13"/>
      <c r="AE76" s="13"/>
      <c r="AF76" s="11"/>
      <c r="AG76" s="11"/>
      <c r="AH76" s="13"/>
      <c r="AI76" s="13"/>
      <c r="AJ76" s="11"/>
      <c r="AK76" s="11"/>
      <c r="AL76" s="13"/>
      <c r="AM76" s="13"/>
      <c r="AN76" s="11"/>
      <c r="AO76" s="11"/>
    </row>
    <row r="77" spans="1:41" ht="39">
      <c r="A77" s="2">
        <v>72</v>
      </c>
      <c r="B77" s="202"/>
      <c r="C77" s="8" t="s">
        <v>260</v>
      </c>
      <c r="D77" s="20" t="s">
        <v>197</v>
      </c>
      <c r="E77" s="20">
        <v>200</v>
      </c>
      <c r="F77" s="90" t="s">
        <v>198</v>
      </c>
      <c r="G77" s="90" t="s">
        <v>261</v>
      </c>
      <c r="H77" s="22"/>
      <c r="I77" s="22"/>
      <c r="J77" s="13" t="s">
        <v>89</v>
      </c>
      <c r="K77" s="13"/>
      <c r="L77" s="11"/>
      <c r="M77" s="11"/>
      <c r="N77" s="13"/>
      <c r="O77" s="13"/>
      <c r="P77" s="11"/>
      <c r="Q77" s="11"/>
      <c r="R77" s="13"/>
      <c r="S77" s="13"/>
      <c r="T77" s="11"/>
      <c r="U77" s="11"/>
      <c r="V77" s="13"/>
      <c r="W77" s="13"/>
      <c r="X77" s="11"/>
      <c r="Y77" s="11"/>
      <c r="Z77" s="13"/>
      <c r="AA77" s="13"/>
      <c r="AB77" s="11"/>
      <c r="AC77" s="11"/>
      <c r="AD77" s="13"/>
      <c r="AE77" s="13"/>
      <c r="AF77" s="11"/>
      <c r="AG77" s="11"/>
      <c r="AH77" s="13"/>
      <c r="AI77" s="13"/>
      <c r="AJ77" s="11"/>
      <c r="AK77" s="11"/>
      <c r="AL77" s="13"/>
      <c r="AM77" s="13"/>
      <c r="AN77" s="11"/>
      <c r="AO77" s="11"/>
    </row>
    <row r="78" spans="1:41">
      <c r="A78" s="2">
        <v>73</v>
      </c>
      <c r="B78" s="202"/>
      <c r="C78" s="118" t="s">
        <v>262</v>
      </c>
      <c r="D78" s="20" t="s">
        <v>87</v>
      </c>
      <c r="E78" s="20">
        <v>100</v>
      </c>
      <c r="F78" s="90"/>
      <c r="G78" s="90" t="s">
        <v>132</v>
      </c>
      <c r="H78" s="22"/>
      <c r="I78" s="22"/>
      <c r="J78" s="13" t="s">
        <v>89</v>
      </c>
      <c r="K78" s="13"/>
      <c r="L78" s="11"/>
      <c r="M78" s="11"/>
      <c r="N78" s="13"/>
      <c r="O78" s="13"/>
      <c r="P78" s="11"/>
      <c r="Q78" s="11"/>
      <c r="R78" s="13"/>
      <c r="S78" s="13"/>
      <c r="T78" s="11"/>
      <c r="U78" s="11"/>
      <c r="V78" s="13"/>
      <c r="W78" s="13"/>
      <c r="X78" s="11"/>
      <c r="Y78" s="11"/>
      <c r="Z78" s="13"/>
      <c r="AA78" s="13"/>
      <c r="AB78" s="11"/>
      <c r="AC78" s="11"/>
      <c r="AD78" s="13"/>
      <c r="AE78" s="13"/>
      <c r="AF78" s="11"/>
      <c r="AG78" s="11"/>
      <c r="AH78" s="13"/>
      <c r="AI78" s="13"/>
      <c r="AJ78" s="11"/>
      <c r="AK78" s="11"/>
      <c r="AL78" s="13"/>
      <c r="AM78" s="13"/>
      <c r="AN78" s="11"/>
      <c r="AO78" s="11"/>
    </row>
    <row r="79" spans="1:41">
      <c r="A79" s="2">
        <v>74</v>
      </c>
      <c r="B79" s="202"/>
      <c r="C79" s="118" t="s">
        <v>263</v>
      </c>
      <c r="D79" s="20" t="s">
        <v>87</v>
      </c>
      <c r="E79" s="20">
        <v>100</v>
      </c>
      <c r="F79" s="90"/>
      <c r="G79" s="90" t="s">
        <v>134</v>
      </c>
      <c r="H79" s="22"/>
      <c r="I79" s="22"/>
      <c r="J79" s="13" t="s">
        <v>89</v>
      </c>
      <c r="K79" s="13"/>
      <c r="L79" s="11"/>
      <c r="M79" s="11"/>
      <c r="N79" s="13"/>
      <c r="O79" s="13"/>
      <c r="P79" s="11"/>
      <c r="Q79" s="11"/>
      <c r="R79" s="13"/>
      <c r="S79" s="13"/>
      <c r="T79" s="11"/>
      <c r="U79" s="11"/>
      <c r="V79" s="13"/>
      <c r="W79" s="13"/>
      <c r="X79" s="11"/>
      <c r="Y79" s="11"/>
      <c r="Z79" s="13"/>
      <c r="AA79" s="13"/>
      <c r="AB79" s="11"/>
      <c r="AC79" s="11"/>
      <c r="AD79" s="13"/>
      <c r="AE79" s="13"/>
      <c r="AF79" s="11"/>
      <c r="AG79" s="11"/>
      <c r="AH79" s="13"/>
      <c r="AI79" s="13"/>
      <c r="AJ79" s="11"/>
      <c r="AK79" s="11"/>
      <c r="AL79" s="13"/>
      <c r="AM79" s="13"/>
      <c r="AN79" s="11"/>
      <c r="AO79" s="11"/>
    </row>
    <row r="80" spans="1:41">
      <c r="A80" s="2">
        <v>75</v>
      </c>
      <c r="B80" s="202"/>
      <c r="C80" s="8" t="s">
        <v>135</v>
      </c>
      <c r="D80" s="20" t="s">
        <v>87</v>
      </c>
      <c r="E80" s="20">
        <v>100</v>
      </c>
      <c r="F80" s="90"/>
      <c r="G80" s="90" t="s">
        <v>136</v>
      </c>
      <c r="H80" s="22"/>
      <c r="I80" s="22"/>
      <c r="J80" s="13" t="s">
        <v>89</v>
      </c>
      <c r="K80" s="13"/>
      <c r="L80" s="11"/>
      <c r="M80" s="11"/>
      <c r="N80" s="13"/>
      <c r="O80" s="13"/>
      <c r="P80" s="11"/>
      <c r="Q80" s="11"/>
      <c r="R80" s="13"/>
      <c r="S80" s="13"/>
      <c r="T80" s="11"/>
      <c r="U80" s="11"/>
      <c r="V80" s="13"/>
      <c r="W80" s="13"/>
      <c r="X80" s="11"/>
      <c r="Y80" s="11"/>
      <c r="Z80" s="13"/>
      <c r="AA80" s="13"/>
      <c r="AB80" s="11"/>
      <c r="AC80" s="11"/>
      <c r="AD80" s="13"/>
      <c r="AE80" s="13"/>
      <c r="AF80" s="11"/>
      <c r="AG80" s="11"/>
      <c r="AH80" s="13"/>
      <c r="AI80" s="13"/>
      <c r="AJ80" s="11"/>
      <c r="AK80" s="11"/>
      <c r="AL80" s="13"/>
      <c r="AM80" s="13"/>
      <c r="AN80" s="11"/>
      <c r="AO80" s="11"/>
    </row>
    <row r="81" spans="1:41">
      <c r="A81" s="2">
        <v>76</v>
      </c>
      <c r="B81" s="202"/>
      <c r="C81" s="8" t="s">
        <v>137</v>
      </c>
      <c r="D81" s="20" t="s">
        <v>87</v>
      </c>
      <c r="E81" s="20">
        <v>100</v>
      </c>
      <c r="F81" s="90"/>
      <c r="G81" s="90" t="s">
        <v>138</v>
      </c>
      <c r="H81" s="22"/>
      <c r="I81" s="22"/>
      <c r="J81" s="13" t="s">
        <v>89</v>
      </c>
      <c r="K81" s="13"/>
      <c r="L81" s="11"/>
      <c r="M81" s="11"/>
      <c r="N81" s="13"/>
      <c r="O81" s="13"/>
      <c r="P81" s="11"/>
      <c r="Q81" s="11"/>
      <c r="R81" s="13"/>
      <c r="S81" s="13"/>
      <c r="T81" s="11"/>
      <c r="U81" s="11"/>
      <c r="V81" s="13"/>
      <c r="W81" s="13"/>
      <c r="X81" s="11"/>
      <c r="Y81" s="11"/>
      <c r="Z81" s="13"/>
      <c r="AA81" s="13"/>
      <c r="AB81" s="11"/>
      <c r="AC81" s="11"/>
      <c r="AD81" s="13"/>
      <c r="AE81" s="13"/>
      <c r="AF81" s="11"/>
      <c r="AG81" s="11"/>
      <c r="AH81" s="13"/>
      <c r="AI81" s="13"/>
      <c r="AJ81" s="11"/>
      <c r="AK81" s="11"/>
      <c r="AL81" s="13"/>
      <c r="AM81" s="13"/>
      <c r="AN81" s="11"/>
      <c r="AO81" s="11"/>
    </row>
    <row r="82" spans="1:41">
      <c r="A82" s="2">
        <v>77</v>
      </c>
      <c r="B82" s="202"/>
      <c r="C82" s="8" t="s">
        <v>140</v>
      </c>
      <c r="D82" s="20" t="s">
        <v>87</v>
      </c>
      <c r="E82" s="20">
        <v>50</v>
      </c>
      <c r="F82" s="90"/>
      <c r="G82" s="90" t="s">
        <v>141</v>
      </c>
      <c r="H82" s="22"/>
      <c r="I82" s="22"/>
      <c r="J82" s="13" t="s">
        <v>89</v>
      </c>
      <c r="K82" s="13"/>
      <c r="L82" s="11"/>
      <c r="M82" s="11"/>
      <c r="N82" s="13"/>
      <c r="O82" s="13"/>
      <c r="P82" s="11"/>
      <c r="Q82" s="11"/>
      <c r="R82" s="13"/>
      <c r="S82" s="13"/>
      <c r="T82" s="11"/>
      <c r="U82" s="11"/>
      <c r="V82" s="13"/>
      <c r="W82" s="13"/>
      <c r="X82" s="11"/>
      <c r="Y82" s="11"/>
      <c r="Z82" s="13"/>
      <c r="AA82" s="13"/>
      <c r="AB82" s="11"/>
      <c r="AC82" s="11"/>
      <c r="AD82" s="13"/>
      <c r="AE82" s="13"/>
      <c r="AF82" s="11"/>
      <c r="AG82" s="11"/>
      <c r="AH82" s="13"/>
      <c r="AI82" s="13"/>
      <c r="AJ82" s="11"/>
      <c r="AK82" s="11"/>
      <c r="AL82" s="13"/>
      <c r="AM82" s="13"/>
      <c r="AN82" s="11"/>
      <c r="AO82" s="11"/>
    </row>
    <row r="83" spans="1:41" ht="43.5">
      <c r="A83" s="2">
        <v>78</v>
      </c>
      <c r="B83" s="202"/>
      <c r="C83" s="8" t="s">
        <v>230</v>
      </c>
      <c r="D83" s="116" t="s">
        <v>190</v>
      </c>
      <c r="E83" s="20"/>
      <c r="F83" s="90" t="s">
        <v>191</v>
      </c>
      <c r="G83" s="90" t="s">
        <v>231</v>
      </c>
      <c r="H83" s="22"/>
      <c r="I83" s="22"/>
      <c r="J83" s="21" t="s">
        <v>92</v>
      </c>
      <c r="K83" s="13"/>
      <c r="L83" s="11"/>
      <c r="M83" s="11"/>
      <c r="N83" s="13"/>
      <c r="O83" s="13"/>
      <c r="P83" s="11"/>
      <c r="Q83" s="11"/>
      <c r="R83" s="13"/>
      <c r="S83" s="13"/>
      <c r="T83" s="11"/>
      <c r="U83" s="11"/>
      <c r="V83" s="13"/>
      <c r="W83" s="13"/>
      <c r="X83" s="11"/>
      <c r="Y83" s="11"/>
      <c r="Z83" s="13"/>
      <c r="AA83" s="13"/>
      <c r="AB83" s="11"/>
      <c r="AC83" s="11"/>
      <c r="AD83" s="13"/>
      <c r="AE83" s="13"/>
      <c r="AF83" s="11"/>
      <c r="AG83" s="11"/>
      <c r="AH83" s="13"/>
      <c r="AI83" s="13"/>
      <c r="AJ83" s="11"/>
      <c r="AK83" s="11"/>
      <c r="AL83" s="13"/>
      <c r="AM83" s="13"/>
      <c r="AN83" s="11"/>
      <c r="AO83" s="11"/>
    </row>
    <row r="84" spans="1:41">
      <c r="A84" s="2">
        <v>79</v>
      </c>
      <c r="B84" s="202"/>
      <c r="C84" s="8" t="s">
        <v>142</v>
      </c>
      <c r="D84" s="20" t="s">
        <v>87</v>
      </c>
      <c r="E84" s="20">
        <v>50</v>
      </c>
      <c r="F84" s="90"/>
      <c r="G84" s="90" t="s">
        <v>143</v>
      </c>
      <c r="H84" s="22"/>
      <c r="I84" s="22"/>
      <c r="J84" s="13" t="s">
        <v>89</v>
      </c>
      <c r="K84" s="13"/>
      <c r="L84" s="11"/>
      <c r="M84" s="11"/>
      <c r="N84" s="13"/>
      <c r="O84" s="13"/>
      <c r="P84" s="11"/>
      <c r="Q84" s="11"/>
      <c r="R84" s="13"/>
      <c r="S84" s="13"/>
      <c r="T84" s="11"/>
      <c r="U84" s="11"/>
      <c r="V84" s="13"/>
      <c r="W84" s="13"/>
      <c r="X84" s="11"/>
      <c r="Y84" s="11"/>
      <c r="Z84" s="13"/>
      <c r="AA84" s="13"/>
      <c r="AB84" s="11"/>
      <c r="AC84" s="11"/>
      <c r="AD84" s="13"/>
      <c r="AE84" s="13"/>
      <c r="AF84" s="11"/>
      <c r="AG84" s="11"/>
      <c r="AH84" s="13"/>
      <c r="AI84" s="13"/>
      <c r="AJ84" s="11"/>
      <c r="AK84" s="11"/>
      <c r="AL84" s="13"/>
      <c r="AM84" s="13"/>
      <c r="AN84" s="11"/>
      <c r="AO84" s="11"/>
    </row>
    <row r="85" spans="1:41">
      <c r="A85" s="2">
        <v>80</v>
      </c>
      <c r="B85" s="202" t="s">
        <v>264</v>
      </c>
      <c r="C85" s="7" t="s">
        <v>265</v>
      </c>
      <c r="D85" s="19" t="s">
        <v>163</v>
      </c>
      <c r="E85" s="19"/>
      <c r="F85" s="17"/>
      <c r="G85" s="17" t="s">
        <v>266</v>
      </c>
      <c r="H85" s="22"/>
      <c r="I85" s="22"/>
      <c r="J85" s="21" t="s">
        <v>92</v>
      </c>
      <c r="K85" s="13"/>
      <c r="L85" s="11"/>
      <c r="M85" s="11"/>
      <c r="N85" s="13"/>
      <c r="O85" s="13"/>
      <c r="P85" s="11"/>
      <c r="Q85" s="11"/>
      <c r="R85" s="13"/>
      <c r="S85" s="13"/>
      <c r="T85" s="11"/>
      <c r="U85" s="11"/>
      <c r="V85" s="13"/>
      <c r="W85" s="13"/>
      <c r="X85" s="11"/>
      <c r="Y85" s="11"/>
      <c r="Z85" s="13"/>
      <c r="AA85" s="13"/>
      <c r="AB85" s="11"/>
      <c r="AC85" s="11"/>
      <c r="AD85" s="13"/>
      <c r="AE85" s="13"/>
      <c r="AF85" s="11"/>
      <c r="AG85" s="11"/>
      <c r="AH85" s="13"/>
      <c r="AI85" s="13"/>
      <c r="AJ85" s="11"/>
      <c r="AK85" s="11"/>
      <c r="AL85" s="13"/>
      <c r="AM85" s="13"/>
      <c r="AN85" s="11"/>
      <c r="AO85" s="11"/>
    </row>
    <row r="86" spans="1:41">
      <c r="A86" s="2">
        <v>81</v>
      </c>
      <c r="B86" s="202"/>
      <c r="C86" s="7" t="s">
        <v>267</v>
      </c>
      <c r="D86" s="19" t="s">
        <v>163</v>
      </c>
      <c r="E86" s="19"/>
      <c r="F86" s="17"/>
      <c r="G86" s="17" t="s">
        <v>268</v>
      </c>
      <c r="H86" s="22"/>
      <c r="I86" s="22"/>
      <c r="J86" s="21" t="s">
        <v>92</v>
      </c>
      <c r="K86" s="13"/>
      <c r="L86" s="11"/>
      <c r="M86" s="11"/>
      <c r="N86" s="13"/>
      <c r="O86" s="13"/>
      <c r="P86" s="11"/>
      <c r="Q86" s="11"/>
      <c r="R86" s="13"/>
      <c r="S86" s="13"/>
      <c r="T86" s="11"/>
      <c r="U86" s="11"/>
      <c r="V86" s="13"/>
      <c r="W86" s="13"/>
      <c r="X86" s="11"/>
      <c r="Y86" s="11"/>
      <c r="Z86" s="13"/>
      <c r="AA86" s="13"/>
      <c r="AB86" s="11"/>
      <c r="AC86" s="11"/>
      <c r="AD86" s="13"/>
      <c r="AE86" s="13"/>
      <c r="AF86" s="11"/>
      <c r="AG86" s="11"/>
      <c r="AH86" s="13"/>
      <c r="AI86" s="13"/>
      <c r="AJ86" s="11"/>
      <c r="AK86" s="11"/>
      <c r="AL86" s="13"/>
      <c r="AM86" s="13"/>
      <c r="AN86" s="11"/>
      <c r="AO86" s="11"/>
    </row>
    <row r="87" spans="1:41">
      <c r="A87" s="2">
        <v>82</v>
      </c>
      <c r="B87" s="202"/>
      <c r="C87" s="7" t="s">
        <v>269</v>
      </c>
      <c r="D87" s="19" t="s">
        <v>163</v>
      </c>
      <c r="E87" s="19"/>
      <c r="F87" s="17"/>
      <c r="G87" s="17" t="s">
        <v>270</v>
      </c>
      <c r="H87" s="22"/>
      <c r="I87" s="22"/>
      <c r="J87" s="21" t="s">
        <v>92</v>
      </c>
      <c r="K87" s="13"/>
      <c r="L87" s="11"/>
      <c r="M87" s="11"/>
      <c r="N87" s="13"/>
      <c r="O87" s="13"/>
      <c r="P87" s="11"/>
      <c r="Q87" s="11"/>
      <c r="R87" s="13"/>
      <c r="S87" s="13"/>
      <c r="T87" s="11"/>
      <c r="U87" s="11"/>
      <c r="V87" s="13"/>
      <c r="W87" s="13"/>
      <c r="X87" s="11"/>
      <c r="Y87" s="11"/>
      <c r="Z87" s="13"/>
      <c r="AA87" s="13"/>
      <c r="AB87" s="11"/>
      <c r="AC87" s="11"/>
      <c r="AD87" s="13"/>
      <c r="AE87" s="13"/>
      <c r="AF87" s="11"/>
      <c r="AG87" s="11"/>
      <c r="AH87" s="13"/>
      <c r="AI87" s="13"/>
      <c r="AJ87" s="11"/>
      <c r="AK87" s="11"/>
      <c r="AL87" s="13"/>
      <c r="AM87" s="13"/>
      <c r="AN87" s="11"/>
      <c r="AO87" s="11"/>
    </row>
    <row r="88" spans="1:41">
      <c r="A88" s="2">
        <v>83</v>
      </c>
      <c r="B88" s="202"/>
      <c r="C88" s="7" t="s">
        <v>271</v>
      </c>
      <c r="D88" s="19" t="s">
        <v>163</v>
      </c>
      <c r="E88" s="19"/>
      <c r="F88" s="17"/>
      <c r="G88" s="17" t="s">
        <v>272</v>
      </c>
      <c r="H88" s="22"/>
      <c r="I88" s="22"/>
      <c r="J88" s="21" t="s">
        <v>92</v>
      </c>
      <c r="K88" s="13"/>
      <c r="L88" s="11"/>
      <c r="M88" s="11"/>
      <c r="N88" s="13"/>
      <c r="O88" s="13"/>
      <c r="P88" s="11"/>
      <c r="Q88" s="11"/>
      <c r="R88" s="13"/>
      <c r="S88" s="13"/>
      <c r="T88" s="11"/>
      <c r="U88" s="11"/>
      <c r="V88" s="13"/>
      <c r="W88" s="13"/>
      <c r="X88" s="11"/>
      <c r="Y88" s="11"/>
      <c r="Z88" s="13"/>
      <c r="AA88" s="13"/>
      <c r="AB88" s="11"/>
      <c r="AC88" s="11"/>
      <c r="AD88" s="13"/>
      <c r="AE88" s="13"/>
      <c r="AF88" s="11"/>
      <c r="AG88" s="11"/>
      <c r="AH88" s="13"/>
      <c r="AI88" s="13"/>
      <c r="AJ88" s="11"/>
      <c r="AK88" s="11"/>
      <c r="AL88" s="13"/>
      <c r="AM88" s="13"/>
      <c r="AN88" s="11"/>
      <c r="AO88" s="11"/>
    </row>
    <row r="89" spans="1:41">
      <c r="A89" s="2">
        <v>84</v>
      </c>
      <c r="B89" s="202"/>
      <c r="C89" s="7" t="s">
        <v>273</v>
      </c>
      <c r="D89" s="19" t="s">
        <v>163</v>
      </c>
      <c r="E89" s="19"/>
      <c r="F89" s="17"/>
      <c r="G89" s="17" t="s">
        <v>274</v>
      </c>
      <c r="H89" s="22"/>
      <c r="I89" s="22"/>
      <c r="J89" s="21" t="s">
        <v>92</v>
      </c>
      <c r="K89" s="13"/>
      <c r="L89" s="11"/>
      <c r="M89" s="11"/>
      <c r="N89" s="13"/>
      <c r="O89" s="13"/>
      <c r="P89" s="11"/>
      <c r="Q89" s="11"/>
      <c r="R89" s="13"/>
      <c r="S89" s="13"/>
      <c r="T89" s="11"/>
      <c r="U89" s="11"/>
      <c r="V89" s="13"/>
      <c r="W89" s="13"/>
      <c r="X89" s="11"/>
      <c r="Y89" s="11"/>
      <c r="Z89" s="13"/>
      <c r="AA89" s="13"/>
      <c r="AB89" s="11"/>
      <c r="AC89" s="11"/>
      <c r="AD89" s="13"/>
      <c r="AE89" s="13"/>
      <c r="AF89" s="11"/>
      <c r="AG89" s="11"/>
      <c r="AH89" s="13"/>
      <c r="AI89" s="13"/>
      <c r="AJ89" s="11"/>
      <c r="AK89" s="11"/>
      <c r="AL89" s="13"/>
      <c r="AM89" s="13"/>
      <c r="AN89" s="11"/>
      <c r="AO89" s="11"/>
    </row>
    <row r="90" spans="1:41" ht="26.1">
      <c r="A90" s="2">
        <v>85</v>
      </c>
      <c r="B90" s="202"/>
      <c r="C90" s="7" t="s">
        <v>275</v>
      </c>
      <c r="D90" s="19" t="s">
        <v>87</v>
      </c>
      <c r="E90" s="19">
        <v>1000</v>
      </c>
      <c r="F90" s="17"/>
      <c r="G90" s="17" t="s">
        <v>276</v>
      </c>
      <c r="H90" s="22"/>
      <c r="I90" s="22"/>
      <c r="J90" s="21" t="s">
        <v>92</v>
      </c>
      <c r="K90" s="13"/>
      <c r="L90" s="11"/>
      <c r="M90" s="11"/>
      <c r="N90" s="13"/>
      <c r="O90" s="13"/>
      <c r="P90" s="11"/>
      <c r="Q90" s="11"/>
      <c r="R90" s="13"/>
      <c r="S90" s="13"/>
      <c r="T90" s="11"/>
      <c r="U90" s="11"/>
      <c r="V90" s="13"/>
      <c r="W90" s="13"/>
      <c r="X90" s="11"/>
      <c r="Y90" s="11"/>
      <c r="Z90" s="13"/>
      <c r="AA90" s="13"/>
      <c r="AB90" s="11"/>
      <c r="AC90" s="11"/>
      <c r="AD90" s="13"/>
      <c r="AE90" s="13"/>
      <c r="AF90" s="11"/>
      <c r="AG90" s="11"/>
      <c r="AH90" s="13"/>
      <c r="AI90" s="13"/>
      <c r="AJ90" s="11"/>
      <c r="AK90" s="11"/>
      <c r="AL90" s="13"/>
      <c r="AM90" s="13"/>
      <c r="AN90" s="11"/>
      <c r="AO90" s="11"/>
    </row>
    <row r="91" spans="1:41">
      <c r="A91" s="203" t="s">
        <v>277</v>
      </c>
      <c r="B91" s="204"/>
      <c r="C91" s="204"/>
      <c r="D91" s="204"/>
      <c r="E91" s="204"/>
      <c r="F91" s="204"/>
      <c r="G91" s="204"/>
      <c r="H91" s="22"/>
      <c r="I91" s="22"/>
      <c r="J91" s="13"/>
      <c r="K91" s="13"/>
      <c r="L91" s="11"/>
      <c r="M91" s="11"/>
      <c r="N91" s="13"/>
      <c r="O91" s="13"/>
      <c r="P91" s="11"/>
      <c r="Q91" s="11"/>
      <c r="R91" s="13"/>
      <c r="S91" s="13"/>
      <c r="T91" s="11"/>
      <c r="U91" s="11"/>
      <c r="V91" s="13"/>
      <c r="W91" s="13"/>
      <c r="X91" s="11"/>
      <c r="Y91" s="11"/>
      <c r="Z91" s="13"/>
      <c r="AA91" s="13"/>
      <c r="AB91" s="11"/>
      <c r="AC91" s="11"/>
      <c r="AD91" s="13"/>
      <c r="AE91" s="13"/>
      <c r="AF91" s="11"/>
      <c r="AG91" s="11"/>
      <c r="AH91" s="13"/>
      <c r="AI91" s="13"/>
      <c r="AJ91" s="11"/>
      <c r="AK91" s="11"/>
      <c r="AL91" s="13"/>
      <c r="AM91" s="13"/>
      <c r="AN91" s="11"/>
      <c r="AO91" s="11"/>
    </row>
    <row r="92" spans="1:41" ht="39.950000000000003" customHeight="1">
      <c r="A92" s="3">
        <v>86</v>
      </c>
      <c r="B92" s="202" t="s">
        <v>278</v>
      </c>
      <c r="C92" s="2" t="s">
        <v>279</v>
      </c>
      <c r="D92" s="92" t="s">
        <v>280</v>
      </c>
      <c r="E92" s="93"/>
      <c r="F92" s="94" t="s">
        <v>281</v>
      </c>
      <c r="G92" s="94" t="s">
        <v>282</v>
      </c>
      <c r="H92" s="22"/>
      <c r="I92" s="22"/>
      <c r="J92" s="21" t="s">
        <v>92</v>
      </c>
      <c r="K92" s="13"/>
      <c r="L92" s="11"/>
      <c r="M92" s="11"/>
      <c r="N92" s="13"/>
      <c r="O92" s="13"/>
      <c r="P92" s="11"/>
      <c r="Q92" s="11"/>
      <c r="R92" s="13"/>
      <c r="S92" s="13"/>
      <c r="T92" s="11"/>
      <c r="U92" s="11"/>
      <c r="V92" s="13"/>
      <c r="W92" s="13"/>
      <c r="X92" s="11"/>
      <c r="Y92" s="11"/>
      <c r="Z92" s="13"/>
      <c r="AA92" s="13"/>
      <c r="AB92" s="11"/>
      <c r="AC92" s="11"/>
      <c r="AD92" s="13"/>
      <c r="AE92" s="13"/>
      <c r="AF92" s="11"/>
      <c r="AG92" s="11"/>
      <c r="AH92" s="13"/>
      <c r="AI92" s="13"/>
      <c r="AJ92" s="11"/>
      <c r="AK92" s="11"/>
      <c r="AL92" s="13"/>
      <c r="AM92" s="13"/>
      <c r="AN92" s="11"/>
      <c r="AO92" s="11"/>
    </row>
    <row r="93" spans="1:41" ht="39.950000000000003" customHeight="1">
      <c r="A93" s="3">
        <v>87</v>
      </c>
      <c r="B93" s="202"/>
      <c r="C93" s="2" t="s">
        <v>283</v>
      </c>
      <c r="D93" s="92" t="s">
        <v>284</v>
      </c>
      <c r="E93" s="93"/>
      <c r="F93" s="94" t="s">
        <v>99</v>
      </c>
      <c r="G93" s="94" t="s">
        <v>285</v>
      </c>
      <c r="H93" s="22"/>
      <c r="I93" s="22"/>
      <c r="J93" s="21" t="s">
        <v>92</v>
      </c>
      <c r="K93" s="13"/>
      <c r="L93" s="11"/>
      <c r="M93" s="11"/>
      <c r="N93" s="13"/>
      <c r="O93" s="13"/>
      <c r="P93" s="11"/>
      <c r="Q93" s="11"/>
      <c r="R93" s="13"/>
      <c r="S93" s="13"/>
      <c r="T93" s="11"/>
      <c r="U93" s="11"/>
      <c r="V93" s="13"/>
      <c r="W93" s="13"/>
      <c r="X93" s="11"/>
      <c r="Y93" s="11"/>
      <c r="Z93" s="13"/>
      <c r="AA93" s="13"/>
      <c r="AB93" s="11"/>
      <c r="AC93" s="11"/>
      <c r="AD93" s="13"/>
      <c r="AE93" s="13"/>
      <c r="AF93" s="11"/>
      <c r="AG93" s="11"/>
      <c r="AH93" s="13"/>
      <c r="AI93" s="13"/>
      <c r="AJ93" s="11"/>
      <c r="AK93" s="11"/>
      <c r="AL93" s="13"/>
      <c r="AM93" s="13"/>
      <c r="AN93" s="11"/>
      <c r="AO93" s="11"/>
    </row>
    <row r="94" spans="1:41" ht="43.5">
      <c r="A94" s="3">
        <v>88</v>
      </c>
      <c r="B94" s="210" t="s">
        <v>286</v>
      </c>
      <c r="C94" s="8" t="s">
        <v>287</v>
      </c>
      <c r="D94" s="116" t="s">
        <v>190</v>
      </c>
      <c r="E94" s="20"/>
      <c r="F94" s="90" t="s">
        <v>191</v>
      </c>
      <c r="G94" s="90" t="s">
        <v>288</v>
      </c>
      <c r="H94" s="22"/>
      <c r="I94" s="22"/>
      <c r="J94" s="13" t="s">
        <v>89</v>
      </c>
      <c r="K94" s="13"/>
      <c r="L94" s="11"/>
      <c r="M94" s="11"/>
      <c r="N94" s="13"/>
      <c r="O94" s="13"/>
      <c r="P94" s="11"/>
      <c r="Q94" s="11"/>
      <c r="R94" s="13"/>
      <c r="S94" s="13"/>
      <c r="T94" s="11"/>
      <c r="U94" s="11"/>
      <c r="V94" s="13"/>
      <c r="W94" s="13"/>
      <c r="X94" s="11"/>
      <c r="Y94" s="11"/>
      <c r="Z94" s="13"/>
      <c r="AA94" s="13"/>
      <c r="AB94" s="11"/>
      <c r="AC94" s="11"/>
      <c r="AD94" s="13"/>
      <c r="AE94" s="13"/>
      <c r="AF94" s="11"/>
      <c r="AG94" s="11"/>
      <c r="AH94" s="13"/>
      <c r="AI94" s="13"/>
      <c r="AJ94" s="11"/>
      <c r="AK94" s="11"/>
      <c r="AL94" s="13"/>
      <c r="AM94" s="13"/>
      <c r="AN94" s="11"/>
      <c r="AO94" s="11"/>
    </row>
    <row r="95" spans="1:41">
      <c r="A95" s="3">
        <v>89</v>
      </c>
      <c r="B95" s="210"/>
      <c r="C95" s="8" t="s">
        <v>289</v>
      </c>
      <c r="D95" s="20" t="s">
        <v>87</v>
      </c>
      <c r="E95" s="20">
        <v>100</v>
      </c>
      <c r="F95" s="90" t="s">
        <v>172</v>
      </c>
      <c r="G95" s="90" t="s">
        <v>290</v>
      </c>
      <c r="H95" s="22"/>
      <c r="I95" s="22"/>
      <c r="J95" s="13" t="s">
        <v>89</v>
      </c>
      <c r="K95" s="13"/>
      <c r="L95" s="11"/>
      <c r="M95" s="11"/>
      <c r="N95" s="13"/>
      <c r="O95" s="13"/>
      <c r="P95" s="11"/>
      <c r="Q95" s="11"/>
      <c r="R95" s="13"/>
      <c r="S95" s="13"/>
      <c r="T95" s="11"/>
      <c r="U95" s="11"/>
      <c r="V95" s="13"/>
      <c r="W95" s="13"/>
      <c r="X95" s="11"/>
      <c r="Y95" s="11"/>
      <c r="Z95" s="13"/>
      <c r="AA95" s="13"/>
      <c r="AB95" s="11"/>
      <c r="AC95" s="11"/>
      <c r="AD95" s="13"/>
      <c r="AE95" s="13"/>
      <c r="AF95" s="11"/>
      <c r="AG95" s="11"/>
      <c r="AH95" s="13"/>
      <c r="AI95" s="13"/>
      <c r="AJ95" s="11"/>
      <c r="AK95" s="11"/>
      <c r="AL95" s="13"/>
      <c r="AM95" s="13"/>
      <c r="AN95" s="11"/>
      <c r="AO95" s="11"/>
    </row>
    <row r="96" spans="1:41">
      <c r="A96" s="3">
        <v>90</v>
      </c>
      <c r="B96" s="210"/>
      <c r="C96" s="8" t="s">
        <v>291</v>
      </c>
      <c r="D96" s="20" t="s">
        <v>87</v>
      </c>
      <c r="E96" s="20">
        <v>100</v>
      </c>
      <c r="F96" s="90" t="s">
        <v>292</v>
      </c>
      <c r="G96" s="90" t="s">
        <v>293</v>
      </c>
      <c r="H96" s="22"/>
      <c r="I96" s="22"/>
      <c r="J96" s="13" t="s">
        <v>89</v>
      </c>
      <c r="K96" s="13"/>
      <c r="L96" s="11"/>
      <c r="M96" s="11"/>
      <c r="N96" s="13"/>
      <c r="O96" s="13"/>
      <c r="P96" s="11"/>
      <c r="Q96" s="11"/>
      <c r="R96" s="13"/>
      <c r="S96" s="13"/>
      <c r="T96" s="11"/>
      <c r="U96" s="11"/>
      <c r="V96" s="13"/>
      <c r="W96" s="13"/>
      <c r="X96" s="11"/>
      <c r="Y96" s="11"/>
      <c r="Z96" s="13"/>
      <c r="AA96" s="13"/>
      <c r="AB96" s="11"/>
      <c r="AC96" s="11"/>
      <c r="AD96" s="13"/>
      <c r="AE96" s="13"/>
      <c r="AF96" s="11"/>
      <c r="AG96" s="11"/>
      <c r="AH96" s="13"/>
      <c r="AI96" s="13"/>
      <c r="AJ96" s="11"/>
      <c r="AK96" s="11"/>
      <c r="AL96" s="13"/>
      <c r="AM96" s="13"/>
      <c r="AN96" s="11"/>
      <c r="AO96" s="11"/>
    </row>
    <row r="97" spans="1:41">
      <c r="A97" s="3">
        <v>91</v>
      </c>
      <c r="B97" s="210"/>
      <c r="C97" s="8" t="s">
        <v>294</v>
      </c>
      <c r="D97" s="20" t="s">
        <v>113</v>
      </c>
      <c r="E97" s="20"/>
      <c r="F97" s="90" t="s">
        <v>295</v>
      </c>
      <c r="G97" s="90" t="s">
        <v>296</v>
      </c>
      <c r="H97" s="22"/>
      <c r="I97" s="22"/>
      <c r="J97" s="13" t="s">
        <v>89</v>
      </c>
      <c r="K97" s="13"/>
      <c r="L97" s="11"/>
      <c r="M97" s="11"/>
      <c r="N97" s="13"/>
      <c r="O97" s="13"/>
      <c r="P97" s="11"/>
      <c r="Q97" s="11"/>
      <c r="R97" s="13"/>
      <c r="S97" s="13"/>
      <c r="T97" s="11"/>
      <c r="U97" s="11"/>
      <c r="V97" s="13"/>
      <c r="W97" s="13"/>
      <c r="X97" s="11"/>
      <c r="Y97" s="11"/>
      <c r="Z97" s="13"/>
      <c r="AA97" s="13"/>
      <c r="AB97" s="11"/>
      <c r="AC97" s="11"/>
      <c r="AD97" s="13"/>
      <c r="AE97" s="13"/>
      <c r="AF97" s="11"/>
      <c r="AG97" s="11"/>
      <c r="AH97" s="13"/>
      <c r="AI97" s="13"/>
      <c r="AJ97" s="11"/>
      <c r="AK97" s="11"/>
      <c r="AL97" s="13"/>
      <c r="AM97" s="13"/>
      <c r="AN97" s="11"/>
      <c r="AO97" s="11"/>
    </row>
    <row r="98" spans="1:41">
      <c r="A98" s="3">
        <v>92</v>
      </c>
      <c r="B98" s="210"/>
      <c r="C98" s="8" t="s">
        <v>297</v>
      </c>
      <c r="D98" s="20" t="s">
        <v>105</v>
      </c>
      <c r="E98" s="20"/>
      <c r="F98" s="90" t="s">
        <v>179</v>
      </c>
      <c r="G98" s="90" t="s">
        <v>298</v>
      </c>
      <c r="H98" s="22"/>
      <c r="I98" s="22"/>
      <c r="J98" s="13" t="s">
        <v>89</v>
      </c>
      <c r="K98" s="13"/>
      <c r="L98" s="11"/>
      <c r="M98" s="11"/>
      <c r="N98" s="13"/>
      <c r="O98" s="13"/>
      <c r="P98" s="11"/>
      <c r="Q98" s="11"/>
      <c r="R98" s="13"/>
      <c r="S98" s="13"/>
      <c r="T98" s="11"/>
      <c r="U98" s="11"/>
      <c r="V98" s="13"/>
      <c r="W98" s="13"/>
      <c r="X98" s="11"/>
      <c r="Y98" s="11"/>
      <c r="Z98" s="13"/>
      <c r="AA98" s="13"/>
      <c r="AB98" s="11"/>
      <c r="AC98" s="11"/>
      <c r="AD98" s="13"/>
      <c r="AE98" s="13"/>
      <c r="AF98" s="11"/>
      <c r="AG98" s="11"/>
      <c r="AH98" s="13"/>
      <c r="AI98" s="13"/>
      <c r="AJ98" s="11"/>
      <c r="AK98" s="11"/>
      <c r="AL98" s="13"/>
      <c r="AM98" s="13"/>
      <c r="AN98" s="11"/>
      <c r="AO98" s="11"/>
    </row>
    <row r="99" spans="1:41" ht="33" customHeight="1">
      <c r="A99" s="3">
        <v>93</v>
      </c>
      <c r="B99" s="210"/>
      <c r="C99" s="8" t="s">
        <v>299</v>
      </c>
      <c r="D99" s="20" t="s">
        <v>163</v>
      </c>
      <c r="E99" s="20"/>
      <c r="F99" s="90"/>
      <c r="G99" s="90" t="s">
        <v>300</v>
      </c>
      <c r="H99" s="22"/>
      <c r="I99" s="22"/>
      <c r="J99" s="13" t="s">
        <v>89</v>
      </c>
      <c r="K99" s="13"/>
      <c r="L99" s="11"/>
      <c r="M99" s="11"/>
      <c r="N99" s="13"/>
      <c r="O99" s="13"/>
      <c r="P99" s="11"/>
      <c r="Q99" s="11"/>
      <c r="R99" s="13"/>
      <c r="S99" s="13"/>
      <c r="T99" s="11"/>
      <c r="U99" s="11"/>
      <c r="V99" s="13"/>
      <c r="W99" s="13"/>
      <c r="X99" s="11"/>
      <c r="Y99" s="11"/>
      <c r="Z99" s="13"/>
      <c r="AA99" s="13"/>
      <c r="AB99" s="11"/>
      <c r="AC99" s="11"/>
      <c r="AD99" s="13"/>
      <c r="AE99" s="13"/>
      <c r="AF99" s="11"/>
      <c r="AG99" s="11"/>
      <c r="AH99" s="13"/>
      <c r="AI99" s="13"/>
      <c r="AJ99" s="11"/>
      <c r="AK99" s="11"/>
      <c r="AL99" s="13"/>
      <c r="AM99" s="13"/>
      <c r="AN99" s="11"/>
      <c r="AO99" s="11"/>
    </row>
    <row r="100" spans="1:41" ht="27.75" customHeight="1">
      <c r="A100" s="3">
        <v>94</v>
      </c>
      <c r="B100" s="210"/>
      <c r="C100" s="8" t="s">
        <v>301</v>
      </c>
      <c r="D100" s="20" t="s">
        <v>163</v>
      </c>
      <c r="E100" s="20"/>
      <c r="F100" s="90"/>
      <c r="G100" s="90" t="s">
        <v>302</v>
      </c>
      <c r="H100" s="22"/>
      <c r="I100" s="22"/>
      <c r="J100" s="13" t="s">
        <v>89</v>
      </c>
      <c r="K100" s="13"/>
      <c r="L100" s="11"/>
      <c r="M100" s="11"/>
      <c r="N100" s="13"/>
      <c r="O100" s="13"/>
      <c r="P100" s="11"/>
      <c r="Q100" s="11"/>
      <c r="R100" s="13"/>
      <c r="S100" s="13"/>
      <c r="T100" s="11"/>
      <c r="U100" s="11"/>
      <c r="V100" s="13"/>
      <c r="W100" s="13"/>
      <c r="X100" s="11"/>
      <c r="Y100" s="11"/>
      <c r="Z100" s="13"/>
      <c r="AA100" s="13"/>
      <c r="AB100" s="11"/>
      <c r="AC100" s="11"/>
      <c r="AD100" s="13"/>
      <c r="AE100" s="13"/>
      <c r="AF100" s="11"/>
      <c r="AG100" s="11"/>
      <c r="AH100" s="13"/>
      <c r="AI100" s="13"/>
      <c r="AJ100" s="11"/>
      <c r="AK100" s="11"/>
      <c r="AL100" s="13"/>
      <c r="AM100" s="13"/>
      <c r="AN100" s="11"/>
      <c r="AO100" s="11"/>
    </row>
    <row r="101" spans="1:41" ht="29.1">
      <c r="A101" s="3">
        <v>95</v>
      </c>
      <c r="B101" s="210"/>
      <c r="C101" s="122" t="s">
        <v>303</v>
      </c>
      <c r="D101" s="116" t="s">
        <v>284</v>
      </c>
      <c r="E101" s="123"/>
      <c r="F101" s="124" t="s">
        <v>99</v>
      </c>
      <c r="G101" s="90" t="s">
        <v>285</v>
      </c>
      <c r="H101" s="22"/>
      <c r="I101" s="22"/>
      <c r="J101" s="13" t="s">
        <v>89</v>
      </c>
      <c r="K101" s="13"/>
      <c r="L101" s="11"/>
      <c r="M101" s="11"/>
      <c r="N101" s="13"/>
      <c r="O101" s="13"/>
      <c r="P101" s="11"/>
      <c r="Q101" s="11"/>
      <c r="R101" s="13"/>
      <c r="S101" s="13"/>
      <c r="T101" s="11"/>
      <c r="U101" s="11"/>
      <c r="V101" s="13"/>
      <c r="W101" s="13"/>
      <c r="X101" s="11"/>
      <c r="Y101" s="11"/>
      <c r="Z101" s="13"/>
      <c r="AA101" s="13"/>
      <c r="AB101" s="11"/>
      <c r="AC101" s="11"/>
      <c r="AD101" s="13"/>
      <c r="AE101" s="13"/>
      <c r="AF101" s="11"/>
      <c r="AG101" s="11"/>
      <c r="AH101" s="13"/>
      <c r="AI101" s="13"/>
      <c r="AJ101" s="11"/>
      <c r="AK101" s="11"/>
      <c r="AL101" s="13"/>
      <c r="AM101" s="13"/>
      <c r="AN101" s="11"/>
      <c r="AO101" s="11"/>
    </row>
    <row r="102" spans="1:41">
      <c r="A102" s="3">
        <v>96</v>
      </c>
      <c r="B102" s="210"/>
      <c r="C102" s="122" t="s">
        <v>304</v>
      </c>
      <c r="D102" s="123" t="s">
        <v>105</v>
      </c>
      <c r="E102" s="123"/>
      <c r="F102" s="124" t="s">
        <v>179</v>
      </c>
      <c r="G102" s="90" t="s">
        <v>305</v>
      </c>
      <c r="H102" s="22"/>
      <c r="I102" s="22"/>
      <c r="J102" s="13" t="s">
        <v>89</v>
      </c>
      <c r="K102" s="13"/>
      <c r="L102" s="11"/>
      <c r="M102" s="11"/>
      <c r="N102" s="13"/>
      <c r="O102" s="13"/>
      <c r="P102" s="11"/>
      <c r="Q102" s="11"/>
      <c r="R102" s="13"/>
      <c r="S102" s="13"/>
      <c r="T102" s="11"/>
      <c r="U102" s="11"/>
      <c r="V102" s="13"/>
      <c r="W102" s="13"/>
      <c r="X102" s="11"/>
      <c r="Y102" s="11"/>
      <c r="Z102" s="13"/>
      <c r="AA102" s="13"/>
      <c r="AB102" s="11"/>
      <c r="AC102" s="11"/>
      <c r="AD102" s="13"/>
      <c r="AE102" s="13"/>
      <c r="AF102" s="11"/>
      <c r="AG102" s="11"/>
      <c r="AH102" s="13"/>
      <c r="AI102" s="13"/>
      <c r="AJ102" s="11"/>
      <c r="AK102" s="11"/>
      <c r="AL102" s="13"/>
      <c r="AM102" s="13"/>
      <c r="AN102" s="11"/>
      <c r="AO102" s="11"/>
    </row>
    <row r="103" spans="1:41" ht="29.1">
      <c r="A103" s="3">
        <v>97</v>
      </c>
      <c r="B103" s="210"/>
      <c r="C103" s="122" t="s">
        <v>306</v>
      </c>
      <c r="D103" s="116" t="s">
        <v>284</v>
      </c>
      <c r="E103" s="123"/>
      <c r="F103" s="124" t="s">
        <v>99</v>
      </c>
      <c r="G103" s="90" t="s">
        <v>285</v>
      </c>
      <c r="H103" s="22"/>
      <c r="I103" s="22"/>
      <c r="J103" s="13" t="s">
        <v>89</v>
      </c>
      <c r="K103" s="13"/>
      <c r="L103" s="11"/>
      <c r="M103" s="11"/>
      <c r="N103" s="13"/>
      <c r="O103" s="13"/>
      <c r="P103" s="11"/>
      <c r="Q103" s="11"/>
      <c r="R103" s="13"/>
      <c r="S103" s="13"/>
      <c r="T103" s="11"/>
      <c r="U103" s="11"/>
      <c r="V103" s="13"/>
      <c r="W103" s="13"/>
      <c r="X103" s="11"/>
      <c r="Y103" s="11"/>
      <c r="Z103" s="13"/>
      <c r="AA103" s="13"/>
      <c r="AB103" s="11"/>
      <c r="AC103" s="11"/>
      <c r="AD103" s="13"/>
      <c r="AE103" s="13"/>
      <c r="AF103" s="11"/>
      <c r="AG103" s="11"/>
      <c r="AH103" s="13"/>
      <c r="AI103" s="13"/>
      <c r="AJ103" s="11"/>
      <c r="AK103" s="11"/>
      <c r="AL103" s="13"/>
      <c r="AM103" s="13"/>
      <c r="AN103" s="11"/>
      <c r="AO103" s="11"/>
    </row>
    <row r="104" spans="1:41">
      <c r="A104" s="3">
        <v>98</v>
      </c>
      <c r="B104" s="210"/>
      <c r="C104" s="8" t="s">
        <v>307</v>
      </c>
      <c r="D104" s="20" t="s">
        <v>105</v>
      </c>
      <c r="E104" s="20"/>
      <c r="F104" s="90" t="s">
        <v>179</v>
      </c>
      <c r="G104" s="90" t="s">
        <v>308</v>
      </c>
      <c r="H104" s="22"/>
      <c r="I104" s="22"/>
      <c r="J104" s="13" t="s">
        <v>89</v>
      </c>
      <c r="K104" s="13"/>
      <c r="L104" s="11"/>
      <c r="M104" s="11"/>
      <c r="N104" s="13"/>
      <c r="O104" s="13"/>
      <c r="P104" s="11"/>
      <c r="Q104" s="11"/>
      <c r="R104" s="13"/>
      <c r="S104" s="13"/>
      <c r="T104" s="11"/>
      <c r="U104" s="11"/>
      <c r="V104" s="13"/>
      <c r="W104" s="13"/>
      <c r="X104" s="11"/>
      <c r="Y104" s="11"/>
      <c r="Z104" s="13"/>
      <c r="AA104" s="13"/>
      <c r="AB104" s="11"/>
      <c r="AC104" s="11"/>
      <c r="AD104" s="13"/>
      <c r="AE104" s="13"/>
      <c r="AF104" s="11"/>
      <c r="AG104" s="11"/>
      <c r="AH104" s="13"/>
      <c r="AI104" s="13"/>
      <c r="AJ104" s="11"/>
      <c r="AK104" s="11"/>
      <c r="AL104" s="13"/>
      <c r="AM104" s="13"/>
      <c r="AN104" s="11"/>
      <c r="AO104" s="11"/>
    </row>
    <row r="105" spans="1:41">
      <c r="A105" s="3">
        <v>99</v>
      </c>
      <c r="B105" s="210"/>
      <c r="C105" s="8" t="s">
        <v>309</v>
      </c>
      <c r="D105" s="20" t="s">
        <v>87</v>
      </c>
      <c r="E105" s="20">
        <v>100</v>
      </c>
      <c r="F105" s="90"/>
      <c r="G105" s="90" t="s">
        <v>310</v>
      </c>
      <c r="H105" s="22"/>
      <c r="I105" s="22"/>
      <c r="J105" s="13" t="s">
        <v>89</v>
      </c>
      <c r="K105" s="13"/>
      <c r="L105" s="11"/>
      <c r="M105" s="11"/>
      <c r="N105" s="13"/>
      <c r="O105" s="13"/>
      <c r="P105" s="11"/>
      <c r="Q105" s="11"/>
      <c r="R105" s="13"/>
      <c r="S105" s="13"/>
      <c r="T105" s="11"/>
      <c r="U105" s="11"/>
      <c r="V105" s="13"/>
      <c r="W105" s="13"/>
      <c r="X105" s="11"/>
      <c r="Y105" s="11"/>
      <c r="Z105" s="13"/>
      <c r="AA105" s="13"/>
      <c r="AB105" s="11"/>
      <c r="AC105" s="11"/>
      <c r="AD105" s="13"/>
      <c r="AE105" s="13"/>
      <c r="AF105" s="11"/>
      <c r="AG105" s="11"/>
      <c r="AH105" s="13"/>
      <c r="AI105" s="13"/>
      <c r="AJ105" s="11"/>
      <c r="AK105" s="11"/>
      <c r="AL105" s="13"/>
      <c r="AM105" s="13"/>
      <c r="AN105" s="11"/>
      <c r="AO105" s="11"/>
    </row>
    <row r="106" spans="1:41" ht="29.1">
      <c r="A106" s="3">
        <v>100</v>
      </c>
      <c r="B106" s="210"/>
      <c r="C106" s="122" t="s">
        <v>311</v>
      </c>
      <c r="D106" s="116" t="s">
        <v>284</v>
      </c>
      <c r="E106" s="123"/>
      <c r="F106" s="124" t="s">
        <v>99</v>
      </c>
      <c r="G106" s="90" t="s">
        <v>312</v>
      </c>
      <c r="H106" s="22"/>
      <c r="I106" s="22"/>
      <c r="J106" s="13" t="s">
        <v>89</v>
      </c>
      <c r="K106" s="13"/>
      <c r="L106" s="11"/>
      <c r="M106" s="11"/>
      <c r="N106" s="13"/>
      <c r="O106" s="13"/>
      <c r="P106" s="11"/>
      <c r="Q106" s="11"/>
      <c r="R106" s="13"/>
      <c r="S106" s="13"/>
      <c r="T106" s="11"/>
      <c r="U106" s="11"/>
      <c r="V106" s="13"/>
      <c r="W106" s="13"/>
      <c r="X106" s="11"/>
      <c r="Y106" s="11"/>
      <c r="Z106" s="13"/>
      <c r="AA106" s="13"/>
      <c r="AB106" s="11"/>
      <c r="AC106" s="11"/>
      <c r="AD106" s="13"/>
      <c r="AE106" s="13"/>
      <c r="AF106" s="11"/>
      <c r="AG106" s="11"/>
      <c r="AH106" s="13"/>
      <c r="AI106" s="13"/>
      <c r="AJ106" s="11"/>
      <c r="AK106" s="11"/>
      <c r="AL106" s="13"/>
      <c r="AM106" s="13"/>
      <c r="AN106" s="11"/>
      <c r="AO106" s="11"/>
    </row>
    <row r="107" spans="1:41">
      <c r="A107" s="3">
        <v>101</v>
      </c>
      <c r="B107" s="210"/>
      <c r="C107" s="8" t="s">
        <v>313</v>
      </c>
      <c r="D107" s="20" t="s">
        <v>87</v>
      </c>
      <c r="E107" s="20">
        <v>100</v>
      </c>
      <c r="F107" s="90"/>
      <c r="G107" s="90" t="s">
        <v>314</v>
      </c>
      <c r="H107" s="22"/>
      <c r="I107" s="22"/>
      <c r="J107" s="13" t="s">
        <v>89</v>
      </c>
      <c r="K107" s="13"/>
      <c r="L107" s="11"/>
      <c r="M107" s="11"/>
      <c r="N107" s="13"/>
      <c r="O107" s="13"/>
      <c r="P107" s="11"/>
      <c r="Q107" s="11"/>
      <c r="R107" s="13"/>
      <c r="S107" s="13"/>
      <c r="T107" s="11"/>
      <c r="U107" s="11"/>
      <c r="V107" s="13"/>
      <c r="W107" s="13"/>
      <c r="X107" s="11"/>
      <c r="Y107" s="11"/>
      <c r="Z107" s="13"/>
      <c r="AA107" s="13"/>
      <c r="AB107" s="11"/>
      <c r="AC107" s="11"/>
      <c r="AD107" s="13"/>
      <c r="AE107" s="13"/>
      <c r="AF107" s="11"/>
      <c r="AG107" s="11"/>
      <c r="AH107" s="13"/>
      <c r="AI107" s="13"/>
      <c r="AJ107" s="11"/>
      <c r="AK107" s="11"/>
      <c r="AL107" s="13"/>
      <c r="AM107" s="13"/>
      <c r="AN107" s="11"/>
      <c r="AO107" s="11"/>
    </row>
    <row r="108" spans="1:41" ht="43.5">
      <c r="A108" s="3">
        <v>102</v>
      </c>
      <c r="B108" s="210"/>
      <c r="C108" s="122" t="s">
        <v>315</v>
      </c>
      <c r="D108" s="116" t="s">
        <v>190</v>
      </c>
      <c r="E108" s="123"/>
      <c r="F108" s="124" t="s">
        <v>191</v>
      </c>
      <c r="G108" s="90" t="s">
        <v>316</v>
      </c>
      <c r="H108" s="22"/>
      <c r="I108" s="22"/>
      <c r="J108" s="13" t="s">
        <v>89</v>
      </c>
      <c r="K108" s="13"/>
      <c r="L108" s="11"/>
      <c r="M108" s="11"/>
      <c r="N108" s="13"/>
      <c r="O108" s="13"/>
      <c r="P108" s="11"/>
      <c r="Q108" s="11"/>
      <c r="R108" s="13"/>
      <c r="S108" s="13"/>
      <c r="T108" s="11"/>
      <c r="U108" s="11"/>
      <c r="V108" s="13"/>
      <c r="W108" s="13"/>
      <c r="X108" s="11"/>
      <c r="Y108" s="11"/>
      <c r="Z108" s="13"/>
      <c r="AA108" s="13"/>
      <c r="AB108" s="11"/>
      <c r="AC108" s="11"/>
      <c r="AD108" s="13"/>
      <c r="AE108" s="13"/>
      <c r="AF108" s="11"/>
      <c r="AG108" s="11"/>
      <c r="AH108" s="13"/>
      <c r="AI108" s="13"/>
      <c r="AJ108" s="11"/>
      <c r="AK108" s="11"/>
      <c r="AL108" s="13"/>
      <c r="AM108" s="13"/>
      <c r="AN108" s="11"/>
      <c r="AO108" s="11"/>
    </row>
    <row r="109" spans="1:41">
      <c r="A109" s="3">
        <v>103</v>
      </c>
      <c r="B109" s="210"/>
      <c r="C109" s="122" t="s">
        <v>317</v>
      </c>
      <c r="D109" s="123" t="s">
        <v>87</v>
      </c>
      <c r="E109" s="123">
        <v>15</v>
      </c>
      <c r="F109" s="124" t="s">
        <v>194</v>
      </c>
      <c r="G109" s="90" t="s">
        <v>318</v>
      </c>
      <c r="H109" s="22"/>
      <c r="I109" s="22"/>
      <c r="J109" s="13" t="s">
        <v>89</v>
      </c>
      <c r="K109" s="13"/>
      <c r="L109" s="11"/>
      <c r="M109" s="11"/>
      <c r="N109" s="13"/>
      <c r="O109" s="13"/>
      <c r="P109" s="11"/>
      <c r="Q109" s="11"/>
      <c r="R109" s="13"/>
      <c r="S109" s="13"/>
      <c r="T109" s="11"/>
      <c r="U109" s="11"/>
      <c r="V109" s="13"/>
      <c r="W109" s="13"/>
      <c r="X109" s="11"/>
      <c r="Y109" s="11"/>
      <c r="Z109" s="13"/>
      <c r="AA109" s="13"/>
      <c r="AB109" s="11"/>
      <c r="AC109" s="11"/>
      <c r="AD109" s="13"/>
      <c r="AE109" s="13"/>
      <c r="AF109" s="11"/>
      <c r="AG109" s="11"/>
      <c r="AH109" s="13"/>
      <c r="AI109" s="13"/>
      <c r="AJ109" s="11"/>
      <c r="AK109" s="11"/>
      <c r="AL109" s="13"/>
      <c r="AM109" s="13"/>
      <c r="AN109" s="11"/>
      <c r="AO109" s="11"/>
    </row>
    <row r="110" spans="1:41" ht="43.5">
      <c r="A110" s="3">
        <v>104</v>
      </c>
      <c r="B110" s="210"/>
      <c r="C110" s="122" t="s">
        <v>319</v>
      </c>
      <c r="D110" s="116" t="s">
        <v>190</v>
      </c>
      <c r="E110" s="123"/>
      <c r="F110" s="124" t="s">
        <v>191</v>
      </c>
      <c r="G110" s="90" t="s">
        <v>320</v>
      </c>
      <c r="H110" s="22"/>
      <c r="I110" s="22"/>
      <c r="J110" s="13" t="s">
        <v>89</v>
      </c>
      <c r="K110" s="13"/>
      <c r="L110" s="11"/>
      <c r="M110" s="11"/>
      <c r="N110" s="13"/>
      <c r="O110" s="13"/>
      <c r="P110" s="11"/>
      <c r="Q110" s="11"/>
      <c r="R110" s="13"/>
      <c r="S110" s="13"/>
      <c r="T110" s="11"/>
      <c r="U110" s="11"/>
      <c r="V110" s="13"/>
      <c r="W110" s="13"/>
      <c r="X110" s="11"/>
      <c r="Y110" s="11"/>
      <c r="Z110" s="13"/>
      <c r="AA110" s="13"/>
      <c r="AB110" s="11"/>
      <c r="AC110" s="11"/>
      <c r="AD110" s="13"/>
      <c r="AE110" s="13"/>
      <c r="AF110" s="11"/>
      <c r="AG110" s="11"/>
      <c r="AH110" s="13"/>
      <c r="AI110" s="13"/>
      <c r="AJ110" s="11"/>
      <c r="AK110" s="11"/>
      <c r="AL110" s="13"/>
      <c r="AM110" s="13"/>
      <c r="AN110" s="11"/>
      <c r="AO110" s="11"/>
    </row>
    <row r="111" spans="1:41">
      <c r="A111" s="3">
        <v>105</v>
      </c>
      <c r="B111" s="210"/>
      <c r="C111" s="122" t="s">
        <v>321</v>
      </c>
      <c r="D111" s="123" t="s">
        <v>87</v>
      </c>
      <c r="E111" s="123">
        <v>15</v>
      </c>
      <c r="F111" s="124" t="s">
        <v>194</v>
      </c>
      <c r="G111" s="90" t="s">
        <v>322</v>
      </c>
      <c r="H111" s="22"/>
      <c r="I111" s="22"/>
      <c r="J111" s="13" t="s">
        <v>89</v>
      </c>
      <c r="K111" s="13"/>
      <c r="L111" s="11"/>
      <c r="M111" s="11"/>
      <c r="N111" s="13"/>
      <c r="O111" s="13"/>
      <c r="P111" s="11"/>
      <c r="Q111" s="11"/>
      <c r="R111" s="13"/>
      <c r="S111" s="13"/>
      <c r="T111" s="11"/>
      <c r="U111" s="11"/>
      <c r="V111" s="13"/>
      <c r="W111" s="13"/>
      <c r="X111" s="11"/>
      <c r="Y111" s="11"/>
      <c r="Z111" s="13"/>
      <c r="AA111" s="13"/>
      <c r="AB111" s="11"/>
      <c r="AC111" s="11"/>
      <c r="AD111" s="13"/>
      <c r="AE111" s="13"/>
      <c r="AF111" s="11"/>
      <c r="AG111" s="11"/>
      <c r="AH111" s="13"/>
      <c r="AI111" s="13"/>
      <c r="AJ111" s="11"/>
      <c r="AK111" s="11"/>
      <c r="AL111" s="13"/>
      <c r="AM111" s="13"/>
      <c r="AN111" s="11"/>
      <c r="AO111" s="11"/>
    </row>
    <row r="112" spans="1:41" ht="39">
      <c r="A112" s="3">
        <v>106</v>
      </c>
      <c r="B112" s="210"/>
      <c r="C112" s="8" t="s">
        <v>323</v>
      </c>
      <c r="D112" s="20" t="s">
        <v>197</v>
      </c>
      <c r="E112" s="20">
        <v>200</v>
      </c>
      <c r="F112" s="90" t="s">
        <v>198</v>
      </c>
      <c r="G112" s="90" t="s">
        <v>324</v>
      </c>
      <c r="H112" s="22"/>
      <c r="I112" s="22"/>
      <c r="J112" s="13" t="s">
        <v>89</v>
      </c>
      <c r="K112" s="13"/>
      <c r="L112" s="11"/>
      <c r="M112" s="11"/>
      <c r="N112" s="13"/>
      <c r="O112" s="13"/>
      <c r="P112" s="11"/>
      <c r="Q112" s="11"/>
      <c r="R112" s="13"/>
      <c r="S112" s="13"/>
      <c r="T112" s="11"/>
      <c r="U112" s="11"/>
      <c r="V112" s="13"/>
      <c r="W112" s="13"/>
      <c r="X112" s="11"/>
      <c r="Y112" s="11"/>
      <c r="Z112" s="13"/>
      <c r="AA112" s="13"/>
      <c r="AB112" s="11"/>
      <c r="AC112" s="11"/>
      <c r="AD112" s="13"/>
      <c r="AE112" s="13"/>
      <c r="AF112" s="11"/>
      <c r="AG112" s="11"/>
      <c r="AH112" s="13"/>
      <c r="AI112" s="13"/>
      <c r="AJ112" s="11"/>
      <c r="AK112" s="11"/>
      <c r="AL112" s="13"/>
      <c r="AM112" s="13"/>
      <c r="AN112" s="11"/>
      <c r="AO112" s="11"/>
    </row>
    <row r="113" spans="1:41">
      <c r="A113" s="3">
        <v>107</v>
      </c>
      <c r="B113" s="210"/>
      <c r="C113" s="8" t="s">
        <v>325</v>
      </c>
      <c r="D113" s="20" t="s">
        <v>87</v>
      </c>
      <c r="E113" s="20">
        <v>100</v>
      </c>
      <c r="F113" s="90"/>
      <c r="G113" s="90" t="s">
        <v>326</v>
      </c>
      <c r="H113" s="22"/>
      <c r="I113" s="22"/>
      <c r="J113" s="13" t="s">
        <v>89</v>
      </c>
      <c r="K113" s="13"/>
      <c r="L113" s="11"/>
      <c r="M113" s="11"/>
      <c r="N113" s="13"/>
      <c r="O113" s="13"/>
      <c r="P113" s="11"/>
      <c r="Q113" s="11"/>
      <c r="R113" s="13"/>
      <c r="S113" s="13"/>
      <c r="T113" s="11"/>
      <c r="U113" s="11"/>
      <c r="V113" s="13"/>
      <c r="W113" s="13"/>
      <c r="X113" s="11"/>
      <c r="Y113" s="11"/>
      <c r="Z113" s="13"/>
      <c r="AA113" s="13"/>
      <c r="AB113" s="11"/>
      <c r="AC113" s="11"/>
      <c r="AD113" s="13"/>
      <c r="AE113" s="13"/>
      <c r="AF113" s="11"/>
      <c r="AG113" s="11"/>
      <c r="AH113" s="13"/>
      <c r="AI113" s="13"/>
      <c r="AJ113" s="11"/>
      <c r="AK113" s="11"/>
      <c r="AL113" s="13"/>
      <c r="AM113" s="13"/>
      <c r="AN113" s="11"/>
      <c r="AO113" s="11"/>
    </row>
    <row r="114" spans="1:41">
      <c r="A114" s="3">
        <v>108</v>
      </c>
      <c r="B114" s="210"/>
      <c r="C114" s="8" t="s">
        <v>135</v>
      </c>
      <c r="D114" s="20" t="s">
        <v>87</v>
      </c>
      <c r="E114" s="20">
        <v>100</v>
      </c>
      <c r="F114" s="90"/>
      <c r="G114" s="90" t="s">
        <v>136</v>
      </c>
      <c r="H114" s="22"/>
      <c r="I114" s="22"/>
      <c r="J114" s="13" t="s">
        <v>89</v>
      </c>
      <c r="K114" s="13"/>
      <c r="L114" s="11"/>
      <c r="M114" s="11"/>
      <c r="N114" s="13"/>
      <c r="O114" s="13"/>
      <c r="P114" s="11"/>
      <c r="Q114" s="11"/>
      <c r="R114" s="13"/>
      <c r="S114" s="13"/>
      <c r="T114" s="11"/>
      <c r="U114" s="11"/>
      <c r="V114" s="13"/>
      <c r="W114" s="13"/>
      <c r="X114" s="11"/>
      <c r="Y114" s="11"/>
      <c r="Z114" s="13"/>
      <c r="AA114" s="13"/>
      <c r="AB114" s="11"/>
      <c r="AC114" s="11"/>
      <c r="AD114" s="13"/>
      <c r="AE114" s="13"/>
      <c r="AF114" s="11"/>
      <c r="AG114" s="11"/>
      <c r="AH114" s="13"/>
      <c r="AI114" s="13"/>
      <c r="AJ114" s="11"/>
      <c r="AK114" s="11"/>
      <c r="AL114" s="13"/>
      <c r="AM114" s="13"/>
      <c r="AN114" s="11"/>
      <c r="AO114" s="11"/>
    </row>
    <row r="115" spans="1:41">
      <c r="A115" s="3">
        <v>109</v>
      </c>
      <c r="B115" s="210"/>
      <c r="C115" s="8" t="s">
        <v>137</v>
      </c>
      <c r="D115" s="20" t="s">
        <v>87</v>
      </c>
      <c r="E115" s="20">
        <v>100</v>
      </c>
      <c r="F115" s="90"/>
      <c r="G115" s="90" t="s">
        <v>138</v>
      </c>
      <c r="H115" s="22"/>
      <c r="I115" s="22"/>
      <c r="J115" s="13" t="s">
        <v>89</v>
      </c>
      <c r="K115" s="13"/>
      <c r="L115" s="11"/>
      <c r="M115" s="11"/>
      <c r="N115" s="13"/>
      <c r="O115" s="13"/>
      <c r="P115" s="11"/>
      <c r="Q115" s="11"/>
      <c r="R115" s="13"/>
      <c r="S115" s="13"/>
      <c r="T115" s="11"/>
      <c r="U115" s="11"/>
      <c r="V115" s="13"/>
      <c r="W115" s="13"/>
      <c r="X115" s="11"/>
      <c r="Y115" s="11"/>
      <c r="Z115" s="13"/>
      <c r="AA115" s="13"/>
      <c r="AB115" s="11"/>
      <c r="AC115" s="11"/>
      <c r="AD115" s="13"/>
      <c r="AE115" s="13"/>
      <c r="AF115" s="11"/>
      <c r="AG115" s="11"/>
      <c r="AH115" s="13"/>
      <c r="AI115" s="13"/>
      <c r="AJ115" s="11"/>
      <c r="AK115" s="11"/>
      <c r="AL115" s="13"/>
      <c r="AM115" s="13"/>
      <c r="AN115" s="11"/>
      <c r="AO115" s="11"/>
    </row>
    <row r="116" spans="1:41">
      <c r="A116" s="3">
        <v>110</v>
      </c>
      <c r="B116" s="210"/>
      <c r="C116" s="8" t="s">
        <v>327</v>
      </c>
      <c r="D116" s="20" t="s">
        <v>87</v>
      </c>
      <c r="E116" s="20">
        <v>100</v>
      </c>
      <c r="F116" s="90"/>
      <c r="G116" s="90" t="s">
        <v>141</v>
      </c>
      <c r="H116" s="22"/>
      <c r="I116" s="22"/>
      <c r="J116" s="13" t="s">
        <v>89</v>
      </c>
      <c r="K116" s="13"/>
      <c r="L116" s="11"/>
      <c r="M116" s="11"/>
      <c r="N116" s="13"/>
      <c r="O116" s="13"/>
      <c r="P116" s="11"/>
      <c r="Q116" s="11"/>
      <c r="R116" s="13"/>
      <c r="S116" s="13"/>
      <c r="T116" s="11"/>
      <c r="U116" s="11"/>
      <c r="V116" s="13"/>
      <c r="W116" s="13"/>
      <c r="X116" s="11"/>
      <c r="Y116" s="11"/>
      <c r="Z116" s="13"/>
      <c r="AA116" s="13"/>
      <c r="AB116" s="11"/>
      <c r="AC116" s="11"/>
      <c r="AD116" s="13"/>
      <c r="AE116" s="13"/>
      <c r="AF116" s="11"/>
      <c r="AG116" s="11"/>
      <c r="AH116" s="13"/>
      <c r="AI116" s="13"/>
      <c r="AJ116" s="11"/>
      <c r="AK116" s="11"/>
      <c r="AL116" s="13"/>
      <c r="AM116" s="13"/>
      <c r="AN116" s="11"/>
      <c r="AO116" s="11"/>
    </row>
    <row r="117" spans="1:41">
      <c r="A117" s="3">
        <v>111</v>
      </c>
      <c r="B117" s="210"/>
      <c r="C117" s="8" t="s">
        <v>328</v>
      </c>
      <c r="D117" s="20" t="s">
        <v>87</v>
      </c>
      <c r="E117" s="20">
        <v>100</v>
      </c>
      <c r="F117" s="90"/>
      <c r="G117" s="90" t="s">
        <v>143</v>
      </c>
      <c r="H117" s="22"/>
      <c r="I117" s="22"/>
      <c r="J117" s="13" t="s">
        <v>89</v>
      </c>
      <c r="K117" s="13"/>
      <c r="L117" s="11"/>
      <c r="M117" s="11"/>
      <c r="N117" s="13"/>
      <c r="O117" s="13"/>
      <c r="P117" s="11"/>
      <c r="Q117" s="11"/>
      <c r="R117" s="13"/>
      <c r="S117" s="13"/>
      <c r="T117" s="11"/>
      <c r="U117" s="11"/>
      <c r="V117" s="13"/>
      <c r="W117" s="13"/>
      <c r="X117" s="11"/>
      <c r="Y117" s="11"/>
      <c r="Z117" s="13"/>
      <c r="AA117" s="13"/>
      <c r="AB117" s="11"/>
      <c r="AC117" s="11"/>
      <c r="AD117" s="13"/>
      <c r="AE117" s="13"/>
      <c r="AF117" s="11"/>
      <c r="AG117" s="11"/>
      <c r="AH117" s="13"/>
      <c r="AI117" s="13"/>
      <c r="AJ117" s="11"/>
      <c r="AK117" s="11"/>
      <c r="AL117" s="13"/>
      <c r="AM117" s="13"/>
      <c r="AN117" s="11"/>
      <c r="AO117" s="11"/>
    </row>
    <row r="118" spans="1:41" ht="43.5">
      <c r="A118" s="3">
        <v>112</v>
      </c>
      <c r="B118" s="210"/>
      <c r="C118" s="8" t="s">
        <v>329</v>
      </c>
      <c r="D118" s="25" t="s">
        <v>330</v>
      </c>
      <c r="E118" s="20"/>
      <c r="F118" s="90" t="s">
        <v>99</v>
      </c>
      <c r="G118" s="90" t="s">
        <v>331</v>
      </c>
      <c r="H118" s="22"/>
      <c r="I118" s="22"/>
      <c r="J118" s="13" t="s">
        <v>89</v>
      </c>
      <c r="K118" s="13"/>
      <c r="L118" s="11"/>
      <c r="M118" s="11"/>
      <c r="N118" s="13"/>
      <c r="O118" s="13"/>
      <c r="P118" s="11"/>
      <c r="Q118" s="11"/>
      <c r="R118" s="13"/>
      <c r="S118" s="13"/>
      <c r="T118" s="11"/>
      <c r="U118" s="11"/>
      <c r="V118" s="13"/>
      <c r="W118" s="13"/>
      <c r="X118" s="11"/>
      <c r="Y118" s="11"/>
      <c r="Z118" s="13"/>
      <c r="AA118" s="13"/>
      <c r="AB118" s="11"/>
      <c r="AC118" s="11"/>
      <c r="AD118" s="13"/>
      <c r="AE118" s="13"/>
      <c r="AF118" s="11"/>
      <c r="AG118" s="11"/>
      <c r="AH118" s="13"/>
      <c r="AI118" s="13"/>
      <c r="AJ118" s="11"/>
      <c r="AK118" s="11"/>
      <c r="AL118" s="13"/>
      <c r="AM118" s="13"/>
      <c r="AN118" s="11"/>
      <c r="AO118" s="11"/>
    </row>
    <row r="119" spans="1:41" ht="15.75" customHeight="1">
      <c r="A119" s="3">
        <v>113</v>
      </c>
      <c r="B119" s="211"/>
      <c r="C119" s="8" t="s">
        <v>332</v>
      </c>
      <c r="D119" s="20" t="s">
        <v>163</v>
      </c>
      <c r="E119" s="20"/>
      <c r="F119" s="90"/>
      <c r="G119" s="90" t="s">
        <v>333</v>
      </c>
      <c r="H119" s="22"/>
      <c r="I119" s="22"/>
      <c r="J119" s="13" t="s">
        <v>89</v>
      </c>
      <c r="K119" s="13"/>
      <c r="L119" s="11"/>
      <c r="M119" s="11"/>
      <c r="N119" s="13"/>
      <c r="O119" s="13"/>
      <c r="P119" s="11"/>
      <c r="Q119" s="11"/>
      <c r="R119" s="13"/>
      <c r="S119" s="13"/>
      <c r="T119" s="11"/>
      <c r="U119" s="11"/>
      <c r="V119" s="13"/>
      <c r="W119" s="13"/>
      <c r="X119" s="11"/>
      <c r="Y119" s="11"/>
      <c r="Z119" s="13"/>
      <c r="AA119" s="13"/>
      <c r="AB119" s="11"/>
      <c r="AC119" s="11"/>
      <c r="AD119" s="13"/>
      <c r="AE119" s="13"/>
      <c r="AF119" s="11"/>
      <c r="AG119" s="11"/>
      <c r="AH119" s="13"/>
      <c r="AI119" s="13"/>
      <c r="AJ119" s="11"/>
      <c r="AK119" s="11"/>
      <c r="AL119" s="13"/>
      <c r="AM119" s="13"/>
      <c r="AN119" s="11"/>
      <c r="AO119" s="11"/>
    </row>
    <row r="120" spans="1:41" ht="29.25" customHeight="1">
      <c r="A120" s="3">
        <v>114</v>
      </c>
      <c r="B120" s="202" t="s">
        <v>334</v>
      </c>
      <c r="C120" s="117" t="s">
        <v>335</v>
      </c>
      <c r="D120" s="24" t="s">
        <v>336</v>
      </c>
      <c r="E120" s="125"/>
      <c r="F120" s="126" t="s">
        <v>337</v>
      </c>
      <c r="G120" s="17" t="s">
        <v>338</v>
      </c>
      <c r="H120" s="22"/>
      <c r="I120" s="22"/>
      <c r="J120" s="13" t="s">
        <v>89</v>
      </c>
      <c r="K120" s="13"/>
      <c r="L120" s="11"/>
      <c r="M120" s="11"/>
      <c r="N120" s="13"/>
      <c r="O120" s="13"/>
      <c r="P120" s="11"/>
      <c r="Q120" s="11"/>
      <c r="R120" s="13"/>
      <c r="S120" s="13"/>
      <c r="T120" s="11"/>
      <c r="U120" s="11"/>
      <c r="V120" s="13"/>
      <c r="W120" s="13"/>
      <c r="X120" s="11"/>
      <c r="Y120" s="11"/>
      <c r="Z120" s="13"/>
      <c r="AA120" s="13"/>
      <c r="AB120" s="11"/>
      <c r="AC120" s="11"/>
      <c r="AD120" s="13"/>
      <c r="AE120" s="13"/>
      <c r="AF120" s="11"/>
      <c r="AG120" s="11"/>
      <c r="AH120" s="13"/>
      <c r="AI120" s="13"/>
      <c r="AJ120" s="11"/>
      <c r="AK120" s="11"/>
      <c r="AL120" s="13"/>
      <c r="AM120" s="13"/>
      <c r="AN120" s="11"/>
      <c r="AO120" s="11"/>
    </row>
    <row r="121" spans="1:41">
      <c r="A121" s="3">
        <v>115</v>
      </c>
      <c r="B121" s="202"/>
      <c r="C121" s="7" t="s">
        <v>339</v>
      </c>
      <c r="D121" s="19" t="s">
        <v>113</v>
      </c>
      <c r="E121" s="19"/>
      <c r="F121" s="17" t="s">
        <v>295</v>
      </c>
      <c r="G121" s="17" t="s">
        <v>340</v>
      </c>
      <c r="H121" s="22"/>
      <c r="I121" s="22"/>
      <c r="J121" s="13" t="s">
        <v>89</v>
      </c>
      <c r="K121" s="13"/>
      <c r="L121" s="11"/>
      <c r="M121" s="11"/>
      <c r="N121" s="13"/>
      <c r="O121" s="13"/>
      <c r="P121" s="11"/>
      <c r="Q121" s="11"/>
      <c r="R121" s="13"/>
      <c r="S121" s="13"/>
      <c r="T121" s="11"/>
      <c r="U121" s="11"/>
      <c r="V121" s="13"/>
      <c r="W121" s="13"/>
      <c r="X121" s="11"/>
      <c r="Y121" s="11"/>
      <c r="Z121" s="13"/>
      <c r="AA121" s="13"/>
      <c r="AB121" s="11"/>
      <c r="AC121" s="11"/>
      <c r="AD121" s="13"/>
      <c r="AE121" s="13"/>
      <c r="AF121" s="11"/>
      <c r="AG121" s="11"/>
      <c r="AH121" s="13"/>
      <c r="AI121" s="13"/>
      <c r="AJ121" s="11"/>
      <c r="AK121" s="11"/>
      <c r="AL121" s="13"/>
      <c r="AM121" s="13"/>
      <c r="AN121" s="11"/>
      <c r="AO121" s="11"/>
    </row>
    <row r="122" spans="1:41">
      <c r="A122" s="3">
        <v>116</v>
      </c>
      <c r="B122" s="202"/>
      <c r="C122" s="7" t="s">
        <v>341</v>
      </c>
      <c r="D122" s="19" t="s">
        <v>105</v>
      </c>
      <c r="E122" s="19"/>
      <c r="F122" s="17" t="s">
        <v>179</v>
      </c>
      <c r="G122" s="17" t="s">
        <v>342</v>
      </c>
      <c r="H122" s="22"/>
      <c r="I122" s="22"/>
      <c r="J122" s="13" t="s">
        <v>89</v>
      </c>
      <c r="K122" s="13"/>
      <c r="L122" s="11"/>
      <c r="M122" s="11"/>
      <c r="N122" s="13"/>
      <c r="O122" s="13"/>
      <c r="P122" s="11"/>
      <c r="Q122" s="11"/>
      <c r="R122" s="13"/>
      <c r="S122" s="13"/>
      <c r="T122" s="11"/>
      <c r="U122" s="11"/>
      <c r="V122" s="13"/>
      <c r="W122" s="13"/>
      <c r="X122" s="11"/>
      <c r="Y122" s="11"/>
      <c r="Z122" s="13"/>
      <c r="AA122" s="13"/>
      <c r="AB122" s="11"/>
      <c r="AC122" s="11"/>
      <c r="AD122" s="13"/>
      <c r="AE122" s="13"/>
      <c r="AF122" s="11"/>
      <c r="AG122" s="11"/>
      <c r="AH122" s="13"/>
      <c r="AI122" s="13"/>
      <c r="AJ122" s="11"/>
      <c r="AK122" s="11"/>
      <c r="AL122" s="13"/>
      <c r="AM122" s="13"/>
      <c r="AN122" s="11"/>
      <c r="AO122" s="11"/>
    </row>
    <row r="123" spans="1:41">
      <c r="A123" s="3">
        <v>117</v>
      </c>
      <c r="B123" s="202"/>
      <c r="C123" s="7" t="s">
        <v>343</v>
      </c>
      <c r="D123" s="19" t="s">
        <v>163</v>
      </c>
      <c r="E123" s="19"/>
      <c r="F123" s="17"/>
      <c r="G123" s="17" t="s">
        <v>344</v>
      </c>
      <c r="H123" s="22"/>
      <c r="I123" s="22"/>
      <c r="J123" s="13" t="s">
        <v>89</v>
      </c>
      <c r="K123" s="13"/>
      <c r="L123" s="11"/>
      <c r="M123" s="11"/>
      <c r="N123" s="13"/>
      <c r="O123" s="13"/>
      <c r="P123" s="11"/>
      <c r="Q123" s="11"/>
      <c r="R123" s="13"/>
      <c r="S123" s="13"/>
      <c r="T123" s="11"/>
      <c r="U123" s="11"/>
      <c r="V123" s="13"/>
      <c r="W123" s="13"/>
      <c r="X123" s="11"/>
      <c r="Y123" s="11"/>
      <c r="Z123" s="13"/>
      <c r="AA123" s="13"/>
      <c r="AB123" s="11"/>
      <c r="AC123" s="11"/>
      <c r="AD123" s="13"/>
      <c r="AE123" s="13"/>
      <c r="AF123" s="11"/>
      <c r="AG123" s="11"/>
      <c r="AH123" s="13"/>
      <c r="AI123" s="13"/>
      <c r="AJ123" s="11"/>
      <c r="AK123" s="11"/>
      <c r="AL123" s="13"/>
      <c r="AM123" s="13"/>
      <c r="AN123" s="11"/>
      <c r="AO123" s="11"/>
    </row>
    <row r="124" spans="1:41">
      <c r="A124" s="3">
        <v>118</v>
      </c>
      <c r="B124" s="202"/>
      <c r="C124" s="7" t="s">
        <v>345</v>
      </c>
      <c r="D124" s="19" t="s">
        <v>163</v>
      </c>
      <c r="E124" s="19"/>
      <c r="F124" s="17"/>
      <c r="G124" s="17" t="s">
        <v>346</v>
      </c>
      <c r="H124" s="22"/>
      <c r="I124" s="22"/>
      <c r="J124" s="13" t="s">
        <v>89</v>
      </c>
      <c r="K124" s="13"/>
      <c r="L124" s="11"/>
      <c r="M124" s="11"/>
      <c r="N124" s="13"/>
      <c r="O124" s="13"/>
      <c r="P124" s="11"/>
      <c r="Q124" s="11"/>
      <c r="R124" s="13"/>
      <c r="S124" s="13"/>
      <c r="T124" s="11"/>
      <c r="U124" s="11"/>
      <c r="V124" s="13"/>
      <c r="W124" s="13"/>
      <c r="X124" s="11"/>
      <c r="Y124" s="11"/>
      <c r="Z124" s="13"/>
      <c r="AA124" s="13"/>
      <c r="AB124" s="11"/>
      <c r="AC124" s="11"/>
      <c r="AD124" s="13"/>
      <c r="AE124" s="13"/>
      <c r="AF124" s="11"/>
      <c r="AG124" s="11"/>
      <c r="AH124" s="13"/>
      <c r="AI124" s="13"/>
      <c r="AJ124" s="11"/>
      <c r="AK124" s="11"/>
      <c r="AL124" s="13"/>
      <c r="AM124" s="13"/>
      <c r="AN124" s="11"/>
      <c r="AO124" s="11"/>
    </row>
    <row r="125" spans="1:41">
      <c r="A125" s="3">
        <v>119</v>
      </c>
      <c r="B125" s="202"/>
      <c r="C125" s="7" t="s">
        <v>347</v>
      </c>
      <c r="D125" s="19" t="s">
        <v>87</v>
      </c>
      <c r="E125" s="19">
        <v>500</v>
      </c>
      <c r="F125" s="17"/>
      <c r="G125" s="17" t="s">
        <v>348</v>
      </c>
      <c r="H125" s="22"/>
      <c r="I125" s="22"/>
      <c r="J125" s="13" t="s">
        <v>89</v>
      </c>
      <c r="K125" s="13"/>
      <c r="L125" s="11"/>
      <c r="M125" s="11"/>
      <c r="N125" s="13"/>
      <c r="O125" s="13"/>
      <c r="P125" s="11"/>
      <c r="Q125" s="11"/>
      <c r="R125" s="13"/>
      <c r="S125" s="13"/>
      <c r="T125" s="11"/>
      <c r="U125" s="11"/>
      <c r="V125" s="13"/>
      <c r="W125" s="13"/>
      <c r="X125" s="11"/>
      <c r="Y125" s="11"/>
      <c r="Z125" s="13"/>
      <c r="AA125" s="13"/>
      <c r="AB125" s="11"/>
      <c r="AC125" s="11"/>
      <c r="AD125" s="13"/>
      <c r="AE125" s="13"/>
      <c r="AF125" s="11"/>
      <c r="AG125" s="11"/>
      <c r="AH125" s="13"/>
      <c r="AI125" s="13"/>
      <c r="AJ125" s="11"/>
      <c r="AK125" s="11"/>
      <c r="AL125" s="13"/>
      <c r="AM125" s="13"/>
      <c r="AN125" s="11"/>
      <c r="AO125" s="11"/>
    </row>
    <row r="126" spans="1:41">
      <c r="A126" s="3">
        <v>120</v>
      </c>
      <c r="B126" s="202"/>
      <c r="C126" s="7" t="s">
        <v>349</v>
      </c>
      <c r="D126" s="19" t="s">
        <v>87</v>
      </c>
      <c r="E126" s="19">
        <v>100</v>
      </c>
      <c r="F126" s="17" t="s">
        <v>172</v>
      </c>
      <c r="G126" s="17" t="s">
        <v>350</v>
      </c>
      <c r="H126" s="22"/>
      <c r="I126" s="22"/>
      <c r="J126" s="13" t="s">
        <v>89</v>
      </c>
      <c r="K126" s="13"/>
      <c r="L126" s="11"/>
      <c r="M126" s="11"/>
      <c r="N126" s="13"/>
      <c r="O126" s="13"/>
      <c r="P126" s="11"/>
      <c r="Q126" s="11"/>
      <c r="R126" s="13"/>
      <c r="S126" s="13"/>
      <c r="T126" s="11"/>
      <c r="U126" s="11"/>
      <c r="V126" s="13"/>
      <c r="W126" s="13"/>
      <c r="X126" s="11"/>
      <c r="Y126" s="11"/>
      <c r="Z126" s="13"/>
      <c r="AA126" s="13"/>
      <c r="AB126" s="11"/>
      <c r="AC126" s="11"/>
      <c r="AD126" s="13"/>
      <c r="AE126" s="13"/>
      <c r="AF126" s="11"/>
      <c r="AG126" s="11"/>
      <c r="AH126" s="13"/>
      <c r="AI126" s="13"/>
      <c r="AJ126" s="11"/>
      <c r="AK126" s="11"/>
      <c r="AL126" s="13"/>
      <c r="AM126" s="13"/>
      <c r="AN126" s="11"/>
      <c r="AO126" s="11"/>
    </row>
    <row r="127" spans="1:41" ht="43.5">
      <c r="A127" s="3">
        <v>121</v>
      </c>
      <c r="B127" s="202"/>
      <c r="C127" s="7" t="s">
        <v>351</v>
      </c>
      <c r="D127" s="24" t="s">
        <v>190</v>
      </c>
      <c r="E127" s="19"/>
      <c r="F127" s="17" t="s">
        <v>191</v>
      </c>
      <c r="G127" s="17" t="s">
        <v>352</v>
      </c>
      <c r="H127" s="22"/>
      <c r="I127" s="22"/>
      <c r="J127" s="13" t="s">
        <v>89</v>
      </c>
      <c r="K127" s="13"/>
      <c r="L127" s="11"/>
      <c r="M127" s="11"/>
      <c r="N127" s="13"/>
      <c r="O127" s="13"/>
      <c r="P127" s="11"/>
      <c r="Q127" s="11"/>
      <c r="R127" s="13"/>
      <c r="S127" s="13"/>
      <c r="T127" s="11"/>
      <c r="U127" s="11"/>
      <c r="V127" s="13"/>
      <c r="W127" s="13"/>
      <c r="X127" s="11"/>
      <c r="Y127" s="11"/>
      <c r="Z127" s="13"/>
      <c r="AA127" s="13"/>
      <c r="AB127" s="11"/>
      <c r="AC127" s="11"/>
      <c r="AD127" s="13"/>
      <c r="AE127" s="13"/>
      <c r="AF127" s="11"/>
      <c r="AG127" s="11"/>
      <c r="AH127" s="13"/>
      <c r="AI127" s="13"/>
      <c r="AJ127" s="11"/>
      <c r="AK127" s="11"/>
      <c r="AL127" s="13"/>
      <c r="AM127" s="13"/>
      <c r="AN127" s="11"/>
      <c r="AO127" s="11"/>
    </row>
    <row r="128" spans="1:41">
      <c r="A128" s="3">
        <v>122</v>
      </c>
      <c r="B128" s="202"/>
      <c r="C128" s="7" t="s">
        <v>353</v>
      </c>
      <c r="D128" s="19" t="s">
        <v>87</v>
      </c>
      <c r="E128" s="19">
        <v>15</v>
      </c>
      <c r="F128" s="17" t="s">
        <v>194</v>
      </c>
      <c r="G128" s="17" t="s">
        <v>354</v>
      </c>
      <c r="H128" s="22"/>
      <c r="I128" s="22"/>
      <c r="J128" s="13" t="s">
        <v>89</v>
      </c>
      <c r="K128" s="13"/>
      <c r="L128" s="11"/>
      <c r="M128" s="11"/>
      <c r="N128" s="13"/>
      <c r="O128" s="13"/>
      <c r="P128" s="11"/>
      <c r="Q128" s="11"/>
      <c r="R128" s="13"/>
      <c r="S128" s="13"/>
      <c r="T128" s="11"/>
      <c r="U128" s="11"/>
      <c r="V128" s="13"/>
      <c r="W128" s="13"/>
      <c r="X128" s="11"/>
      <c r="Y128" s="11"/>
      <c r="Z128" s="13"/>
      <c r="AA128" s="13"/>
      <c r="AB128" s="11"/>
      <c r="AC128" s="11"/>
      <c r="AD128" s="13"/>
      <c r="AE128" s="13"/>
      <c r="AF128" s="11"/>
      <c r="AG128" s="11"/>
      <c r="AH128" s="13"/>
      <c r="AI128" s="13"/>
      <c r="AJ128" s="11"/>
      <c r="AK128" s="11"/>
      <c r="AL128" s="13"/>
      <c r="AM128" s="13"/>
      <c r="AN128" s="11"/>
      <c r="AO128" s="11"/>
    </row>
    <row r="129" spans="1:41" ht="43.5">
      <c r="A129" s="3">
        <v>123</v>
      </c>
      <c r="B129" s="202"/>
      <c r="C129" s="7" t="s">
        <v>355</v>
      </c>
      <c r="D129" s="24" t="s">
        <v>190</v>
      </c>
      <c r="E129" s="19"/>
      <c r="F129" s="17" t="s">
        <v>191</v>
      </c>
      <c r="G129" s="17" t="s">
        <v>356</v>
      </c>
      <c r="H129" s="22"/>
      <c r="I129" s="22"/>
      <c r="J129" s="13" t="s">
        <v>89</v>
      </c>
      <c r="K129" s="13"/>
      <c r="L129" s="11"/>
      <c r="M129" s="11"/>
      <c r="N129" s="13"/>
      <c r="O129" s="13"/>
      <c r="P129" s="11"/>
      <c r="Q129" s="11"/>
      <c r="R129" s="13"/>
      <c r="S129" s="13"/>
      <c r="T129" s="11"/>
      <c r="U129" s="11"/>
      <c r="V129" s="13"/>
      <c r="W129" s="13"/>
      <c r="X129" s="11"/>
      <c r="Y129" s="11"/>
      <c r="Z129" s="13"/>
      <c r="AA129" s="13"/>
      <c r="AB129" s="11"/>
      <c r="AC129" s="11"/>
      <c r="AD129" s="13"/>
      <c r="AE129" s="13"/>
      <c r="AF129" s="11"/>
      <c r="AG129" s="11"/>
      <c r="AH129" s="13"/>
      <c r="AI129" s="13"/>
      <c r="AJ129" s="11"/>
      <c r="AK129" s="11"/>
      <c r="AL129" s="13"/>
      <c r="AM129" s="13"/>
      <c r="AN129" s="11"/>
      <c r="AO129" s="11"/>
    </row>
    <row r="130" spans="1:41">
      <c r="A130" s="3">
        <v>124</v>
      </c>
      <c r="B130" s="202"/>
      <c r="C130" s="7" t="s">
        <v>357</v>
      </c>
      <c r="D130" s="19" t="s">
        <v>87</v>
      </c>
      <c r="E130" s="19">
        <v>15</v>
      </c>
      <c r="F130" s="17" t="s">
        <v>194</v>
      </c>
      <c r="G130" s="17" t="s">
        <v>358</v>
      </c>
      <c r="H130" s="22"/>
      <c r="I130" s="22"/>
      <c r="J130" s="13" t="s">
        <v>89</v>
      </c>
      <c r="K130" s="13"/>
      <c r="L130" s="11"/>
      <c r="M130" s="11"/>
      <c r="N130" s="13"/>
      <c r="O130" s="13"/>
      <c r="P130" s="11"/>
      <c r="Q130" s="11"/>
      <c r="R130" s="13"/>
      <c r="S130" s="13"/>
      <c r="T130" s="11"/>
      <c r="U130" s="11"/>
      <c r="V130" s="13"/>
      <c r="W130" s="13"/>
      <c r="X130" s="11"/>
      <c r="Y130" s="11"/>
      <c r="Z130" s="13"/>
      <c r="AA130" s="13"/>
      <c r="AB130" s="11"/>
      <c r="AC130" s="11"/>
      <c r="AD130" s="13"/>
      <c r="AE130" s="13"/>
      <c r="AF130" s="11"/>
      <c r="AG130" s="11"/>
      <c r="AH130" s="13"/>
      <c r="AI130" s="13"/>
      <c r="AJ130" s="11"/>
      <c r="AK130" s="11"/>
      <c r="AL130" s="13"/>
      <c r="AM130" s="13"/>
      <c r="AN130" s="11"/>
      <c r="AO130" s="11"/>
    </row>
    <row r="131" spans="1:41" ht="39">
      <c r="A131" s="3">
        <v>125</v>
      </c>
      <c r="B131" s="202"/>
      <c r="C131" s="119" t="s">
        <v>359</v>
      </c>
      <c r="D131" s="120" t="s">
        <v>197</v>
      </c>
      <c r="E131" s="120">
        <v>200</v>
      </c>
      <c r="F131" s="121" t="s">
        <v>198</v>
      </c>
      <c r="G131" s="17" t="s">
        <v>360</v>
      </c>
      <c r="H131" s="22"/>
      <c r="I131" s="22"/>
      <c r="J131" s="13" t="s">
        <v>89</v>
      </c>
      <c r="K131" s="13"/>
      <c r="L131" s="11"/>
      <c r="M131" s="11"/>
      <c r="N131" s="13"/>
      <c r="O131" s="13"/>
      <c r="P131" s="11"/>
      <c r="Q131" s="11"/>
      <c r="R131" s="13"/>
      <c r="S131" s="13"/>
      <c r="T131" s="11"/>
      <c r="U131" s="11"/>
      <c r="V131" s="13"/>
      <c r="W131" s="13"/>
      <c r="X131" s="11"/>
      <c r="Y131" s="11"/>
      <c r="Z131" s="13"/>
      <c r="AA131" s="13"/>
      <c r="AB131" s="11"/>
      <c r="AC131" s="11"/>
      <c r="AD131" s="13"/>
      <c r="AE131" s="13"/>
      <c r="AF131" s="11"/>
      <c r="AG131" s="11"/>
      <c r="AH131" s="13"/>
      <c r="AI131" s="13"/>
      <c r="AJ131" s="11"/>
      <c r="AK131" s="11"/>
      <c r="AL131" s="13"/>
      <c r="AM131" s="13"/>
      <c r="AN131" s="11"/>
      <c r="AO131" s="11"/>
    </row>
    <row r="132" spans="1:41">
      <c r="A132" s="3">
        <v>126</v>
      </c>
      <c r="B132" s="202"/>
      <c r="C132" s="7" t="s">
        <v>361</v>
      </c>
      <c r="D132" s="19" t="s">
        <v>87</v>
      </c>
      <c r="E132" s="19">
        <v>100</v>
      </c>
      <c r="F132" s="17"/>
      <c r="G132" s="17" t="s">
        <v>362</v>
      </c>
      <c r="H132" s="22"/>
      <c r="I132" s="22"/>
      <c r="J132" s="13" t="s">
        <v>89</v>
      </c>
      <c r="K132" s="13"/>
      <c r="L132" s="11"/>
      <c r="M132" s="11"/>
      <c r="N132" s="13"/>
      <c r="O132" s="13"/>
      <c r="P132" s="11"/>
      <c r="Q132" s="11"/>
      <c r="R132" s="13"/>
      <c r="S132" s="13"/>
      <c r="T132" s="11"/>
      <c r="U132" s="11"/>
      <c r="V132" s="13"/>
      <c r="W132" s="13"/>
      <c r="X132" s="11"/>
      <c r="Y132" s="11"/>
      <c r="Z132" s="13"/>
      <c r="AA132" s="13"/>
      <c r="AB132" s="11"/>
      <c r="AC132" s="11"/>
      <c r="AD132" s="13"/>
      <c r="AE132" s="13"/>
      <c r="AF132" s="11"/>
      <c r="AG132" s="11"/>
      <c r="AH132" s="13"/>
      <c r="AI132" s="13"/>
      <c r="AJ132" s="11"/>
      <c r="AK132" s="11"/>
      <c r="AL132" s="13"/>
      <c r="AM132" s="13"/>
      <c r="AN132" s="11"/>
      <c r="AO132" s="11"/>
    </row>
    <row r="133" spans="1:41">
      <c r="A133" s="3">
        <v>127</v>
      </c>
      <c r="B133" s="200" t="s">
        <v>363</v>
      </c>
      <c r="C133" s="8" t="s">
        <v>364</v>
      </c>
      <c r="D133" s="20" t="s">
        <v>87</v>
      </c>
      <c r="E133" s="20">
        <v>500</v>
      </c>
      <c r="F133" s="90"/>
      <c r="G133" s="90" t="s">
        <v>365</v>
      </c>
      <c r="H133" s="22"/>
      <c r="I133" s="22"/>
      <c r="J133" s="13" t="s">
        <v>89</v>
      </c>
      <c r="K133" s="13"/>
      <c r="L133" s="11"/>
      <c r="M133" s="11"/>
      <c r="N133" s="13"/>
      <c r="O133" s="13"/>
      <c r="P133" s="11"/>
      <c r="Q133" s="11"/>
      <c r="R133" s="13"/>
      <c r="S133" s="13"/>
      <c r="T133" s="11"/>
      <c r="U133" s="11"/>
      <c r="V133" s="13"/>
      <c r="W133" s="13"/>
      <c r="X133" s="11"/>
      <c r="Y133" s="11"/>
      <c r="Z133" s="13"/>
      <c r="AA133" s="13"/>
      <c r="AB133" s="11"/>
      <c r="AC133" s="11"/>
      <c r="AD133" s="13"/>
      <c r="AE133" s="13"/>
      <c r="AF133" s="11"/>
      <c r="AG133" s="11"/>
      <c r="AH133" s="13"/>
      <c r="AI133" s="13"/>
      <c r="AJ133" s="11"/>
      <c r="AK133" s="11"/>
      <c r="AL133" s="13"/>
      <c r="AM133" s="13"/>
      <c r="AN133" s="11"/>
      <c r="AO133" s="11"/>
    </row>
    <row r="134" spans="1:41">
      <c r="A134" s="3">
        <v>128</v>
      </c>
      <c r="B134" s="201"/>
      <c r="C134" s="8" t="s">
        <v>366</v>
      </c>
      <c r="D134" s="20" t="s">
        <v>367</v>
      </c>
      <c r="E134" s="20"/>
      <c r="F134" s="90" t="s">
        <v>179</v>
      </c>
      <c r="G134" s="90" t="s">
        <v>368</v>
      </c>
      <c r="H134" s="22"/>
      <c r="I134" s="22"/>
      <c r="J134" s="13" t="s">
        <v>89</v>
      </c>
      <c r="K134" s="13"/>
      <c r="L134" s="11"/>
      <c r="M134" s="11"/>
      <c r="N134" s="13"/>
      <c r="O134" s="13"/>
      <c r="P134" s="11"/>
      <c r="Q134" s="11"/>
      <c r="R134" s="13"/>
      <c r="S134" s="13"/>
      <c r="T134" s="11"/>
      <c r="U134" s="11"/>
      <c r="V134" s="13"/>
      <c r="W134" s="13"/>
      <c r="X134" s="11"/>
      <c r="Y134" s="11"/>
      <c r="Z134" s="13"/>
      <c r="AA134" s="13"/>
      <c r="AB134" s="11"/>
      <c r="AC134" s="11"/>
      <c r="AD134" s="13"/>
      <c r="AE134" s="13"/>
      <c r="AF134" s="11"/>
      <c r="AG134" s="11"/>
      <c r="AH134" s="13"/>
      <c r="AI134" s="13"/>
      <c r="AJ134" s="11"/>
      <c r="AK134" s="11"/>
      <c r="AL134" s="13"/>
      <c r="AM134" s="13"/>
      <c r="AN134" s="11"/>
      <c r="AO134" s="11"/>
    </row>
    <row r="135" spans="1:41">
      <c r="A135" s="3">
        <v>129</v>
      </c>
      <c r="B135" s="201"/>
      <c r="C135" s="8" t="s">
        <v>369</v>
      </c>
      <c r="D135" s="20" t="s">
        <v>113</v>
      </c>
      <c r="E135" s="20"/>
      <c r="F135" s="133" t="s">
        <v>114</v>
      </c>
      <c r="G135" s="90" t="s">
        <v>370</v>
      </c>
      <c r="H135" s="22"/>
      <c r="I135" s="22"/>
      <c r="J135" s="13" t="s">
        <v>89</v>
      </c>
      <c r="K135" s="13"/>
      <c r="L135" s="11"/>
      <c r="M135" s="11"/>
      <c r="N135" s="13"/>
      <c r="O135" s="13"/>
      <c r="P135" s="11"/>
      <c r="Q135" s="11"/>
      <c r="R135" s="13"/>
      <c r="S135" s="13"/>
      <c r="T135" s="11"/>
      <c r="U135" s="11"/>
      <c r="V135" s="13"/>
      <c r="W135" s="13"/>
      <c r="X135" s="11"/>
      <c r="Y135" s="11"/>
      <c r="Z135" s="13"/>
      <c r="AA135" s="13"/>
      <c r="AB135" s="11"/>
      <c r="AC135" s="11"/>
      <c r="AD135" s="13"/>
      <c r="AE135" s="13"/>
      <c r="AF135" s="11"/>
      <c r="AG135" s="11"/>
      <c r="AH135" s="13"/>
      <c r="AI135" s="13"/>
      <c r="AJ135" s="11"/>
      <c r="AK135" s="11"/>
      <c r="AL135" s="13"/>
      <c r="AM135" s="13"/>
      <c r="AN135" s="11"/>
      <c r="AO135" s="11"/>
    </row>
    <row r="136" spans="1:41" ht="30" customHeight="1">
      <c r="A136" s="3">
        <v>130</v>
      </c>
      <c r="B136" s="202" t="s">
        <v>371</v>
      </c>
      <c r="C136" s="7" t="s">
        <v>372</v>
      </c>
      <c r="D136" s="19" t="s">
        <v>87</v>
      </c>
      <c r="E136" s="19">
        <v>100</v>
      </c>
      <c r="F136" s="17"/>
      <c r="G136" s="17" t="s">
        <v>373</v>
      </c>
      <c r="H136" s="22"/>
      <c r="I136" s="22"/>
      <c r="J136" s="13" t="s">
        <v>89</v>
      </c>
      <c r="K136" s="13"/>
      <c r="L136" s="11"/>
      <c r="M136" s="11"/>
      <c r="N136" s="13"/>
      <c r="O136" s="13"/>
      <c r="P136" s="11"/>
      <c r="Q136" s="11"/>
      <c r="R136" s="13"/>
      <c r="S136" s="13"/>
      <c r="T136" s="11"/>
      <c r="U136" s="11"/>
      <c r="V136" s="13"/>
      <c r="W136" s="13"/>
      <c r="X136" s="11"/>
      <c r="Y136" s="11"/>
      <c r="Z136" s="13"/>
      <c r="AA136" s="13"/>
      <c r="AB136" s="11"/>
      <c r="AC136" s="11"/>
      <c r="AD136" s="13"/>
      <c r="AE136" s="13"/>
      <c r="AF136" s="11"/>
      <c r="AG136" s="11"/>
      <c r="AH136" s="13"/>
      <c r="AI136" s="13"/>
      <c r="AJ136" s="11"/>
      <c r="AK136" s="11"/>
      <c r="AL136" s="13"/>
      <c r="AM136" s="13"/>
      <c r="AN136" s="11"/>
      <c r="AO136" s="11"/>
    </row>
    <row r="137" spans="1:41" ht="30" customHeight="1">
      <c r="A137" s="3">
        <v>131</v>
      </c>
      <c r="B137" s="202"/>
      <c r="C137" s="7" t="s">
        <v>374</v>
      </c>
      <c r="D137" s="19" t="s">
        <v>367</v>
      </c>
      <c r="E137" s="19"/>
      <c r="F137" s="17" t="s">
        <v>179</v>
      </c>
      <c r="G137" s="17" t="s">
        <v>375</v>
      </c>
      <c r="H137" s="22"/>
      <c r="I137" s="22"/>
      <c r="J137" s="13" t="s">
        <v>89</v>
      </c>
      <c r="K137" s="13"/>
      <c r="L137" s="11"/>
      <c r="M137" s="11"/>
      <c r="N137" s="13"/>
      <c r="O137" s="13"/>
      <c r="P137" s="11"/>
      <c r="Q137" s="11"/>
      <c r="R137" s="13"/>
      <c r="S137" s="13"/>
      <c r="T137" s="11"/>
      <c r="U137" s="11"/>
      <c r="V137" s="13"/>
      <c r="W137" s="13"/>
      <c r="X137" s="11"/>
      <c r="Y137" s="11"/>
      <c r="Z137" s="13"/>
      <c r="AA137" s="13"/>
      <c r="AB137" s="11"/>
      <c r="AC137" s="11"/>
      <c r="AD137" s="13"/>
      <c r="AE137" s="13"/>
      <c r="AF137" s="11"/>
      <c r="AG137" s="11"/>
      <c r="AH137" s="13"/>
      <c r="AI137" s="13"/>
      <c r="AJ137" s="11"/>
      <c r="AK137" s="11"/>
      <c r="AL137" s="13"/>
      <c r="AM137" s="13"/>
      <c r="AN137" s="11"/>
      <c r="AO137" s="11"/>
    </row>
    <row r="138" spans="1:41" ht="40.5" customHeight="1">
      <c r="A138" s="3">
        <v>132</v>
      </c>
      <c r="B138" s="73" t="s">
        <v>376</v>
      </c>
      <c r="C138" s="8" t="s">
        <v>377</v>
      </c>
      <c r="D138" s="20" t="s">
        <v>367</v>
      </c>
      <c r="E138" s="20"/>
      <c r="F138" s="90" t="s">
        <v>179</v>
      </c>
      <c r="G138" s="90" t="s">
        <v>378</v>
      </c>
      <c r="H138" s="22"/>
      <c r="I138" s="22"/>
      <c r="J138" s="13" t="s">
        <v>89</v>
      </c>
      <c r="K138" s="13"/>
      <c r="L138" s="11"/>
      <c r="M138" s="11"/>
      <c r="N138" s="13"/>
      <c r="O138" s="13"/>
      <c r="P138" s="11"/>
      <c r="Q138" s="11"/>
      <c r="R138" s="13"/>
      <c r="S138" s="13"/>
      <c r="T138" s="11"/>
      <c r="U138" s="11"/>
      <c r="V138" s="13"/>
      <c r="W138" s="13"/>
      <c r="X138" s="11"/>
      <c r="Y138" s="11"/>
      <c r="Z138" s="13"/>
      <c r="AA138" s="13"/>
      <c r="AB138" s="11"/>
      <c r="AC138" s="11"/>
      <c r="AD138" s="13"/>
      <c r="AE138" s="13"/>
      <c r="AF138" s="11"/>
      <c r="AG138" s="11"/>
      <c r="AH138" s="13"/>
      <c r="AI138" s="13"/>
      <c r="AJ138" s="11"/>
      <c r="AK138" s="11"/>
      <c r="AL138" s="13"/>
      <c r="AM138" s="13"/>
      <c r="AN138" s="11"/>
      <c r="AO138" s="11"/>
    </row>
    <row r="139" spans="1:41" ht="14.45" customHeight="1">
      <c r="A139" s="3">
        <v>133</v>
      </c>
      <c r="B139" s="201" t="s">
        <v>379</v>
      </c>
      <c r="C139" s="7" t="s">
        <v>380</v>
      </c>
      <c r="D139" s="19" t="s">
        <v>163</v>
      </c>
      <c r="E139" s="19"/>
      <c r="F139" s="17"/>
      <c r="G139" s="17" t="s">
        <v>381</v>
      </c>
      <c r="H139" s="22"/>
      <c r="I139" s="22"/>
      <c r="J139" s="13" t="s">
        <v>89</v>
      </c>
      <c r="K139" s="13"/>
      <c r="L139" s="11"/>
      <c r="M139" s="11"/>
      <c r="N139" s="13"/>
      <c r="O139" s="13"/>
      <c r="P139" s="11"/>
      <c r="Q139" s="11"/>
      <c r="R139" s="13"/>
      <c r="S139" s="13"/>
      <c r="T139" s="11"/>
      <c r="U139" s="11"/>
      <c r="V139" s="13"/>
      <c r="W139" s="13"/>
      <c r="X139" s="11"/>
      <c r="Y139" s="11"/>
      <c r="Z139" s="13"/>
      <c r="AA139" s="13"/>
      <c r="AB139" s="11"/>
      <c r="AC139" s="11"/>
      <c r="AD139" s="13"/>
      <c r="AE139" s="13"/>
      <c r="AF139" s="11"/>
      <c r="AG139" s="11"/>
      <c r="AH139" s="13"/>
      <c r="AI139" s="13"/>
      <c r="AJ139" s="11"/>
      <c r="AK139" s="11"/>
      <c r="AL139" s="13"/>
      <c r="AM139" s="13"/>
      <c r="AN139" s="11"/>
      <c r="AO139" s="11"/>
    </row>
    <row r="140" spans="1:41">
      <c r="A140" s="3">
        <v>134</v>
      </c>
      <c r="B140" s="201"/>
      <c r="C140" s="119" t="s">
        <v>382</v>
      </c>
      <c r="D140" s="120" t="s">
        <v>163</v>
      </c>
      <c r="E140" s="120"/>
      <c r="F140" s="121"/>
      <c r="G140" s="17" t="s">
        <v>383</v>
      </c>
      <c r="H140" s="22"/>
      <c r="I140" s="22"/>
      <c r="J140" s="13" t="s">
        <v>89</v>
      </c>
      <c r="K140" s="13"/>
      <c r="L140" s="11"/>
      <c r="M140" s="11"/>
      <c r="N140" s="13"/>
      <c r="O140" s="13"/>
      <c r="P140" s="11"/>
      <c r="Q140" s="11"/>
      <c r="R140" s="13"/>
      <c r="S140" s="13"/>
      <c r="T140" s="11"/>
      <c r="U140" s="11"/>
      <c r="V140" s="13"/>
      <c r="W140" s="13"/>
      <c r="X140" s="11"/>
      <c r="Y140" s="11"/>
      <c r="Z140" s="13"/>
      <c r="AA140" s="13"/>
      <c r="AB140" s="11"/>
      <c r="AC140" s="11"/>
      <c r="AD140" s="13"/>
      <c r="AE140" s="13"/>
      <c r="AF140" s="11"/>
      <c r="AG140" s="11"/>
      <c r="AH140" s="13"/>
      <c r="AI140" s="13"/>
      <c r="AJ140" s="11"/>
      <c r="AK140" s="11"/>
      <c r="AL140" s="13"/>
      <c r="AM140" s="13"/>
      <c r="AN140" s="11"/>
      <c r="AO140" s="11"/>
    </row>
    <row r="141" spans="1:41" ht="29.1">
      <c r="A141" s="3">
        <v>135</v>
      </c>
      <c r="B141" s="201"/>
      <c r="C141" s="119" t="s">
        <v>384</v>
      </c>
      <c r="D141" s="127" t="s">
        <v>284</v>
      </c>
      <c r="E141" s="120"/>
      <c r="F141" s="121" t="s">
        <v>99</v>
      </c>
      <c r="G141" s="17" t="s">
        <v>285</v>
      </c>
      <c r="H141" s="22"/>
      <c r="I141" s="22"/>
      <c r="J141" s="13" t="s">
        <v>89</v>
      </c>
      <c r="K141" s="13"/>
      <c r="L141" s="11"/>
      <c r="M141" s="11"/>
      <c r="N141" s="13"/>
      <c r="O141" s="13"/>
      <c r="P141" s="11"/>
      <c r="Q141" s="11"/>
      <c r="R141" s="13"/>
      <c r="S141" s="13"/>
      <c r="T141" s="11"/>
      <c r="U141" s="11"/>
      <c r="V141" s="13"/>
      <c r="W141" s="13"/>
      <c r="X141" s="11"/>
      <c r="Y141" s="11"/>
      <c r="Z141" s="13"/>
      <c r="AA141" s="13"/>
      <c r="AB141" s="11"/>
      <c r="AC141" s="11"/>
      <c r="AD141" s="13"/>
      <c r="AE141" s="13"/>
      <c r="AF141" s="11"/>
      <c r="AG141" s="11"/>
      <c r="AH141" s="13"/>
      <c r="AI141" s="13"/>
      <c r="AJ141" s="11"/>
      <c r="AK141" s="11"/>
      <c r="AL141" s="13"/>
      <c r="AM141" s="13"/>
      <c r="AN141" s="11"/>
      <c r="AO141" s="11"/>
    </row>
    <row r="142" spans="1:41">
      <c r="A142" s="3">
        <v>136</v>
      </c>
      <c r="B142" s="201"/>
      <c r="C142" s="119" t="s">
        <v>385</v>
      </c>
      <c r="D142" s="120" t="s">
        <v>367</v>
      </c>
      <c r="E142" s="120"/>
      <c r="F142" s="121" t="s">
        <v>179</v>
      </c>
      <c r="G142" s="17" t="s">
        <v>386</v>
      </c>
      <c r="H142" s="22"/>
      <c r="I142" s="22"/>
      <c r="J142" s="13" t="s">
        <v>89</v>
      </c>
      <c r="K142" s="13"/>
      <c r="L142" s="11"/>
      <c r="M142" s="11"/>
      <c r="N142" s="13"/>
      <c r="O142" s="13"/>
      <c r="P142" s="11"/>
      <c r="Q142" s="11"/>
      <c r="R142" s="13"/>
      <c r="S142" s="13"/>
      <c r="T142" s="11"/>
      <c r="U142" s="11"/>
      <c r="V142" s="13"/>
      <c r="W142" s="13"/>
      <c r="X142" s="11"/>
      <c r="Y142" s="11"/>
      <c r="Z142" s="13"/>
      <c r="AA142" s="13"/>
      <c r="AB142" s="11"/>
      <c r="AC142" s="11"/>
      <c r="AD142" s="13"/>
      <c r="AE142" s="13"/>
      <c r="AF142" s="11"/>
      <c r="AG142" s="11"/>
      <c r="AH142" s="13"/>
      <c r="AI142" s="13"/>
      <c r="AJ142" s="11"/>
      <c r="AK142" s="11"/>
      <c r="AL142" s="13"/>
      <c r="AM142" s="13"/>
      <c r="AN142" s="11"/>
      <c r="AO142" s="11"/>
    </row>
    <row r="143" spans="1:41">
      <c r="A143" s="3">
        <v>137</v>
      </c>
      <c r="B143" s="201"/>
      <c r="C143" s="119" t="s">
        <v>387</v>
      </c>
      <c r="D143" s="120" t="s">
        <v>163</v>
      </c>
      <c r="E143" s="120"/>
      <c r="F143" s="121"/>
      <c r="G143" s="17" t="s">
        <v>388</v>
      </c>
      <c r="H143" s="22"/>
      <c r="I143" s="22"/>
      <c r="J143" s="13" t="s">
        <v>89</v>
      </c>
      <c r="K143" s="13"/>
      <c r="L143" s="11"/>
      <c r="M143" s="11"/>
      <c r="N143" s="13"/>
      <c r="O143" s="13"/>
      <c r="P143" s="11"/>
      <c r="Q143" s="11"/>
      <c r="R143" s="13"/>
      <c r="S143" s="13"/>
      <c r="T143" s="11"/>
      <c r="U143" s="11"/>
      <c r="V143" s="13"/>
      <c r="W143" s="13"/>
      <c r="X143" s="11"/>
      <c r="Y143" s="11"/>
      <c r="Z143" s="13"/>
      <c r="AA143" s="13"/>
      <c r="AB143" s="11"/>
      <c r="AC143" s="11"/>
      <c r="AD143" s="13"/>
      <c r="AE143" s="13"/>
      <c r="AF143" s="11"/>
      <c r="AG143" s="11"/>
      <c r="AH143" s="13"/>
      <c r="AI143" s="13"/>
      <c r="AJ143" s="11"/>
      <c r="AK143" s="11"/>
      <c r="AL143" s="13"/>
      <c r="AM143" s="13"/>
      <c r="AN143" s="11"/>
      <c r="AO143" s="11"/>
    </row>
    <row r="144" spans="1:41" ht="29.1">
      <c r="A144" s="3">
        <v>138</v>
      </c>
      <c r="B144" s="201"/>
      <c r="C144" s="119" t="s">
        <v>389</v>
      </c>
      <c r="D144" s="127" t="s">
        <v>284</v>
      </c>
      <c r="E144" s="120"/>
      <c r="F144" s="121" t="s">
        <v>99</v>
      </c>
      <c r="G144" s="17" t="s">
        <v>285</v>
      </c>
      <c r="H144" s="22"/>
      <c r="I144" s="22"/>
      <c r="J144" s="13" t="s">
        <v>89</v>
      </c>
      <c r="K144" s="13"/>
      <c r="L144" s="11"/>
      <c r="M144" s="11"/>
      <c r="N144" s="13"/>
      <c r="O144" s="13"/>
      <c r="P144" s="11"/>
      <c r="Q144" s="11"/>
      <c r="R144" s="13"/>
      <c r="S144" s="13"/>
      <c r="T144" s="11"/>
      <c r="U144" s="11"/>
      <c r="V144" s="13"/>
      <c r="W144" s="13"/>
      <c r="X144" s="11"/>
      <c r="Y144" s="11"/>
      <c r="Z144" s="13"/>
      <c r="AA144" s="13"/>
      <c r="AB144" s="11"/>
      <c r="AC144" s="11"/>
      <c r="AD144" s="13"/>
      <c r="AE144" s="13"/>
      <c r="AF144" s="11"/>
      <c r="AG144" s="11"/>
      <c r="AH144" s="13"/>
      <c r="AI144" s="13"/>
      <c r="AJ144" s="11"/>
      <c r="AK144" s="11"/>
      <c r="AL144" s="13"/>
      <c r="AM144" s="13"/>
      <c r="AN144" s="11"/>
      <c r="AO144" s="11"/>
    </row>
    <row r="145" spans="1:41">
      <c r="A145" s="3">
        <v>139</v>
      </c>
      <c r="B145" s="201"/>
      <c r="C145" s="119" t="s">
        <v>390</v>
      </c>
      <c r="D145" s="120" t="s">
        <v>367</v>
      </c>
      <c r="E145" s="120"/>
      <c r="F145" s="121" t="s">
        <v>179</v>
      </c>
      <c r="G145" s="17" t="s">
        <v>391</v>
      </c>
      <c r="H145" s="22"/>
      <c r="I145" s="22"/>
      <c r="J145" s="13" t="s">
        <v>89</v>
      </c>
      <c r="K145" s="13"/>
      <c r="L145" s="11"/>
      <c r="M145" s="11"/>
      <c r="N145" s="13"/>
      <c r="O145" s="13"/>
      <c r="P145" s="11"/>
      <c r="Q145" s="11"/>
      <c r="R145" s="13"/>
      <c r="S145" s="13"/>
      <c r="T145" s="11"/>
      <c r="U145" s="11"/>
      <c r="V145" s="13"/>
      <c r="W145" s="13"/>
      <c r="X145" s="11"/>
      <c r="Y145" s="11"/>
      <c r="Z145" s="13"/>
      <c r="AA145" s="13"/>
      <c r="AB145" s="11"/>
      <c r="AC145" s="11"/>
      <c r="AD145" s="13"/>
      <c r="AE145" s="13"/>
      <c r="AF145" s="11"/>
      <c r="AG145" s="11"/>
      <c r="AH145" s="13"/>
      <c r="AI145" s="13"/>
      <c r="AJ145" s="11"/>
      <c r="AK145" s="11"/>
      <c r="AL145" s="13"/>
      <c r="AM145" s="13"/>
      <c r="AN145" s="11"/>
      <c r="AO145" s="11"/>
    </row>
    <row r="146" spans="1:41">
      <c r="A146" s="3">
        <v>140</v>
      </c>
      <c r="B146" s="201"/>
      <c r="C146" s="119" t="s">
        <v>392</v>
      </c>
      <c r="D146" s="120" t="s">
        <v>163</v>
      </c>
      <c r="E146" s="120"/>
      <c r="F146" s="121"/>
      <c r="G146" s="17" t="s">
        <v>393</v>
      </c>
      <c r="H146" s="22"/>
      <c r="I146" s="22"/>
      <c r="J146" s="13" t="s">
        <v>89</v>
      </c>
      <c r="K146" s="13"/>
      <c r="L146" s="11"/>
      <c r="M146" s="11"/>
      <c r="N146" s="13"/>
      <c r="O146" s="13"/>
      <c r="P146" s="11"/>
      <c r="Q146" s="11"/>
      <c r="R146" s="13"/>
      <c r="S146" s="13"/>
      <c r="T146" s="11"/>
      <c r="U146" s="11"/>
      <c r="V146" s="13"/>
      <c r="W146" s="13"/>
      <c r="X146" s="11"/>
      <c r="Y146" s="11"/>
      <c r="Z146" s="13"/>
      <c r="AA146" s="13"/>
      <c r="AB146" s="11"/>
      <c r="AC146" s="11"/>
      <c r="AD146" s="13"/>
      <c r="AE146" s="13"/>
      <c r="AF146" s="11"/>
      <c r="AG146" s="11"/>
      <c r="AH146" s="13"/>
      <c r="AI146" s="13"/>
      <c r="AJ146" s="11"/>
      <c r="AK146" s="11"/>
      <c r="AL146" s="13"/>
      <c r="AM146" s="13"/>
      <c r="AN146" s="11"/>
      <c r="AO146" s="11"/>
    </row>
    <row r="147" spans="1:41" ht="29.1">
      <c r="A147" s="3">
        <v>141</v>
      </c>
      <c r="B147" s="201"/>
      <c r="C147" s="119" t="s">
        <v>394</v>
      </c>
      <c r="D147" s="127" t="s">
        <v>284</v>
      </c>
      <c r="E147" s="120"/>
      <c r="F147" s="121" t="s">
        <v>99</v>
      </c>
      <c r="G147" s="17" t="s">
        <v>285</v>
      </c>
      <c r="H147" s="22"/>
      <c r="I147" s="22"/>
      <c r="J147" s="13" t="s">
        <v>89</v>
      </c>
      <c r="K147" s="13"/>
      <c r="L147" s="11"/>
      <c r="M147" s="11"/>
      <c r="N147" s="13"/>
      <c r="O147" s="13"/>
      <c r="P147" s="11"/>
      <c r="Q147" s="11"/>
      <c r="R147" s="13"/>
      <c r="S147" s="13"/>
      <c r="T147" s="11"/>
      <c r="U147" s="11"/>
      <c r="V147" s="13"/>
      <c r="W147" s="13"/>
      <c r="X147" s="11"/>
      <c r="Y147" s="11"/>
      <c r="Z147" s="13"/>
      <c r="AA147" s="13"/>
      <c r="AB147" s="11"/>
      <c r="AC147" s="11"/>
      <c r="AD147" s="13"/>
      <c r="AE147" s="13"/>
      <c r="AF147" s="11"/>
      <c r="AG147" s="11"/>
      <c r="AH147" s="13"/>
      <c r="AI147" s="13"/>
      <c r="AJ147" s="11"/>
      <c r="AK147" s="11"/>
      <c r="AL147" s="13"/>
      <c r="AM147" s="13"/>
      <c r="AN147" s="11"/>
      <c r="AO147" s="11"/>
    </row>
    <row r="148" spans="1:41">
      <c r="A148" s="3">
        <v>142</v>
      </c>
      <c r="B148" s="201"/>
      <c r="C148" s="119" t="s">
        <v>395</v>
      </c>
      <c r="D148" s="120" t="s">
        <v>367</v>
      </c>
      <c r="E148" s="120"/>
      <c r="F148" s="121" t="s">
        <v>179</v>
      </c>
      <c r="G148" s="17" t="s">
        <v>396</v>
      </c>
      <c r="H148" s="22"/>
      <c r="I148" s="22"/>
      <c r="J148" s="13" t="s">
        <v>89</v>
      </c>
      <c r="K148" s="13"/>
      <c r="L148" s="11"/>
      <c r="M148" s="11"/>
      <c r="N148" s="13"/>
      <c r="O148" s="13"/>
      <c r="P148" s="11"/>
      <c r="Q148" s="11"/>
      <c r="R148" s="13"/>
      <c r="S148" s="13"/>
      <c r="T148" s="11"/>
      <c r="U148" s="11"/>
      <c r="V148" s="13"/>
      <c r="W148" s="13"/>
      <c r="X148" s="11"/>
      <c r="Y148" s="11"/>
      <c r="Z148" s="13"/>
      <c r="AA148" s="13"/>
      <c r="AB148" s="11"/>
      <c r="AC148" s="11"/>
      <c r="AD148" s="13"/>
      <c r="AE148" s="13"/>
      <c r="AF148" s="11"/>
      <c r="AG148" s="11"/>
      <c r="AH148" s="13"/>
      <c r="AI148" s="13"/>
      <c r="AJ148" s="11"/>
      <c r="AK148" s="11"/>
      <c r="AL148" s="13"/>
      <c r="AM148" s="13"/>
      <c r="AN148" s="11"/>
      <c r="AO148" s="11"/>
    </row>
    <row r="149" spans="1:41">
      <c r="A149" s="3">
        <v>143</v>
      </c>
      <c r="B149" s="201"/>
      <c r="C149" s="119" t="s">
        <v>397</v>
      </c>
      <c r="D149" s="120" t="s">
        <v>163</v>
      </c>
      <c r="E149" s="120"/>
      <c r="F149" s="121"/>
      <c r="G149" s="17" t="s">
        <v>398</v>
      </c>
      <c r="H149" s="22"/>
      <c r="I149" s="22"/>
      <c r="J149" s="13" t="s">
        <v>89</v>
      </c>
      <c r="K149" s="13"/>
      <c r="L149" s="11"/>
      <c r="M149" s="11"/>
      <c r="N149" s="13"/>
      <c r="O149" s="13"/>
      <c r="P149" s="11"/>
      <c r="Q149" s="11"/>
      <c r="R149" s="13"/>
      <c r="S149" s="13"/>
      <c r="T149" s="11"/>
      <c r="U149" s="11"/>
      <c r="V149" s="13"/>
      <c r="W149" s="13"/>
      <c r="X149" s="11"/>
      <c r="Y149" s="11"/>
      <c r="Z149" s="13"/>
      <c r="AA149" s="13"/>
      <c r="AB149" s="11"/>
      <c r="AC149" s="11"/>
      <c r="AD149" s="13"/>
      <c r="AE149" s="13"/>
      <c r="AF149" s="11"/>
      <c r="AG149" s="11"/>
      <c r="AH149" s="13"/>
      <c r="AI149" s="13"/>
      <c r="AJ149" s="11"/>
      <c r="AK149" s="11"/>
      <c r="AL149" s="13"/>
      <c r="AM149" s="13"/>
      <c r="AN149" s="11"/>
      <c r="AO149" s="11"/>
    </row>
    <row r="150" spans="1:41" ht="29.1">
      <c r="A150" s="3">
        <v>144</v>
      </c>
      <c r="B150" s="201"/>
      <c r="C150" s="119" t="s">
        <v>399</v>
      </c>
      <c r="D150" s="127" t="s">
        <v>284</v>
      </c>
      <c r="E150" s="120"/>
      <c r="F150" s="121" t="s">
        <v>99</v>
      </c>
      <c r="G150" s="17" t="s">
        <v>285</v>
      </c>
      <c r="H150" s="22"/>
      <c r="I150" s="22"/>
      <c r="J150" s="13" t="s">
        <v>89</v>
      </c>
      <c r="K150" s="13"/>
      <c r="L150" s="11"/>
      <c r="M150" s="11"/>
      <c r="N150" s="13"/>
      <c r="O150" s="13"/>
      <c r="P150" s="11"/>
      <c r="Q150" s="11"/>
      <c r="R150" s="13"/>
      <c r="S150" s="13"/>
      <c r="T150" s="11"/>
      <c r="U150" s="11"/>
      <c r="V150" s="13"/>
      <c r="W150" s="13"/>
      <c r="X150" s="11"/>
      <c r="Y150" s="11"/>
      <c r="Z150" s="13"/>
      <c r="AA150" s="13"/>
      <c r="AB150" s="11"/>
      <c r="AC150" s="11"/>
      <c r="AD150" s="13"/>
      <c r="AE150" s="13"/>
      <c r="AF150" s="11"/>
      <c r="AG150" s="11"/>
      <c r="AH150" s="13"/>
      <c r="AI150" s="13"/>
      <c r="AJ150" s="11"/>
      <c r="AK150" s="11"/>
      <c r="AL150" s="13"/>
      <c r="AM150" s="13"/>
      <c r="AN150" s="11"/>
      <c r="AO150" s="11"/>
    </row>
    <row r="151" spans="1:41">
      <c r="A151" s="3">
        <v>145</v>
      </c>
      <c r="B151" s="201"/>
      <c r="C151" s="119" t="s">
        <v>400</v>
      </c>
      <c r="D151" s="120" t="s">
        <v>367</v>
      </c>
      <c r="E151" s="120"/>
      <c r="F151" s="121" t="s">
        <v>179</v>
      </c>
      <c r="G151" s="17" t="s">
        <v>401</v>
      </c>
      <c r="H151" s="22"/>
      <c r="I151" s="22"/>
      <c r="J151" s="13" t="s">
        <v>89</v>
      </c>
      <c r="K151" s="13"/>
      <c r="L151" s="11"/>
      <c r="M151" s="11"/>
      <c r="N151" s="13"/>
      <c r="O151" s="13"/>
      <c r="P151" s="11"/>
      <c r="Q151" s="11"/>
      <c r="R151" s="13"/>
      <c r="S151" s="13"/>
      <c r="T151" s="11"/>
      <c r="U151" s="11"/>
      <c r="V151" s="13"/>
      <c r="W151" s="13"/>
      <c r="X151" s="11"/>
      <c r="Y151" s="11"/>
      <c r="Z151" s="13"/>
      <c r="AA151" s="13"/>
      <c r="AB151" s="11"/>
      <c r="AC151" s="11"/>
      <c r="AD151" s="13"/>
      <c r="AE151" s="13"/>
      <c r="AF151" s="11"/>
      <c r="AG151" s="11"/>
      <c r="AH151" s="13"/>
      <c r="AI151" s="13"/>
      <c r="AJ151" s="11"/>
      <c r="AK151" s="11"/>
      <c r="AL151" s="13"/>
      <c r="AM151" s="13"/>
      <c r="AN151" s="11"/>
      <c r="AO151" s="11"/>
    </row>
    <row r="152" spans="1:41">
      <c r="A152" s="3">
        <v>146</v>
      </c>
      <c r="B152" s="201"/>
      <c r="C152" s="119" t="s">
        <v>402</v>
      </c>
      <c r="D152" s="120" t="s">
        <v>163</v>
      </c>
      <c r="E152" s="120"/>
      <c r="F152" s="121"/>
      <c r="G152" s="17" t="s">
        <v>403</v>
      </c>
      <c r="H152" s="22"/>
      <c r="I152" s="22"/>
      <c r="J152" s="13" t="s">
        <v>89</v>
      </c>
      <c r="K152" s="13"/>
      <c r="L152" s="11"/>
      <c r="M152" s="11"/>
      <c r="N152" s="13"/>
      <c r="O152" s="13"/>
      <c r="P152" s="11"/>
      <c r="Q152" s="11"/>
      <c r="R152" s="13"/>
      <c r="S152" s="13"/>
      <c r="T152" s="11"/>
      <c r="U152" s="11"/>
      <c r="V152" s="13"/>
      <c r="W152" s="13"/>
      <c r="X152" s="11"/>
      <c r="Y152" s="11"/>
      <c r="Z152" s="13"/>
      <c r="AA152" s="13"/>
      <c r="AB152" s="11"/>
      <c r="AC152" s="11"/>
      <c r="AD152" s="13"/>
      <c r="AE152" s="13"/>
      <c r="AF152" s="11"/>
      <c r="AG152" s="11"/>
      <c r="AH152" s="13"/>
      <c r="AI152" s="13"/>
      <c r="AJ152" s="11"/>
      <c r="AK152" s="11"/>
      <c r="AL152" s="13"/>
      <c r="AM152" s="13"/>
      <c r="AN152" s="11"/>
      <c r="AO152" s="11"/>
    </row>
    <row r="153" spans="1:41" ht="29.1">
      <c r="A153" s="3">
        <v>147</v>
      </c>
      <c r="B153" s="201"/>
      <c r="C153" s="119" t="s">
        <v>404</v>
      </c>
      <c r="D153" s="127" t="s">
        <v>284</v>
      </c>
      <c r="E153" s="120"/>
      <c r="F153" s="121" t="s">
        <v>99</v>
      </c>
      <c r="G153" s="17" t="s">
        <v>285</v>
      </c>
      <c r="H153" s="22"/>
      <c r="I153" s="22"/>
      <c r="J153" s="13" t="s">
        <v>89</v>
      </c>
      <c r="K153" s="13"/>
      <c r="L153" s="11"/>
      <c r="M153" s="11"/>
      <c r="N153" s="13"/>
      <c r="O153" s="13"/>
      <c r="P153" s="11"/>
      <c r="Q153" s="11"/>
      <c r="R153" s="13"/>
      <c r="S153" s="13"/>
      <c r="T153" s="11"/>
      <c r="U153" s="11"/>
      <c r="V153" s="13"/>
      <c r="W153" s="13"/>
      <c r="X153" s="11"/>
      <c r="Y153" s="11"/>
      <c r="Z153" s="13"/>
      <c r="AA153" s="13"/>
      <c r="AB153" s="11"/>
      <c r="AC153" s="11"/>
      <c r="AD153" s="13"/>
      <c r="AE153" s="13"/>
      <c r="AF153" s="11"/>
      <c r="AG153" s="11"/>
      <c r="AH153" s="13"/>
      <c r="AI153" s="13"/>
      <c r="AJ153" s="11"/>
      <c r="AK153" s="11"/>
      <c r="AL153" s="13"/>
      <c r="AM153" s="13"/>
      <c r="AN153" s="11"/>
      <c r="AO153" s="11"/>
    </row>
    <row r="154" spans="1:41">
      <c r="A154" s="3">
        <v>148</v>
      </c>
      <c r="B154" s="201"/>
      <c r="C154" s="119" t="s">
        <v>405</v>
      </c>
      <c r="D154" s="120" t="s">
        <v>367</v>
      </c>
      <c r="E154" s="120"/>
      <c r="F154" s="121" t="s">
        <v>179</v>
      </c>
      <c r="G154" s="17" t="s">
        <v>406</v>
      </c>
      <c r="H154" s="22"/>
      <c r="I154" s="22"/>
      <c r="J154" s="13" t="s">
        <v>89</v>
      </c>
      <c r="K154" s="13"/>
      <c r="L154" s="11"/>
      <c r="M154" s="11"/>
      <c r="N154" s="13"/>
      <c r="O154" s="13"/>
      <c r="P154" s="11"/>
      <c r="Q154" s="11"/>
      <c r="R154" s="13"/>
      <c r="S154" s="13"/>
      <c r="T154" s="11"/>
      <c r="U154" s="11"/>
      <c r="V154" s="13"/>
      <c r="W154" s="13"/>
      <c r="X154" s="11"/>
      <c r="Y154" s="11"/>
      <c r="Z154" s="13"/>
      <c r="AA154" s="13"/>
      <c r="AB154" s="11"/>
      <c r="AC154" s="11"/>
      <c r="AD154" s="13"/>
      <c r="AE154" s="13"/>
      <c r="AF154" s="11"/>
      <c r="AG154" s="11"/>
      <c r="AH154" s="13"/>
      <c r="AI154" s="13"/>
      <c r="AJ154" s="11"/>
      <c r="AK154" s="11"/>
      <c r="AL154" s="13"/>
      <c r="AM154" s="13"/>
      <c r="AN154" s="11"/>
      <c r="AO154" s="11"/>
    </row>
    <row r="155" spans="1:41">
      <c r="A155" s="3">
        <v>149</v>
      </c>
      <c r="B155" s="201"/>
      <c r="C155" s="119" t="s">
        <v>407</v>
      </c>
      <c r="D155" s="120" t="s">
        <v>163</v>
      </c>
      <c r="E155" s="120"/>
      <c r="F155" s="121"/>
      <c r="G155" s="17" t="s">
        <v>408</v>
      </c>
      <c r="H155" s="22"/>
      <c r="I155" s="22"/>
      <c r="J155" s="13" t="s">
        <v>89</v>
      </c>
      <c r="K155" s="13"/>
      <c r="L155" s="11"/>
      <c r="M155" s="11"/>
      <c r="N155" s="13"/>
      <c r="O155" s="13"/>
      <c r="P155" s="11"/>
      <c r="Q155" s="11"/>
      <c r="R155" s="13"/>
      <c r="S155" s="13"/>
      <c r="T155" s="11"/>
      <c r="U155" s="11"/>
      <c r="V155" s="13"/>
      <c r="W155" s="13"/>
      <c r="X155" s="11"/>
      <c r="Y155" s="11"/>
      <c r="Z155" s="13"/>
      <c r="AA155" s="13"/>
      <c r="AB155" s="11"/>
      <c r="AC155" s="11"/>
      <c r="AD155" s="13"/>
      <c r="AE155" s="13"/>
      <c r="AF155" s="11"/>
      <c r="AG155" s="11"/>
      <c r="AH155" s="13"/>
      <c r="AI155" s="13"/>
      <c r="AJ155" s="11"/>
      <c r="AK155" s="11"/>
      <c r="AL155" s="13"/>
      <c r="AM155" s="13"/>
      <c r="AN155" s="11"/>
      <c r="AO155" s="11"/>
    </row>
    <row r="156" spans="1:41" ht="29.1">
      <c r="A156" s="3">
        <v>150</v>
      </c>
      <c r="B156" s="201"/>
      <c r="C156" s="119" t="s">
        <v>409</v>
      </c>
      <c r="D156" s="127" t="s">
        <v>284</v>
      </c>
      <c r="E156" s="120"/>
      <c r="F156" s="121" t="s">
        <v>99</v>
      </c>
      <c r="G156" s="17" t="s">
        <v>285</v>
      </c>
      <c r="H156" s="22"/>
      <c r="I156" s="22"/>
      <c r="J156" s="13" t="s">
        <v>89</v>
      </c>
      <c r="K156" s="13"/>
      <c r="L156" s="11"/>
      <c r="M156" s="11"/>
      <c r="N156" s="13"/>
      <c r="O156" s="13"/>
      <c r="P156" s="11"/>
      <c r="Q156" s="11"/>
      <c r="R156" s="13"/>
      <c r="S156" s="13"/>
      <c r="T156" s="11"/>
      <c r="U156" s="11"/>
      <c r="V156" s="13"/>
      <c r="W156" s="13"/>
      <c r="X156" s="11"/>
      <c r="Y156" s="11"/>
      <c r="Z156" s="13"/>
      <c r="AA156" s="13"/>
      <c r="AB156" s="11"/>
      <c r="AC156" s="11"/>
      <c r="AD156" s="13"/>
      <c r="AE156" s="13"/>
      <c r="AF156" s="11"/>
      <c r="AG156" s="11"/>
      <c r="AH156" s="13"/>
      <c r="AI156" s="13"/>
      <c r="AJ156" s="11"/>
      <c r="AK156" s="11"/>
      <c r="AL156" s="13"/>
      <c r="AM156" s="13"/>
      <c r="AN156" s="11"/>
      <c r="AO156" s="11"/>
    </row>
    <row r="157" spans="1:41">
      <c r="A157" s="3">
        <v>151</v>
      </c>
      <c r="B157" s="201"/>
      <c r="C157" s="119" t="s">
        <v>410</v>
      </c>
      <c r="D157" s="120" t="s">
        <v>367</v>
      </c>
      <c r="E157" s="120"/>
      <c r="F157" s="121" t="s">
        <v>179</v>
      </c>
      <c r="G157" s="17" t="s">
        <v>411</v>
      </c>
      <c r="H157" s="22"/>
      <c r="I157" s="22"/>
      <c r="J157" s="13" t="s">
        <v>89</v>
      </c>
      <c r="K157" s="13"/>
      <c r="L157" s="11"/>
      <c r="M157" s="11"/>
      <c r="N157" s="13"/>
      <c r="O157" s="13"/>
      <c r="P157" s="11"/>
      <c r="Q157" s="11"/>
      <c r="R157" s="13"/>
      <c r="S157" s="13"/>
      <c r="T157" s="11"/>
      <c r="U157" s="11"/>
      <c r="V157" s="13"/>
      <c r="W157" s="13"/>
      <c r="X157" s="11"/>
      <c r="Y157" s="11"/>
      <c r="Z157" s="13"/>
      <c r="AA157" s="13"/>
      <c r="AB157" s="11"/>
      <c r="AC157" s="11"/>
      <c r="AD157" s="13"/>
      <c r="AE157" s="13"/>
      <c r="AF157" s="11"/>
      <c r="AG157" s="11"/>
      <c r="AH157" s="13"/>
      <c r="AI157" s="13"/>
      <c r="AJ157" s="11"/>
      <c r="AK157" s="11"/>
      <c r="AL157" s="13"/>
      <c r="AM157" s="13"/>
      <c r="AN157" s="11"/>
      <c r="AO157" s="11"/>
    </row>
    <row r="158" spans="1:41">
      <c r="A158" s="3">
        <v>152</v>
      </c>
      <c r="B158" s="201"/>
      <c r="C158" s="119" t="s">
        <v>412</v>
      </c>
      <c r="D158" s="120" t="s">
        <v>163</v>
      </c>
      <c r="E158" s="120"/>
      <c r="F158" s="121"/>
      <c r="G158" s="17" t="s">
        <v>413</v>
      </c>
      <c r="H158" s="22"/>
      <c r="I158" s="22"/>
      <c r="J158" s="13" t="s">
        <v>89</v>
      </c>
      <c r="K158" s="13"/>
      <c r="L158" s="11"/>
      <c r="M158" s="11"/>
      <c r="N158" s="13"/>
      <c r="O158" s="13"/>
      <c r="P158" s="11"/>
      <c r="Q158" s="11"/>
      <c r="R158" s="13"/>
      <c r="S158" s="13"/>
      <c r="T158" s="11"/>
      <c r="U158" s="11"/>
      <c r="V158" s="13"/>
      <c r="W158" s="13"/>
      <c r="X158" s="11"/>
      <c r="Y158" s="11"/>
      <c r="Z158" s="13"/>
      <c r="AA158" s="13"/>
      <c r="AB158" s="11"/>
      <c r="AC158" s="11"/>
      <c r="AD158" s="13"/>
      <c r="AE158" s="13"/>
      <c r="AF158" s="11"/>
      <c r="AG158" s="11"/>
      <c r="AH158" s="13"/>
      <c r="AI158" s="13"/>
      <c r="AJ158" s="11"/>
      <c r="AK158" s="11"/>
      <c r="AL158" s="13"/>
      <c r="AM158" s="13"/>
      <c r="AN158" s="11"/>
      <c r="AO158" s="11"/>
    </row>
    <row r="159" spans="1:41" ht="29.1">
      <c r="A159" s="3">
        <v>153</v>
      </c>
      <c r="B159" s="201"/>
      <c r="C159" s="119" t="s">
        <v>414</v>
      </c>
      <c r="D159" s="127" t="s">
        <v>284</v>
      </c>
      <c r="E159" s="120"/>
      <c r="F159" s="121" t="s">
        <v>99</v>
      </c>
      <c r="G159" s="17" t="s">
        <v>285</v>
      </c>
      <c r="H159" s="22"/>
      <c r="I159" s="22"/>
      <c r="J159" s="13" t="s">
        <v>89</v>
      </c>
      <c r="K159" s="13"/>
      <c r="L159" s="11"/>
      <c r="M159" s="11"/>
      <c r="N159" s="13"/>
      <c r="O159" s="13"/>
      <c r="P159" s="11"/>
      <c r="Q159" s="11"/>
      <c r="R159" s="13"/>
      <c r="S159" s="13"/>
      <c r="T159" s="11"/>
      <c r="U159" s="11"/>
      <c r="V159" s="13"/>
      <c r="W159" s="13"/>
      <c r="X159" s="11"/>
      <c r="Y159" s="11"/>
      <c r="Z159" s="13"/>
      <c r="AA159" s="13"/>
      <c r="AB159" s="11"/>
      <c r="AC159" s="11"/>
      <c r="AD159" s="13"/>
      <c r="AE159" s="13"/>
      <c r="AF159" s="11"/>
      <c r="AG159" s="11"/>
      <c r="AH159" s="13"/>
      <c r="AI159" s="13"/>
      <c r="AJ159" s="11"/>
      <c r="AK159" s="11"/>
      <c r="AL159" s="13"/>
      <c r="AM159" s="13"/>
      <c r="AN159" s="11"/>
      <c r="AO159" s="11"/>
    </row>
    <row r="160" spans="1:41">
      <c r="A160" s="3">
        <v>154</v>
      </c>
      <c r="B160" s="201"/>
      <c r="C160" s="119" t="s">
        <v>415</v>
      </c>
      <c r="D160" s="120" t="s">
        <v>367</v>
      </c>
      <c r="E160" s="120"/>
      <c r="F160" s="121" t="s">
        <v>179</v>
      </c>
      <c r="G160" s="17" t="s">
        <v>416</v>
      </c>
      <c r="H160" s="22"/>
      <c r="I160" s="22"/>
      <c r="J160" s="13" t="s">
        <v>89</v>
      </c>
      <c r="K160" s="13"/>
      <c r="L160" s="11"/>
      <c r="M160" s="11"/>
      <c r="N160" s="13"/>
      <c r="O160" s="13"/>
      <c r="P160" s="11"/>
      <c r="Q160" s="11"/>
      <c r="R160" s="13"/>
      <c r="S160" s="13"/>
      <c r="T160" s="11"/>
      <c r="U160" s="11"/>
      <c r="V160" s="13"/>
      <c r="W160" s="13"/>
      <c r="X160" s="11"/>
      <c r="Y160" s="11"/>
      <c r="Z160" s="13"/>
      <c r="AA160" s="13"/>
      <c r="AB160" s="11"/>
      <c r="AC160" s="11"/>
      <c r="AD160" s="13"/>
      <c r="AE160" s="13"/>
      <c r="AF160" s="11"/>
      <c r="AG160" s="11"/>
      <c r="AH160" s="13"/>
      <c r="AI160" s="13"/>
      <c r="AJ160" s="11"/>
      <c r="AK160" s="11"/>
      <c r="AL160" s="13"/>
      <c r="AM160" s="13"/>
      <c r="AN160" s="11"/>
      <c r="AO160" s="11"/>
    </row>
    <row r="161" spans="1:41">
      <c r="A161" s="3">
        <v>155</v>
      </c>
      <c r="B161" s="201"/>
      <c r="C161" s="119" t="s">
        <v>417</v>
      </c>
      <c r="D161" s="120" t="s">
        <v>163</v>
      </c>
      <c r="E161" s="120"/>
      <c r="F161" s="121"/>
      <c r="G161" s="17" t="s">
        <v>418</v>
      </c>
      <c r="H161" s="22"/>
      <c r="I161" s="22"/>
      <c r="J161" s="13" t="s">
        <v>89</v>
      </c>
      <c r="K161" s="13"/>
      <c r="L161" s="11"/>
      <c r="M161" s="11"/>
      <c r="N161" s="13"/>
      <c r="O161" s="13"/>
      <c r="P161" s="11"/>
      <c r="Q161" s="11"/>
      <c r="R161" s="13"/>
      <c r="S161" s="13"/>
      <c r="T161" s="11"/>
      <c r="U161" s="11"/>
      <c r="V161" s="13"/>
      <c r="W161" s="13"/>
      <c r="X161" s="11"/>
      <c r="Y161" s="11"/>
      <c r="Z161" s="13"/>
      <c r="AA161" s="13"/>
      <c r="AB161" s="11"/>
      <c r="AC161" s="11"/>
      <c r="AD161" s="13"/>
      <c r="AE161" s="13"/>
      <c r="AF161" s="11"/>
      <c r="AG161" s="11"/>
      <c r="AH161" s="13"/>
      <c r="AI161" s="13"/>
      <c r="AJ161" s="11"/>
      <c r="AK161" s="11"/>
      <c r="AL161" s="13"/>
      <c r="AM161" s="13"/>
      <c r="AN161" s="11"/>
      <c r="AO161" s="11"/>
    </row>
    <row r="162" spans="1:41" ht="29.1">
      <c r="A162" s="3">
        <v>156</v>
      </c>
      <c r="B162" s="201"/>
      <c r="C162" s="119" t="s">
        <v>419</v>
      </c>
      <c r="D162" s="127" t="s">
        <v>284</v>
      </c>
      <c r="E162" s="120"/>
      <c r="F162" s="121" t="s">
        <v>99</v>
      </c>
      <c r="G162" s="17" t="s">
        <v>285</v>
      </c>
      <c r="H162" s="22"/>
      <c r="I162" s="22"/>
      <c r="J162" s="13" t="s">
        <v>89</v>
      </c>
      <c r="K162" s="13"/>
      <c r="L162" s="11"/>
      <c r="M162" s="11"/>
      <c r="N162" s="13"/>
      <c r="O162" s="13"/>
      <c r="P162" s="11"/>
      <c r="Q162" s="11"/>
      <c r="R162" s="13"/>
      <c r="S162" s="13"/>
      <c r="T162" s="11"/>
      <c r="U162" s="11"/>
      <c r="V162" s="13"/>
      <c r="W162" s="13"/>
      <c r="X162" s="11"/>
      <c r="Y162" s="11"/>
      <c r="Z162" s="13"/>
      <c r="AA162" s="13"/>
      <c r="AB162" s="11"/>
      <c r="AC162" s="11"/>
      <c r="AD162" s="13"/>
      <c r="AE162" s="13"/>
      <c r="AF162" s="11"/>
      <c r="AG162" s="11"/>
      <c r="AH162" s="13"/>
      <c r="AI162" s="13"/>
      <c r="AJ162" s="11"/>
      <c r="AK162" s="11"/>
      <c r="AL162" s="13"/>
      <c r="AM162" s="13"/>
      <c r="AN162" s="11"/>
      <c r="AO162" s="11"/>
    </row>
    <row r="163" spans="1:41">
      <c r="A163" s="3">
        <v>157</v>
      </c>
      <c r="B163" s="201"/>
      <c r="C163" s="119" t="s">
        <v>420</v>
      </c>
      <c r="D163" s="120" t="s">
        <v>367</v>
      </c>
      <c r="E163" s="120"/>
      <c r="F163" s="121" t="s">
        <v>179</v>
      </c>
      <c r="G163" s="17" t="s">
        <v>421</v>
      </c>
      <c r="H163" s="22"/>
      <c r="I163" s="22"/>
      <c r="J163" s="13" t="s">
        <v>89</v>
      </c>
      <c r="K163" s="13"/>
      <c r="L163" s="11"/>
      <c r="M163" s="11"/>
      <c r="N163" s="13"/>
      <c r="O163" s="13"/>
      <c r="P163" s="11"/>
      <c r="Q163" s="11"/>
      <c r="R163" s="13"/>
      <c r="S163" s="13"/>
      <c r="T163" s="11"/>
      <c r="U163" s="11"/>
      <c r="V163" s="13"/>
      <c r="W163" s="13"/>
      <c r="X163" s="11"/>
      <c r="Y163" s="11"/>
      <c r="Z163" s="13"/>
      <c r="AA163" s="13"/>
      <c r="AB163" s="11"/>
      <c r="AC163" s="11"/>
      <c r="AD163" s="13"/>
      <c r="AE163" s="13"/>
      <c r="AF163" s="11"/>
      <c r="AG163" s="11"/>
      <c r="AH163" s="13"/>
      <c r="AI163" s="13"/>
      <c r="AJ163" s="11"/>
      <c r="AK163" s="11"/>
      <c r="AL163" s="13"/>
      <c r="AM163" s="13"/>
      <c r="AN163" s="11"/>
      <c r="AO163" s="11"/>
    </row>
    <row r="164" spans="1:41">
      <c r="A164" s="3">
        <v>158</v>
      </c>
      <c r="B164" s="201"/>
      <c r="C164" s="119" t="s">
        <v>422</v>
      </c>
      <c r="D164" s="120" t="s">
        <v>163</v>
      </c>
      <c r="E164" s="120"/>
      <c r="F164" s="121"/>
      <c r="G164" s="17" t="s">
        <v>423</v>
      </c>
      <c r="H164" s="22"/>
      <c r="I164" s="22"/>
      <c r="J164" s="13" t="s">
        <v>89</v>
      </c>
      <c r="K164" s="13"/>
      <c r="L164" s="11"/>
      <c r="M164" s="11"/>
      <c r="N164" s="13"/>
      <c r="O164" s="13"/>
      <c r="P164" s="11"/>
      <c r="Q164" s="11"/>
      <c r="R164" s="13"/>
      <c r="S164" s="13"/>
      <c r="T164" s="11"/>
      <c r="U164" s="11"/>
      <c r="V164" s="13"/>
      <c r="W164" s="13"/>
      <c r="X164" s="11"/>
      <c r="Y164" s="11"/>
      <c r="Z164" s="13"/>
      <c r="AA164" s="13"/>
      <c r="AB164" s="11"/>
      <c r="AC164" s="11"/>
      <c r="AD164" s="13"/>
      <c r="AE164" s="13"/>
      <c r="AF164" s="11"/>
      <c r="AG164" s="11"/>
      <c r="AH164" s="13"/>
      <c r="AI164" s="13"/>
      <c r="AJ164" s="11"/>
      <c r="AK164" s="11"/>
      <c r="AL164" s="13"/>
      <c r="AM164" s="13"/>
      <c r="AN164" s="11"/>
      <c r="AO164" s="11"/>
    </row>
    <row r="165" spans="1:41" ht="29.1">
      <c r="A165" s="3">
        <v>159</v>
      </c>
      <c r="B165" s="201"/>
      <c r="C165" s="119" t="s">
        <v>424</v>
      </c>
      <c r="D165" s="127" t="s">
        <v>284</v>
      </c>
      <c r="E165" s="120"/>
      <c r="F165" s="121" t="s">
        <v>99</v>
      </c>
      <c r="G165" s="17" t="s">
        <v>285</v>
      </c>
      <c r="H165" s="22"/>
      <c r="I165" s="22"/>
      <c r="J165" s="13" t="s">
        <v>89</v>
      </c>
      <c r="K165" s="13"/>
      <c r="L165" s="11"/>
      <c r="M165" s="11"/>
      <c r="N165" s="13"/>
      <c r="O165" s="13"/>
      <c r="P165" s="11"/>
      <c r="Q165" s="11"/>
      <c r="R165" s="13"/>
      <c r="S165" s="13"/>
      <c r="T165" s="11"/>
      <c r="U165" s="11"/>
      <c r="V165" s="13"/>
      <c r="W165" s="13"/>
      <c r="X165" s="11"/>
      <c r="Y165" s="11"/>
      <c r="Z165" s="13"/>
      <c r="AA165" s="13"/>
      <c r="AB165" s="11"/>
      <c r="AC165" s="11"/>
      <c r="AD165" s="13"/>
      <c r="AE165" s="13"/>
      <c r="AF165" s="11"/>
      <c r="AG165" s="11"/>
      <c r="AH165" s="13"/>
      <c r="AI165" s="13"/>
      <c r="AJ165" s="11"/>
      <c r="AK165" s="11"/>
      <c r="AL165" s="13"/>
      <c r="AM165" s="13"/>
      <c r="AN165" s="11"/>
      <c r="AO165" s="11"/>
    </row>
    <row r="166" spans="1:41">
      <c r="A166" s="3">
        <v>160</v>
      </c>
      <c r="B166" s="201"/>
      <c r="C166" s="119" t="s">
        <v>425</v>
      </c>
      <c r="D166" s="120" t="s">
        <v>367</v>
      </c>
      <c r="E166" s="120"/>
      <c r="F166" s="121" t="s">
        <v>179</v>
      </c>
      <c r="G166" s="17" t="s">
        <v>426</v>
      </c>
      <c r="H166" s="22"/>
      <c r="I166" s="22"/>
      <c r="J166" s="13" t="s">
        <v>89</v>
      </c>
      <c r="K166" s="13"/>
      <c r="L166" s="11"/>
      <c r="M166" s="11"/>
      <c r="N166" s="13"/>
      <c r="O166" s="13"/>
      <c r="P166" s="11"/>
      <c r="Q166" s="11"/>
      <c r="R166" s="13"/>
      <c r="S166" s="13"/>
      <c r="T166" s="11"/>
      <c r="U166" s="11"/>
      <c r="V166" s="13"/>
      <c r="W166" s="13"/>
      <c r="X166" s="11"/>
      <c r="Y166" s="11"/>
      <c r="Z166" s="13"/>
      <c r="AA166" s="13"/>
      <c r="AB166" s="11"/>
      <c r="AC166" s="11"/>
      <c r="AD166" s="13"/>
      <c r="AE166" s="13"/>
      <c r="AF166" s="11"/>
      <c r="AG166" s="11"/>
      <c r="AH166" s="13"/>
      <c r="AI166" s="13"/>
      <c r="AJ166" s="11"/>
      <c r="AK166" s="11"/>
      <c r="AL166" s="13"/>
      <c r="AM166" s="13"/>
      <c r="AN166" s="11"/>
      <c r="AO166" s="11"/>
    </row>
    <row r="167" spans="1:41">
      <c r="A167" s="3">
        <v>161</v>
      </c>
      <c r="B167" s="201"/>
      <c r="C167" s="119" t="s">
        <v>427</v>
      </c>
      <c r="D167" s="120" t="s">
        <v>163</v>
      </c>
      <c r="E167" s="120"/>
      <c r="F167" s="121"/>
      <c r="G167" s="17" t="s">
        <v>428</v>
      </c>
      <c r="H167" s="22"/>
      <c r="I167" s="22"/>
      <c r="J167" s="13" t="s">
        <v>89</v>
      </c>
      <c r="K167" s="13"/>
      <c r="L167" s="11"/>
      <c r="M167" s="11"/>
      <c r="N167" s="13"/>
      <c r="O167" s="13"/>
      <c r="P167" s="11"/>
      <c r="Q167" s="11"/>
      <c r="R167" s="13"/>
      <c r="S167" s="13"/>
      <c r="T167" s="11"/>
      <c r="U167" s="11"/>
      <c r="V167" s="13"/>
      <c r="W167" s="13"/>
      <c r="X167" s="11"/>
      <c r="Y167" s="11"/>
      <c r="Z167" s="13"/>
      <c r="AA167" s="13"/>
      <c r="AB167" s="11"/>
      <c r="AC167" s="11"/>
      <c r="AD167" s="13"/>
      <c r="AE167" s="13"/>
      <c r="AF167" s="11"/>
      <c r="AG167" s="11"/>
      <c r="AH167" s="13"/>
      <c r="AI167" s="13"/>
      <c r="AJ167" s="11"/>
      <c r="AK167" s="11"/>
      <c r="AL167" s="13"/>
      <c r="AM167" s="13"/>
      <c r="AN167" s="11"/>
      <c r="AO167" s="11"/>
    </row>
    <row r="168" spans="1:41" ht="29.1">
      <c r="A168" s="3">
        <v>162</v>
      </c>
      <c r="B168" s="201"/>
      <c r="C168" s="119" t="s">
        <v>429</v>
      </c>
      <c r="D168" s="127" t="s">
        <v>284</v>
      </c>
      <c r="E168" s="120"/>
      <c r="F168" s="121" t="s">
        <v>99</v>
      </c>
      <c r="G168" s="17" t="s">
        <v>285</v>
      </c>
      <c r="H168" s="22"/>
      <c r="I168" s="22"/>
      <c r="J168" s="13" t="s">
        <v>89</v>
      </c>
      <c r="K168" s="13"/>
      <c r="L168" s="11"/>
      <c r="M168" s="11"/>
      <c r="N168" s="13"/>
      <c r="O168" s="13"/>
      <c r="P168" s="11"/>
      <c r="Q168" s="11"/>
      <c r="R168" s="13"/>
      <c r="S168" s="13"/>
      <c r="T168" s="11"/>
      <c r="U168" s="11"/>
      <c r="V168" s="13"/>
      <c r="W168" s="13"/>
      <c r="X168" s="11"/>
      <c r="Y168" s="11"/>
      <c r="Z168" s="13"/>
      <c r="AA168" s="13"/>
      <c r="AB168" s="11"/>
      <c r="AC168" s="11"/>
      <c r="AD168" s="13"/>
      <c r="AE168" s="13"/>
      <c r="AF168" s="11"/>
      <c r="AG168" s="11"/>
      <c r="AH168" s="13"/>
      <c r="AI168" s="13"/>
      <c r="AJ168" s="11"/>
      <c r="AK168" s="11"/>
      <c r="AL168" s="13"/>
      <c r="AM168" s="13"/>
      <c r="AN168" s="11"/>
      <c r="AO168" s="11"/>
    </row>
    <row r="169" spans="1:41">
      <c r="A169" s="3">
        <v>163</v>
      </c>
      <c r="B169" s="201"/>
      <c r="C169" s="119" t="s">
        <v>430</v>
      </c>
      <c r="D169" s="120" t="s">
        <v>367</v>
      </c>
      <c r="E169" s="120"/>
      <c r="F169" s="121" t="s">
        <v>179</v>
      </c>
      <c r="G169" s="17" t="s">
        <v>431</v>
      </c>
      <c r="H169" s="22"/>
      <c r="I169" s="22"/>
      <c r="J169" s="13" t="s">
        <v>89</v>
      </c>
      <c r="K169" s="13"/>
      <c r="L169" s="11"/>
      <c r="M169" s="11"/>
      <c r="N169" s="13"/>
      <c r="O169" s="13"/>
      <c r="P169" s="11"/>
      <c r="Q169" s="11"/>
      <c r="R169" s="13"/>
      <c r="S169" s="13"/>
      <c r="T169" s="11"/>
      <c r="U169" s="11"/>
      <c r="V169" s="13"/>
      <c r="W169" s="13"/>
      <c r="X169" s="11"/>
      <c r="Y169" s="11"/>
      <c r="Z169" s="13"/>
      <c r="AA169" s="13"/>
      <c r="AB169" s="11"/>
      <c r="AC169" s="11"/>
      <c r="AD169" s="13"/>
      <c r="AE169" s="13"/>
      <c r="AF169" s="11"/>
      <c r="AG169" s="11"/>
      <c r="AH169" s="13"/>
      <c r="AI169" s="13"/>
      <c r="AJ169" s="11"/>
      <c r="AK169" s="11"/>
      <c r="AL169" s="13"/>
      <c r="AM169" s="13"/>
      <c r="AN169" s="11"/>
      <c r="AO169" s="11"/>
    </row>
    <row r="170" spans="1:41">
      <c r="A170" s="203" t="s">
        <v>432</v>
      </c>
      <c r="B170" s="204"/>
      <c r="C170" s="204"/>
      <c r="D170" s="204"/>
      <c r="E170" s="204"/>
      <c r="F170" s="204"/>
      <c r="G170" s="204"/>
      <c r="H170" s="22"/>
      <c r="I170" s="22"/>
      <c r="J170" s="13" t="s">
        <v>89</v>
      </c>
      <c r="K170" s="13"/>
      <c r="L170" s="11"/>
      <c r="M170" s="11"/>
      <c r="N170" s="13"/>
      <c r="O170" s="13"/>
      <c r="P170" s="11"/>
      <c r="Q170" s="11"/>
      <c r="R170" s="13"/>
      <c r="S170" s="13"/>
      <c r="T170" s="11"/>
      <c r="U170" s="11"/>
      <c r="V170" s="13"/>
      <c r="W170" s="13"/>
      <c r="X170" s="11"/>
      <c r="Y170" s="11"/>
      <c r="Z170" s="13"/>
      <c r="AA170" s="13"/>
      <c r="AB170" s="11"/>
      <c r="AC170" s="11"/>
      <c r="AD170" s="13"/>
      <c r="AE170" s="13"/>
      <c r="AF170" s="11"/>
      <c r="AG170" s="11"/>
      <c r="AH170" s="13"/>
      <c r="AI170" s="13"/>
      <c r="AJ170" s="11"/>
      <c r="AK170" s="11"/>
      <c r="AL170" s="13"/>
      <c r="AM170" s="13"/>
      <c r="AN170" s="11"/>
      <c r="AO170" s="11"/>
    </row>
    <row r="171" spans="1:41" ht="15.95" customHeight="1">
      <c r="A171" s="3">
        <v>164</v>
      </c>
      <c r="B171" s="212" t="s">
        <v>433</v>
      </c>
      <c r="C171" s="8" t="s">
        <v>434</v>
      </c>
      <c r="D171" s="20" t="s">
        <v>87</v>
      </c>
      <c r="E171" s="20">
        <v>200</v>
      </c>
      <c r="F171" s="90"/>
      <c r="G171" s="90" t="s">
        <v>435</v>
      </c>
      <c r="H171" s="22"/>
      <c r="I171" s="22"/>
      <c r="J171" s="13" t="s">
        <v>89</v>
      </c>
      <c r="K171" s="13"/>
      <c r="L171" s="11"/>
      <c r="M171" s="11"/>
      <c r="N171" s="13"/>
      <c r="O171" s="13"/>
      <c r="P171" s="11"/>
      <c r="Q171" s="11"/>
      <c r="R171" s="13"/>
      <c r="S171" s="13"/>
      <c r="T171" s="11"/>
      <c r="U171" s="11"/>
      <c r="V171" s="13"/>
      <c r="W171" s="13"/>
      <c r="X171" s="11"/>
      <c r="Y171" s="11"/>
      <c r="Z171" s="13"/>
      <c r="AA171" s="13"/>
      <c r="AB171" s="11"/>
      <c r="AC171" s="11"/>
      <c r="AD171" s="13"/>
      <c r="AE171" s="13"/>
      <c r="AF171" s="11"/>
      <c r="AG171" s="11"/>
      <c r="AH171" s="13"/>
      <c r="AI171" s="13"/>
      <c r="AJ171" s="11"/>
      <c r="AK171" s="11"/>
      <c r="AL171" s="13"/>
      <c r="AM171" s="13"/>
      <c r="AN171" s="11"/>
      <c r="AO171" s="11"/>
    </row>
    <row r="172" spans="1:41" ht="15.95" customHeight="1">
      <c r="A172" s="3">
        <v>165</v>
      </c>
      <c r="B172" s="213"/>
      <c r="C172" s="8" t="s">
        <v>436</v>
      </c>
      <c r="D172" s="20" t="s">
        <v>87</v>
      </c>
      <c r="E172" s="20">
        <v>200</v>
      </c>
      <c r="F172" s="90"/>
      <c r="G172" s="90" t="s">
        <v>437</v>
      </c>
      <c r="H172" s="22"/>
      <c r="I172" s="22"/>
      <c r="J172" s="13" t="s">
        <v>89</v>
      </c>
      <c r="K172" s="13"/>
      <c r="L172" s="11"/>
      <c r="M172" s="11"/>
      <c r="N172" s="13"/>
      <c r="O172" s="13"/>
      <c r="P172" s="11"/>
      <c r="Q172" s="11"/>
      <c r="R172" s="13"/>
      <c r="S172" s="13"/>
      <c r="T172" s="11"/>
      <c r="U172" s="11"/>
      <c r="V172" s="13"/>
      <c r="W172" s="13"/>
      <c r="X172" s="11"/>
      <c r="Y172" s="11"/>
      <c r="Z172" s="13"/>
      <c r="AA172" s="13"/>
      <c r="AB172" s="11"/>
      <c r="AC172" s="11"/>
      <c r="AD172" s="13"/>
      <c r="AE172" s="13"/>
      <c r="AF172" s="11"/>
      <c r="AG172" s="11"/>
      <c r="AH172" s="13"/>
      <c r="AI172" s="13"/>
      <c r="AJ172" s="11"/>
      <c r="AK172" s="11"/>
      <c r="AL172" s="13"/>
      <c r="AM172" s="13"/>
      <c r="AN172" s="11"/>
      <c r="AO172" s="11"/>
    </row>
    <row r="173" spans="1:41" ht="15.95" customHeight="1">
      <c r="A173" s="3">
        <v>166</v>
      </c>
      <c r="B173" s="213"/>
      <c r="C173" s="8" t="s">
        <v>438</v>
      </c>
      <c r="D173" s="20" t="s">
        <v>87</v>
      </c>
      <c r="E173" s="20">
        <v>6</v>
      </c>
      <c r="F173" s="90"/>
      <c r="G173" s="90" t="s">
        <v>439</v>
      </c>
      <c r="H173" s="22"/>
      <c r="I173" s="22"/>
      <c r="J173" s="13" t="s">
        <v>89</v>
      </c>
      <c r="K173" s="13"/>
      <c r="L173" s="11"/>
      <c r="M173" s="11"/>
      <c r="N173" s="13"/>
      <c r="O173" s="13"/>
      <c r="P173" s="11"/>
      <c r="Q173" s="11"/>
      <c r="R173" s="13"/>
      <c r="S173" s="13"/>
      <c r="T173" s="11"/>
      <c r="U173" s="11"/>
      <c r="V173" s="13"/>
      <c r="W173" s="13"/>
      <c r="X173" s="11"/>
      <c r="Y173" s="11"/>
      <c r="Z173" s="13"/>
      <c r="AA173" s="13"/>
      <c r="AB173" s="11"/>
      <c r="AC173" s="11"/>
      <c r="AD173" s="13"/>
      <c r="AE173" s="13"/>
      <c r="AF173" s="11"/>
      <c r="AG173" s="11"/>
      <c r="AH173" s="13"/>
      <c r="AI173" s="13"/>
      <c r="AJ173" s="11"/>
      <c r="AK173" s="11"/>
      <c r="AL173" s="13"/>
      <c r="AM173" s="13"/>
      <c r="AN173" s="11"/>
      <c r="AO173" s="11"/>
    </row>
    <row r="174" spans="1:41" ht="15.95" customHeight="1">
      <c r="A174" s="3">
        <v>167</v>
      </c>
      <c r="B174" s="213"/>
      <c r="C174" s="8" t="s">
        <v>440</v>
      </c>
      <c r="D174" s="20" t="s">
        <v>87</v>
      </c>
      <c r="E174" s="20">
        <v>8</v>
      </c>
      <c r="F174" s="90"/>
      <c r="G174" s="90" t="s">
        <v>441</v>
      </c>
      <c r="H174" s="22"/>
      <c r="I174" s="22"/>
      <c r="J174" s="13" t="s">
        <v>89</v>
      </c>
      <c r="K174" s="13"/>
      <c r="L174" s="11"/>
      <c r="M174" s="11"/>
      <c r="N174" s="13"/>
      <c r="O174" s="13"/>
      <c r="P174" s="11"/>
      <c r="Q174" s="11"/>
      <c r="R174" s="13"/>
      <c r="S174" s="13"/>
      <c r="T174" s="11"/>
      <c r="U174" s="11"/>
      <c r="V174" s="13"/>
      <c r="W174" s="13"/>
      <c r="X174" s="11"/>
      <c r="Y174" s="11"/>
      <c r="Z174" s="13"/>
      <c r="AA174" s="13"/>
      <c r="AB174" s="11"/>
      <c r="AC174" s="11"/>
      <c r="AD174" s="13"/>
      <c r="AE174" s="13"/>
      <c r="AF174" s="11"/>
      <c r="AG174" s="11"/>
      <c r="AH174" s="13"/>
      <c r="AI174" s="13"/>
      <c r="AJ174" s="11"/>
      <c r="AK174" s="11"/>
      <c r="AL174" s="13"/>
      <c r="AM174" s="13"/>
      <c r="AN174" s="11"/>
      <c r="AO174" s="11"/>
    </row>
    <row r="175" spans="1:41">
      <c r="A175" s="203" t="s">
        <v>442</v>
      </c>
      <c r="B175" s="204"/>
      <c r="C175" s="204"/>
      <c r="D175" s="204"/>
      <c r="E175" s="204"/>
      <c r="F175" s="204"/>
      <c r="G175" s="204"/>
      <c r="H175" s="22"/>
      <c r="I175" s="22"/>
      <c r="J175" s="13"/>
      <c r="K175" s="13"/>
      <c r="L175" s="11"/>
      <c r="M175" s="11"/>
      <c r="N175" s="13"/>
      <c r="O175" s="13"/>
      <c r="P175" s="11"/>
      <c r="Q175" s="11"/>
      <c r="R175" s="13"/>
      <c r="S175" s="13"/>
      <c r="T175" s="11"/>
      <c r="U175" s="11"/>
      <c r="V175" s="13"/>
      <c r="W175" s="13"/>
      <c r="X175" s="11"/>
      <c r="Y175" s="11"/>
      <c r="Z175" s="13"/>
      <c r="AA175" s="13"/>
      <c r="AB175" s="11"/>
      <c r="AC175" s="11"/>
      <c r="AD175" s="13"/>
      <c r="AE175" s="13"/>
      <c r="AF175" s="11"/>
      <c r="AG175" s="11"/>
      <c r="AH175" s="13"/>
      <c r="AI175" s="13"/>
      <c r="AJ175" s="11"/>
      <c r="AK175" s="11"/>
      <c r="AL175" s="13"/>
      <c r="AM175" s="13"/>
      <c r="AN175" s="11"/>
      <c r="AO175" s="11"/>
    </row>
    <row r="176" spans="1:41" ht="12.95" customHeight="1">
      <c r="A176" s="3">
        <v>168</v>
      </c>
      <c r="B176" s="208"/>
      <c r="C176" s="19" t="s">
        <v>443</v>
      </c>
      <c r="D176" s="19" t="s">
        <v>87</v>
      </c>
      <c r="E176" s="19">
        <v>65535</v>
      </c>
      <c r="F176" s="19"/>
      <c r="G176" s="115" t="s">
        <v>444</v>
      </c>
      <c r="H176" s="22"/>
      <c r="I176" s="22"/>
      <c r="J176" s="13"/>
      <c r="K176" s="13"/>
      <c r="L176" s="11"/>
      <c r="M176" s="11"/>
      <c r="N176" s="13"/>
      <c r="O176" s="13"/>
      <c r="P176" s="11"/>
      <c r="Q176" s="11"/>
      <c r="R176" s="13"/>
      <c r="S176" s="13"/>
      <c r="T176" s="11"/>
      <c r="U176" s="11"/>
      <c r="V176" s="13"/>
      <c r="W176" s="13"/>
      <c r="X176" s="21" t="s">
        <v>92</v>
      </c>
      <c r="Y176" s="11"/>
      <c r="Z176" s="13"/>
      <c r="AA176" s="13"/>
      <c r="AB176" s="11"/>
      <c r="AC176" s="11"/>
      <c r="AD176" s="13"/>
      <c r="AE176" s="13"/>
      <c r="AF176" s="11"/>
      <c r="AG176" s="11"/>
      <c r="AH176" s="13"/>
      <c r="AI176" s="13"/>
      <c r="AJ176" s="11"/>
      <c r="AK176" s="11"/>
      <c r="AL176" s="13"/>
      <c r="AM176" s="13"/>
      <c r="AN176" s="11"/>
      <c r="AO176" s="11"/>
    </row>
    <row r="177" spans="1:41" ht="12.95" customHeight="1">
      <c r="A177" s="3">
        <v>169</v>
      </c>
      <c r="B177" s="209"/>
      <c r="C177" s="19" t="s">
        <v>445</v>
      </c>
      <c r="D177" s="19" t="s">
        <v>87</v>
      </c>
      <c r="E177" s="19">
        <v>65535</v>
      </c>
      <c r="F177" s="19"/>
      <c r="G177" s="115" t="s">
        <v>446</v>
      </c>
      <c r="H177" s="22"/>
      <c r="I177" s="22"/>
      <c r="J177" s="13"/>
      <c r="K177" s="13"/>
      <c r="L177" s="11"/>
      <c r="M177" s="11"/>
      <c r="N177" s="21" t="s">
        <v>92</v>
      </c>
      <c r="O177" s="13"/>
      <c r="P177" s="11"/>
      <c r="Q177" s="11"/>
      <c r="R177" s="13"/>
      <c r="S177" s="13"/>
      <c r="T177" s="11"/>
      <c r="U177" s="11"/>
      <c r="V177" s="13"/>
      <c r="W177" s="13"/>
      <c r="X177" s="11"/>
      <c r="Y177" s="11"/>
      <c r="Z177" s="13"/>
      <c r="AA177" s="13"/>
      <c r="AB177" s="11"/>
      <c r="AC177" s="11"/>
      <c r="AD177" s="13"/>
      <c r="AE177" s="13"/>
      <c r="AF177" s="11"/>
      <c r="AG177" s="11"/>
      <c r="AH177" s="13"/>
      <c r="AI177" s="13"/>
      <c r="AJ177" s="11"/>
      <c r="AK177" s="11"/>
      <c r="AL177" s="13"/>
      <c r="AM177" s="13"/>
      <c r="AN177" s="11"/>
      <c r="AO177" s="11"/>
    </row>
    <row r="178" spans="1:41" ht="27" customHeight="1">
      <c r="A178" s="3">
        <v>170</v>
      </c>
      <c r="B178" s="209"/>
      <c r="C178" s="19" t="s">
        <v>447</v>
      </c>
      <c r="D178" s="19" t="s">
        <v>448</v>
      </c>
      <c r="E178" s="19"/>
      <c r="F178" s="19"/>
      <c r="G178" s="115" t="s">
        <v>449</v>
      </c>
      <c r="H178" s="22"/>
      <c r="I178" s="22"/>
      <c r="J178" s="13"/>
      <c r="K178" s="13"/>
      <c r="L178" s="11"/>
      <c r="M178" s="11"/>
      <c r="N178" s="13"/>
      <c r="O178" s="13"/>
      <c r="P178" s="11"/>
      <c r="Q178" s="11"/>
      <c r="R178" s="13"/>
      <c r="S178" s="13"/>
      <c r="T178" s="21" t="s">
        <v>92</v>
      </c>
      <c r="U178" s="11"/>
      <c r="V178" s="13"/>
      <c r="W178" s="13"/>
      <c r="X178" s="11"/>
      <c r="Y178" s="11"/>
      <c r="Z178" s="13"/>
      <c r="AA178" s="13"/>
      <c r="AB178" s="11"/>
      <c r="AC178" s="11"/>
      <c r="AD178" s="13"/>
      <c r="AE178" s="13"/>
      <c r="AF178" s="11"/>
      <c r="AG178" s="11"/>
      <c r="AH178" s="13"/>
      <c r="AI178" s="13"/>
      <c r="AJ178" s="11"/>
      <c r="AK178" s="11"/>
      <c r="AL178" s="13"/>
      <c r="AM178" s="13"/>
      <c r="AN178" s="11"/>
      <c r="AO178" s="11"/>
    </row>
    <row r="179" spans="1:41" ht="30.95" customHeight="1">
      <c r="A179" s="3">
        <v>171</v>
      </c>
      <c r="B179" s="209"/>
      <c r="C179" s="19" t="s">
        <v>450</v>
      </c>
      <c r="D179" s="24" t="s">
        <v>451</v>
      </c>
      <c r="E179" s="19"/>
      <c r="F179" s="19"/>
      <c r="G179" s="115" t="s">
        <v>452</v>
      </c>
      <c r="H179" s="22"/>
      <c r="I179" s="22"/>
      <c r="J179" s="13"/>
      <c r="K179" s="13"/>
      <c r="L179" s="11"/>
      <c r="M179" s="11"/>
      <c r="N179" s="13"/>
      <c r="O179" s="13"/>
      <c r="P179" s="11"/>
      <c r="Q179" s="11"/>
      <c r="R179" s="13"/>
      <c r="S179" s="13"/>
      <c r="T179" s="21" t="s">
        <v>92</v>
      </c>
      <c r="U179" s="11"/>
      <c r="V179" s="13"/>
      <c r="W179" s="13"/>
      <c r="X179" s="11"/>
      <c r="Y179" s="11"/>
      <c r="Z179" s="13"/>
      <c r="AA179" s="13"/>
      <c r="AB179" s="11"/>
      <c r="AC179" s="11"/>
      <c r="AD179" s="13"/>
      <c r="AE179" s="13"/>
      <c r="AF179" s="11"/>
      <c r="AG179" s="11"/>
      <c r="AH179" s="13"/>
      <c r="AI179" s="13"/>
      <c r="AJ179" s="11"/>
      <c r="AK179" s="11"/>
      <c r="AL179" s="13"/>
      <c r="AM179" s="13"/>
      <c r="AN179" s="11"/>
      <c r="AO179" s="11"/>
    </row>
    <row r="180" spans="1:41" ht="12.95" customHeight="1">
      <c r="A180" s="3">
        <v>172</v>
      </c>
      <c r="B180" s="209"/>
      <c r="C180" s="19" t="s">
        <v>453</v>
      </c>
      <c r="D180" s="19" t="s">
        <v>163</v>
      </c>
      <c r="E180" s="19"/>
      <c r="F180" s="19"/>
      <c r="G180" s="115" t="s">
        <v>454</v>
      </c>
      <c r="H180" s="22"/>
      <c r="I180" s="22"/>
      <c r="J180" s="13" t="s">
        <v>139</v>
      </c>
      <c r="K180" s="13"/>
      <c r="L180" s="11"/>
      <c r="M180" s="11"/>
      <c r="N180" s="13"/>
      <c r="O180" s="13"/>
      <c r="P180" s="11"/>
      <c r="Q180" s="11"/>
      <c r="R180" s="13"/>
      <c r="S180" s="13"/>
      <c r="T180" s="11"/>
      <c r="U180" s="11"/>
      <c r="V180" s="13"/>
      <c r="W180" s="13"/>
      <c r="X180" s="11"/>
      <c r="Y180" s="11"/>
      <c r="Z180" s="13"/>
      <c r="AA180" s="13"/>
      <c r="AB180" s="11"/>
      <c r="AC180" s="11"/>
      <c r="AD180" s="13"/>
      <c r="AE180" s="13"/>
      <c r="AF180" s="11"/>
      <c r="AG180" s="11"/>
      <c r="AH180" s="13"/>
      <c r="AI180" s="13"/>
      <c r="AJ180" s="11"/>
      <c r="AK180" s="11"/>
      <c r="AL180" s="13"/>
      <c r="AM180" s="13"/>
      <c r="AN180" s="11"/>
      <c r="AO180" s="11"/>
    </row>
    <row r="181" spans="1:41" ht="12.95" customHeight="1">
      <c r="A181" s="3">
        <v>173</v>
      </c>
      <c r="B181" s="209"/>
      <c r="C181" s="19" t="s">
        <v>455</v>
      </c>
      <c r="D181" s="19" t="s">
        <v>163</v>
      </c>
      <c r="E181" s="19"/>
      <c r="F181" s="19"/>
      <c r="G181" s="115" t="s">
        <v>456</v>
      </c>
      <c r="H181" s="22"/>
      <c r="I181" s="22"/>
      <c r="J181" s="13" t="s">
        <v>139</v>
      </c>
      <c r="K181" s="13"/>
      <c r="L181" s="11"/>
      <c r="M181" s="11"/>
      <c r="N181" s="13"/>
      <c r="O181" s="13"/>
      <c r="P181" s="11"/>
      <c r="Q181" s="11"/>
      <c r="R181" s="13"/>
      <c r="S181" s="13"/>
      <c r="T181" s="11"/>
      <c r="U181" s="11"/>
      <c r="V181" s="13"/>
      <c r="W181" s="13"/>
      <c r="X181" s="11"/>
      <c r="Y181" s="11"/>
      <c r="Z181" s="13"/>
      <c r="AA181" s="13"/>
      <c r="AB181" s="11"/>
      <c r="AC181" s="11"/>
      <c r="AD181" s="13"/>
      <c r="AE181" s="13"/>
      <c r="AF181" s="11"/>
      <c r="AG181" s="11"/>
      <c r="AH181" s="13"/>
      <c r="AI181" s="13"/>
      <c r="AJ181" s="11"/>
      <c r="AK181" s="11"/>
      <c r="AL181" s="13"/>
      <c r="AM181" s="13"/>
      <c r="AN181" s="11"/>
      <c r="AO181" s="11"/>
    </row>
    <row r="182" spans="1:41" ht="12.95" customHeight="1">
      <c r="A182" s="3">
        <v>174</v>
      </c>
      <c r="B182" s="209"/>
      <c r="C182" s="19" t="s">
        <v>457</v>
      </c>
      <c r="D182" s="19" t="s">
        <v>163</v>
      </c>
      <c r="E182" s="19"/>
      <c r="F182" s="19"/>
      <c r="G182" s="115" t="s">
        <v>458</v>
      </c>
      <c r="H182" s="22"/>
      <c r="I182" s="22"/>
      <c r="J182" s="13" t="s">
        <v>139</v>
      </c>
      <c r="K182" s="13"/>
      <c r="L182" s="11"/>
      <c r="M182" s="11"/>
      <c r="N182" s="13"/>
      <c r="O182" s="13"/>
      <c r="P182" s="11"/>
      <c r="Q182" s="11"/>
      <c r="R182" s="13"/>
      <c r="S182" s="13"/>
      <c r="T182" s="11"/>
      <c r="U182" s="11"/>
      <c r="V182" s="13"/>
      <c r="W182" s="13"/>
      <c r="X182" s="11"/>
      <c r="Y182" s="11"/>
      <c r="Z182" s="13"/>
      <c r="AA182" s="13"/>
      <c r="AB182" s="11"/>
      <c r="AC182" s="11"/>
      <c r="AD182" s="13"/>
      <c r="AE182" s="13"/>
      <c r="AF182" s="11"/>
      <c r="AG182" s="11"/>
      <c r="AH182" s="13"/>
      <c r="AI182" s="13"/>
      <c r="AJ182" s="11"/>
      <c r="AK182" s="11"/>
      <c r="AL182" s="13"/>
      <c r="AM182" s="13"/>
      <c r="AN182" s="11"/>
      <c r="AO182" s="11"/>
    </row>
    <row r="183" spans="1:41" ht="12.95" customHeight="1">
      <c r="A183" s="3">
        <v>175</v>
      </c>
      <c r="B183" s="209"/>
      <c r="C183" s="19" t="s">
        <v>459</v>
      </c>
      <c r="D183" s="19" t="s">
        <v>163</v>
      </c>
      <c r="E183" s="19"/>
      <c r="F183" s="19"/>
      <c r="G183" s="115" t="s">
        <v>460</v>
      </c>
      <c r="H183" s="22"/>
      <c r="I183" s="22"/>
      <c r="J183" s="13" t="s">
        <v>139</v>
      </c>
      <c r="K183" s="13"/>
      <c r="L183" s="11"/>
      <c r="M183" s="11"/>
      <c r="N183" s="13"/>
      <c r="O183" s="13"/>
      <c r="P183" s="11"/>
      <c r="Q183" s="11"/>
      <c r="R183" s="13"/>
      <c r="S183" s="13"/>
      <c r="T183" s="11"/>
      <c r="U183" s="11"/>
      <c r="V183" s="13"/>
      <c r="W183" s="13"/>
      <c r="X183" s="11"/>
      <c r="Y183" s="11"/>
      <c r="Z183" s="13"/>
      <c r="AA183" s="13"/>
      <c r="AB183" s="11"/>
      <c r="AC183" s="11"/>
      <c r="AD183" s="13"/>
      <c r="AE183" s="13"/>
      <c r="AF183" s="11"/>
      <c r="AG183" s="11"/>
      <c r="AH183" s="13"/>
      <c r="AI183" s="13"/>
      <c r="AJ183" s="11"/>
      <c r="AK183" s="11"/>
      <c r="AL183" s="13"/>
      <c r="AM183" s="13"/>
      <c r="AN183" s="11"/>
      <c r="AO183" s="11"/>
    </row>
    <row r="184" spans="1:41" ht="12.95" customHeight="1">
      <c r="A184" s="3">
        <v>176</v>
      </c>
      <c r="B184" s="209"/>
      <c r="C184" s="19" t="s">
        <v>461</v>
      </c>
      <c r="D184" s="19" t="s">
        <v>163</v>
      </c>
      <c r="E184" s="19"/>
      <c r="F184" s="19"/>
      <c r="G184" s="115" t="s">
        <v>462</v>
      </c>
      <c r="H184" s="22"/>
      <c r="I184" s="22"/>
      <c r="J184" s="13" t="s">
        <v>139</v>
      </c>
      <c r="K184" s="13"/>
      <c r="L184" s="11"/>
      <c r="M184" s="11"/>
      <c r="N184" s="13"/>
      <c r="O184" s="13"/>
      <c r="P184" s="11"/>
      <c r="Q184" s="11"/>
      <c r="R184" s="13"/>
      <c r="S184" s="13"/>
      <c r="T184" s="11"/>
      <c r="U184" s="11"/>
      <c r="V184" s="13"/>
      <c r="W184" s="13"/>
      <c r="X184" s="11"/>
      <c r="Y184" s="11"/>
      <c r="Z184" s="13"/>
      <c r="AA184" s="13"/>
      <c r="AB184" s="11"/>
      <c r="AC184" s="11"/>
      <c r="AD184" s="13"/>
      <c r="AE184" s="13"/>
      <c r="AF184" s="11"/>
      <c r="AG184" s="11"/>
      <c r="AH184" s="13"/>
      <c r="AI184" s="13"/>
      <c r="AJ184" s="11"/>
      <c r="AK184" s="11"/>
      <c r="AL184" s="13"/>
      <c r="AM184" s="13"/>
      <c r="AN184" s="11"/>
      <c r="AO184" s="11"/>
    </row>
    <row r="185" spans="1:41" ht="12.95" customHeight="1">
      <c r="A185" s="3">
        <v>177</v>
      </c>
      <c r="B185" s="209"/>
      <c r="C185" s="19" t="s">
        <v>275</v>
      </c>
      <c r="D185" s="19" t="s">
        <v>87</v>
      </c>
      <c r="E185" s="19">
        <v>200</v>
      </c>
      <c r="F185" s="19"/>
      <c r="G185" s="115" t="s">
        <v>463</v>
      </c>
      <c r="H185" s="22"/>
      <c r="I185" s="22"/>
      <c r="J185" s="13" t="s">
        <v>139</v>
      </c>
      <c r="K185" s="13"/>
      <c r="L185" s="11"/>
      <c r="M185" s="11"/>
      <c r="N185" s="13"/>
      <c r="O185" s="13"/>
      <c r="P185" s="11"/>
      <c r="Q185" s="11"/>
      <c r="R185" s="13"/>
      <c r="S185" s="13"/>
      <c r="T185" s="11"/>
      <c r="U185" s="11"/>
      <c r="V185" s="13"/>
      <c r="W185" s="13"/>
      <c r="X185" s="11"/>
      <c r="Y185" s="11"/>
      <c r="Z185" s="13"/>
      <c r="AA185" s="13"/>
      <c r="AB185" s="11"/>
      <c r="AC185" s="11"/>
      <c r="AD185" s="13"/>
      <c r="AE185" s="13"/>
      <c r="AF185" s="11"/>
      <c r="AG185" s="11"/>
      <c r="AH185" s="13"/>
      <c r="AI185" s="13"/>
      <c r="AJ185" s="11"/>
      <c r="AK185" s="11"/>
      <c r="AL185" s="13"/>
      <c r="AM185" s="13"/>
      <c r="AN185" s="11"/>
      <c r="AO185" s="11"/>
    </row>
    <row r="186" spans="1:41" ht="12.95" customHeight="1">
      <c r="A186" s="3">
        <v>178</v>
      </c>
      <c r="B186" s="209"/>
      <c r="C186" s="19" t="s">
        <v>464</v>
      </c>
      <c r="D186" s="19" t="s">
        <v>102</v>
      </c>
      <c r="E186" s="19"/>
      <c r="F186" s="19"/>
      <c r="G186" s="115" t="s">
        <v>465</v>
      </c>
      <c r="H186" s="22"/>
      <c r="I186" s="22"/>
      <c r="J186" s="13" t="s">
        <v>139</v>
      </c>
      <c r="K186" s="13"/>
      <c r="L186" s="11"/>
      <c r="M186" s="11"/>
      <c r="N186" s="13"/>
      <c r="O186" s="13"/>
      <c r="P186" s="11"/>
      <c r="Q186" s="11"/>
      <c r="R186" s="13"/>
      <c r="S186" s="13"/>
      <c r="T186" s="11"/>
      <c r="U186" s="11"/>
      <c r="V186" s="13"/>
      <c r="W186" s="13"/>
      <c r="X186" s="11"/>
      <c r="Y186" s="11"/>
      <c r="Z186" s="13"/>
      <c r="AA186" s="13"/>
      <c r="AB186" s="11"/>
      <c r="AC186" s="11"/>
      <c r="AD186" s="13"/>
      <c r="AE186" s="13"/>
      <c r="AF186" s="11"/>
      <c r="AG186" s="11"/>
      <c r="AH186" s="13"/>
      <c r="AI186" s="13"/>
      <c r="AJ186" s="11"/>
      <c r="AK186" s="11"/>
      <c r="AL186" s="13"/>
      <c r="AM186" s="13"/>
      <c r="AN186" s="11"/>
      <c r="AO186" s="11"/>
    </row>
    <row r="187" spans="1:41" ht="12.95" customHeight="1">
      <c r="A187" s="3">
        <v>179</v>
      </c>
      <c r="B187" s="209"/>
      <c r="C187" s="19" t="s">
        <v>466</v>
      </c>
      <c r="D187" s="19" t="s">
        <v>102</v>
      </c>
      <c r="E187" s="19"/>
      <c r="F187" s="19"/>
      <c r="G187" s="115" t="s">
        <v>467</v>
      </c>
      <c r="H187" s="22"/>
      <c r="I187" s="22"/>
      <c r="J187" s="13"/>
      <c r="K187" s="13"/>
      <c r="L187" s="11"/>
      <c r="M187" s="11"/>
      <c r="N187" s="13"/>
      <c r="O187" s="13"/>
      <c r="P187" s="11"/>
      <c r="Q187" s="11"/>
      <c r="R187" s="13"/>
      <c r="S187" s="13"/>
      <c r="T187" s="11"/>
      <c r="U187" s="11"/>
      <c r="V187" s="13"/>
      <c r="W187" s="13"/>
      <c r="X187" s="11"/>
      <c r="Y187" s="11"/>
      <c r="Z187" s="130" t="s">
        <v>92</v>
      </c>
      <c r="AA187" s="13"/>
      <c r="AB187" s="11"/>
      <c r="AC187" s="11"/>
      <c r="AD187" s="13"/>
      <c r="AE187" s="13"/>
      <c r="AF187" s="11"/>
      <c r="AG187" s="11"/>
      <c r="AH187" s="13"/>
      <c r="AI187" s="13"/>
      <c r="AJ187" s="11"/>
      <c r="AK187" s="11"/>
      <c r="AL187" s="13"/>
      <c r="AM187" s="13"/>
      <c r="AN187" s="11"/>
      <c r="AO187" s="11"/>
    </row>
    <row r="188" spans="1:41" ht="12.95" customHeight="1">
      <c r="A188" s="3">
        <v>180</v>
      </c>
      <c r="B188" s="209"/>
      <c r="C188" s="19" t="s">
        <v>468</v>
      </c>
      <c r="D188" s="19" t="s">
        <v>163</v>
      </c>
      <c r="E188" s="19"/>
      <c r="F188" s="19"/>
      <c r="G188" s="115" t="s">
        <v>469</v>
      </c>
      <c r="H188" s="22"/>
      <c r="I188" s="22"/>
      <c r="J188" s="13"/>
      <c r="K188" s="13"/>
      <c r="L188" s="11"/>
      <c r="M188" s="11"/>
      <c r="N188" s="13"/>
      <c r="O188" s="13"/>
      <c r="P188" s="11"/>
      <c r="Q188" s="11"/>
      <c r="R188" s="13"/>
      <c r="S188" s="13"/>
      <c r="T188" s="11"/>
      <c r="U188" s="11"/>
      <c r="V188" s="13"/>
      <c r="W188" s="13"/>
      <c r="X188" s="11"/>
      <c r="Y188" s="11"/>
      <c r="Z188" s="130" t="s">
        <v>92</v>
      </c>
      <c r="AA188" s="13"/>
      <c r="AB188" s="11"/>
      <c r="AC188" s="11"/>
      <c r="AD188" s="13"/>
      <c r="AE188" s="13"/>
      <c r="AF188" s="11"/>
      <c r="AG188" s="11"/>
      <c r="AH188" s="13"/>
      <c r="AI188" s="13"/>
      <c r="AJ188" s="11"/>
      <c r="AK188" s="11"/>
      <c r="AL188" s="13"/>
      <c r="AM188" s="13"/>
      <c r="AN188" s="11"/>
      <c r="AO188" s="11"/>
    </row>
    <row r="189" spans="1:41" ht="12.95" customHeight="1">
      <c r="A189" s="3">
        <v>181</v>
      </c>
      <c r="B189" s="209"/>
      <c r="C189" s="19" t="s">
        <v>470</v>
      </c>
      <c r="D189" s="19" t="s">
        <v>102</v>
      </c>
      <c r="E189" s="19"/>
      <c r="F189" s="19"/>
      <c r="G189" s="115" t="s">
        <v>471</v>
      </c>
      <c r="H189" s="22"/>
      <c r="I189" s="22"/>
      <c r="J189" s="13"/>
      <c r="K189" s="13"/>
      <c r="L189" s="11"/>
      <c r="M189" s="11"/>
      <c r="N189" s="13"/>
      <c r="O189" s="13"/>
      <c r="P189" s="11"/>
      <c r="Q189" s="11"/>
      <c r="R189" s="13"/>
      <c r="S189" s="13"/>
      <c r="T189" s="11"/>
      <c r="U189" s="11"/>
      <c r="V189" s="13"/>
      <c r="W189" s="13"/>
      <c r="X189" s="11"/>
      <c r="Y189" s="11"/>
      <c r="Z189" s="130" t="s">
        <v>92</v>
      </c>
      <c r="AA189" s="13"/>
      <c r="AB189" s="11"/>
      <c r="AC189" s="11"/>
      <c r="AD189" s="13"/>
      <c r="AE189" s="13"/>
      <c r="AF189" s="11"/>
      <c r="AG189" s="11"/>
      <c r="AH189" s="13"/>
      <c r="AI189" s="13"/>
      <c r="AJ189" s="11"/>
      <c r="AK189" s="11"/>
      <c r="AL189" s="13"/>
      <c r="AM189" s="13"/>
      <c r="AN189" s="11"/>
      <c r="AO189" s="11"/>
    </row>
    <row r="190" spans="1:41">
      <c r="A190" s="3">
        <v>182</v>
      </c>
      <c r="B190" s="209"/>
      <c r="C190" s="19" t="s">
        <v>472</v>
      </c>
      <c r="D190" s="19" t="s">
        <v>473</v>
      </c>
      <c r="E190" s="19">
        <v>100</v>
      </c>
      <c r="F190" s="19"/>
      <c r="G190" s="115" t="s">
        <v>474</v>
      </c>
      <c r="H190" s="22"/>
      <c r="I190" s="22"/>
      <c r="J190" s="13"/>
      <c r="K190" s="13"/>
      <c r="L190" s="11"/>
      <c r="M190" s="11"/>
      <c r="N190" s="13"/>
      <c r="O190" s="13"/>
      <c r="P190" s="11"/>
      <c r="Q190" s="11"/>
      <c r="R190" s="13"/>
      <c r="S190" s="13"/>
      <c r="T190" s="11"/>
      <c r="U190" s="11"/>
      <c r="V190" s="13"/>
      <c r="W190" s="13"/>
      <c r="X190" s="11"/>
      <c r="Y190" s="11"/>
      <c r="Z190" s="13"/>
      <c r="AA190" s="13"/>
      <c r="AB190" s="11"/>
      <c r="AC190" s="11"/>
      <c r="AD190" s="13"/>
      <c r="AE190" s="13"/>
      <c r="AF190" s="11"/>
      <c r="AG190" s="11"/>
      <c r="AH190" s="13"/>
      <c r="AI190" s="13"/>
      <c r="AJ190" s="11"/>
      <c r="AK190" s="11"/>
      <c r="AL190" s="13"/>
      <c r="AM190" s="13"/>
      <c r="AN190" s="11"/>
      <c r="AO190" s="11"/>
    </row>
    <row r="191" spans="1:41">
      <c r="A191" s="3">
        <v>183</v>
      </c>
      <c r="B191" s="209"/>
      <c r="C191" s="19" t="s">
        <v>475</v>
      </c>
      <c r="D191" s="19" t="s">
        <v>87</v>
      </c>
      <c r="E191" s="19">
        <v>100</v>
      </c>
      <c r="F191" s="19"/>
      <c r="G191" s="115" t="s">
        <v>476</v>
      </c>
      <c r="H191" s="22"/>
      <c r="I191" s="22"/>
      <c r="J191" s="13"/>
      <c r="K191" s="13"/>
      <c r="L191" s="11"/>
      <c r="M191" s="11"/>
      <c r="N191" s="13"/>
      <c r="O191" s="13"/>
      <c r="P191" s="11"/>
      <c r="Q191" s="11"/>
      <c r="R191" s="13"/>
      <c r="S191" s="13"/>
      <c r="T191" s="11"/>
      <c r="U191" s="11"/>
      <c r="V191" s="13"/>
      <c r="W191" s="13"/>
      <c r="X191" s="11"/>
      <c r="Y191" s="11"/>
      <c r="Z191" s="13"/>
      <c r="AA191" s="13"/>
      <c r="AB191" s="11"/>
      <c r="AC191" s="11"/>
      <c r="AD191" s="13"/>
      <c r="AE191" s="13"/>
      <c r="AF191" s="11"/>
      <c r="AG191" s="11"/>
      <c r="AH191" s="13"/>
      <c r="AI191" s="13"/>
      <c r="AJ191" s="11"/>
      <c r="AK191" s="11"/>
      <c r="AL191" s="13"/>
      <c r="AM191" s="13"/>
      <c r="AN191" s="11"/>
      <c r="AO191" s="11"/>
    </row>
    <row r="192" spans="1:41">
      <c r="A192" s="3">
        <v>184</v>
      </c>
      <c r="B192" s="209"/>
      <c r="C192" s="19" t="s">
        <v>477</v>
      </c>
      <c r="D192" s="19" t="s">
        <v>87</v>
      </c>
      <c r="E192" s="19">
        <v>100</v>
      </c>
      <c r="F192" s="19"/>
      <c r="G192" s="115" t="s">
        <v>478</v>
      </c>
      <c r="H192" s="22"/>
      <c r="I192" s="22"/>
      <c r="J192" s="13"/>
      <c r="K192" s="13"/>
      <c r="L192" s="11"/>
      <c r="M192" s="11"/>
      <c r="N192" s="13"/>
      <c r="O192" s="13"/>
      <c r="P192" s="11"/>
      <c r="Q192" s="11"/>
      <c r="R192" s="13"/>
      <c r="S192" s="13"/>
      <c r="T192" s="11"/>
      <c r="U192" s="11"/>
      <c r="V192" s="13"/>
      <c r="W192" s="13"/>
      <c r="X192" s="11"/>
      <c r="Y192" s="11"/>
      <c r="Z192" s="13"/>
      <c r="AA192" s="13"/>
      <c r="AB192" s="11"/>
      <c r="AC192" s="11"/>
      <c r="AD192" s="13"/>
      <c r="AE192" s="13"/>
      <c r="AF192" s="11"/>
      <c r="AG192" s="11"/>
      <c r="AH192" s="13"/>
      <c r="AI192" s="13"/>
      <c r="AJ192" s="11"/>
      <c r="AK192" s="11"/>
      <c r="AL192" s="13"/>
      <c r="AM192" s="13"/>
      <c r="AN192" s="11"/>
      <c r="AO192" s="11"/>
    </row>
    <row r="193" spans="1:41">
      <c r="A193" s="3">
        <v>185</v>
      </c>
      <c r="B193" s="209"/>
      <c r="C193" s="19" t="s">
        <v>479</v>
      </c>
      <c r="D193" s="19" t="s">
        <v>480</v>
      </c>
      <c r="E193" s="19">
        <v>100</v>
      </c>
      <c r="F193" s="19"/>
      <c r="G193" s="115" t="s">
        <v>481</v>
      </c>
      <c r="H193" s="22"/>
      <c r="I193" s="22"/>
      <c r="J193" s="13"/>
      <c r="K193" s="13"/>
      <c r="L193" s="11"/>
      <c r="M193" s="11"/>
      <c r="N193" s="13"/>
      <c r="O193" s="13"/>
      <c r="P193" s="11"/>
      <c r="Q193" s="11"/>
      <c r="R193" s="13"/>
      <c r="S193" s="13"/>
      <c r="T193" s="11"/>
      <c r="U193" s="11"/>
      <c r="V193" s="13"/>
      <c r="W193" s="13"/>
      <c r="X193" s="11"/>
      <c r="Y193" s="11"/>
      <c r="Z193" s="13"/>
      <c r="AA193" s="13"/>
      <c r="AB193" s="11"/>
      <c r="AC193" s="11"/>
      <c r="AD193" s="13"/>
      <c r="AE193" s="13"/>
      <c r="AF193" s="11"/>
      <c r="AG193" s="11"/>
      <c r="AH193" s="13"/>
      <c r="AI193" s="13"/>
      <c r="AJ193" s="11"/>
      <c r="AK193" s="11"/>
      <c r="AL193" s="13"/>
      <c r="AM193" s="13"/>
      <c r="AN193" s="11"/>
      <c r="AO193" s="11"/>
    </row>
    <row r="194" spans="1:41">
      <c r="A194" s="3">
        <v>186</v>
      </c>
      <c r="B194" s="209"/>
      <c r="C194" s="19" t="s">
        <v>482</v>
      </c>
      <c r="D194" s="19" t="s">
        <v>87</v>
      </c>
      <c r="E194" s="19">
        <v>100</v>
      </c>
      <c r="F194" s="19"/>
      <c r="G194" s="115" t="s">
        <v>483</v>
      </c>
      <c r="H194" s="22"/>
      <c r="I194" s="22"/>
      <c r="J194" s="13"/>
      <c r="K194" s="13"/>
      <c r="L194" s="11"/>
      <c r="M194" s="11"/>
      <c r="N194" s="13"/>
      <c r="O194" s="13"/>
      <c r="P194" s="11"/>
      <c r="Q194" s="11"/>
      <c r="R194" s="13"/>
      <c r="S194" s="13"/>
      <c r="T194" s="11"/>
      <c r="U194" s="11"/>
      <c r="V194" s="13"/>
      <c r="W194" s="13"/>
      <c r="X194" s="11"/>
      <c r="Y194" s="11"/>
      <c r="Z194" s="13"/>
      <c r="AA194" s="13"/>
      <c r="AB194" s="11"/>
      <c r="AC194" s="11"/>
      <c r="AD194" s="13"/>
      <c r="AE194" s="13"/>
      <c r="AF194" s="11"/>
      <c r="AG194" s="11"/>
      <c r="AH194" s="13"/>
      <c r="AI194" s="13"/>
      <c r="AJ194" s="11"/>
      <c r="AK194" s="11"/>
      <c r="AL194" s="13"/>
      <c r="AM194" s="13"/>
      <c r="AN194" s="11"/>
      <c r="AO194" s="11"/>
    </row>
    <row r="195" spans="1:41">
      <c r="A195" s="3">
        <v>187</v>
      </c>
      <c r="B195" s="209"/>
      <c r="C195" s="19" t="s">
        <v>484</v>
      </c>
      <c r="D195" s="19" t="s">
        <v>87</v>
      </c>
      <c r="E195" s="19">
        <v>100</v>
      </c>
      <c r="F195" s="19"/>
      <c r="G195" s="115" t="s">
        <v>485</v>
      </c>
      <c r="H195" s="22"/>
      <c r="I195" s="22"/>
      <c r="J195" s="13"/>
      <c r="K195" s="13"/>
      <c r="L195" s="11"/>
      <c r="M195" s="11"/>
      <c r="N195" s="13"/>
      <c r="O195" s="13"/>
      <c r="P195" s="11"/>
      <c r="Q195" s="11"/>
      <c r="R195" s="13"/>
      <c r="S195" s="13"/>
      <c r="T195" s="11"/>
      <c r="U195" s="11"/>
      <c r="V195" s="13"/>
      <c r="W195" s="13"/>
      <c r="X195" s="11"/>
      <c r="Y195" s="11"/>
      <c r="Z195" s="13"/>
      <c r="AA195" s="13"/>
      <c r="AB195" s="11"/>
      <c r="AC195" s="11"/>
      <c r="AD195" s="13"/>
      <c r="AE195" s="13"/>
      <c r="AF195" s="11"/>
      <c r="AG195" s="11"/>
      <c r="AH195" s="13"/>
      <c r="AI195" s="13"/>
      <c r="AJ195" s="11"/>
      <c r="AK195" s="11"/>
      <c r="AL195" s="13"/>
      <c r="AM195" s="13"/>
      <c r="AN195" s="11"/>
      <c r="AO195" s="11"/>
    </row>
    <row r="196" spans="1:41" ht="43.5">
      <c r="B196" s="141"/>
      <c r="C196" s="19" t="s">
        <v>486</v>
      </c>
      <c r="D196" s="24" t="s">
        <v>487</v>
      </c>
      <c r="E196" s="19"/>
      <c r="F196" s="19"/>
      <c r="G196" s="115" t="s">
        <v>488</v>
      </c>
      <c r="H196" s="22"/>
      <c r="I196" s="22"/>
      <c r="J196" s="13"/>
      <c r="K196" s="13"/>
      <c r="L196" s="11"/>
      <c r="M196" s="11"/>
      <c r="N196" s="13"/>
      <c r="O196" s="13"/>
      <c r="P196" s="11"/>
      <c r="Q196" s="11"/>
      <c r="R196" s="13"/>
      <c r="S196" s="13"/>
      <c r="T196" s="11"/>
      <c r="U196" s="11"/>
      <c r="V196" s="13"/>
      <c r="W196" s="13"/>
      <c r="X196" s="11"/>
      <c r="Y196" s="11"/>
      <c r="Z196" s="13"/>
      <c r="AA196" s="13"/>
      <c r="AB196" s="11"/>
      <c r="AC196" s="11"/>
      <c r="AD196" s="13"/>
      <c r="AE196" s="13"/>
      <c r="AF196" s="11"/>
      <c r="AG196" s="11"/>
      <c r="AH196" s="13"/>
      <c r="AI196" s="13"/>
      <c r="AJ196" s="11"/>
      <c r="AK196" s="11"/>
      <c r="AL196" s="13"/>
      <c r="AM196" s="13"/>
      <c r="AN196" s="11"/>
      <c r="AO196" s="11"/>
    </row>
    <row r="197" spans="1:41">
      <c r="B197" s="141"/>
      <c r="C197" s="19"/>
      <c r="D197" s="19"/>
      <c r="E197" s="19"/>
      <c r="F197" s="19"/>
      <c r="G197" s="115"/>
      <c r="H197" s="22"/>
      <c r="I197" s="22"/>
      <c r="J197" s="13"/>
      <c r="K197" s="13"/>
      <c r="L197" s="11"/>
      <c r="M197" s="11"/>
      <c r="N197" s="13"/>
      <c r="O197" s="13"/>
      <c r="P197" s="11"/>
      <c r="Q197" s="11"/>
      <c r="R197" s="13"/>
      <c r="S197" s="13"/>
      <c r="T197" s="11"/>
      <c r="U197" s="11"/>
      <c r="V197" s="13"/>
      <c r="W197" s="13"/>
      <c r="X197" s="11"/>
      <c r="Y197" s="11"/>
      <c r="Z197" s="13"/>
      <c r="AA197" s="13"/>
      <c r="AB197" s="11"/>
      <c r="AC197" s="11"/>
      <c r="AD197" s="13"/>
      <c r="AE197" s="13"/>
      <c r="AF197" s="11"/>
      <c r="AG197" s="11"/>
      <c r="AH197" s="13"/>
      <c r="AI197" s="13"/>
      <c r="AJ197" s="11"/>
      <c r="AK197" s="11"/>
      <c r="AL197" s="13"/>
      <c r="AM197" s="13"/>
      <c r="AN197" s="11"/>
      <c r="AO197" s="11"/>
    </row>
    <row r="198" spans="1:41">
      <c r="G198" s="80" t="s">
        <v>489</v>
      </c>
    </row>
    <row r="199" spans="1:41">
      <c r="G199" s="81" t="s">
        <v>490</v>
      </c>
      <c r="H199" s="84"/>
    </row>
    <row r="200" spans="1:41">
      <c r="G200" s="82" t="s">
        <v>491</v>
      </c>
      <c r="H200" s="85"/>
    </row>
    <row r="201" spans="1:41">
      <c r="G201" s="82" t="s">
        <v>492</v>
      </c>
      <c r="H201" s="86"/>
    </row>
    <row r="202" spans="1:41">
      <c r="G202" s="82" t="s">
        <v>493</v>
      </c>
      <c r="H202" s="87"/>
    </row>
    <row r="203" spans="1:41">
      <c r="G203" s="82" t="s">
        <v>494</v>
      </c>
      <c r="H203" s="88"/>
    </row>
    <row r="204" spans="1:41">
      <c r="G204" s="83" t="s">
        <v>495</v>
      </c>
      <c r="H204" s="89"/>
    </row>
  </sheetData>
  <autoFilter ref="H3:AO174" xr:uid="{AE7AD48B-FC87-42CE-89DA-FEB4D6EFFD2B}"/>
  <mergeCells count="38">
    <mergeCell ref="B176:B195"/>
    <mergeCell ref="A175:G175"/>
    <mergeCell ref="J2:K2"/>
    <mergeCell ref="A26:G26"/>
    <mergeCell ref="B55:B58"/>
    <mergeCell ref="B27:B54"/>
    <mergeCell ref="B94:B119"/>
    <mergeCell ref="B92:B93"/>
    <mergeCell ref="A170:G170"/>
    <mergeCell ref="B171:B174"/>
    <mergeCell ref="H2:I2"/>
    <mergeCell ref="B59:B69"/>
    <mergeCell ref="B70:B84"/>
    <mergeCell ref="B85:B90"/>
    <mergeCell ref="A91:G91"/>
    <mergeCell ref="B120:B132"/>
    <mergeCell ref="B133:B135"/>
    <mergeCell ref="B136:B137"/>
    <mergeCell ref="B139:B169"/>
    <mergeCell ref="A4:G4"/>
    <mergeCell ref="B5:B18"/>
    <mergeCell ref="B19:B25"/>
    <mergeCell ref="AN2:AO2"/>
    <mergeCell ref="H1:AO1"/>
    <mergeCell ref="AB2:AC2"/>
    <mergeCell ref="AD2:AE2"/>
    <mergeCell ref="AF2:AG2"/>
    <mergeCell ref="AH2:AI2"/>
    <mergeCell ref="AJ2:AK2"/>
    <mergeCell ref="AL2:AM2"/>
    <mergeCell ref="P2:Q2"/>
    <mergeCell ref="R2:S2"/>
    <mergeCell ref="T2:U2"/>
    <mergeCell ref="V2:W2"/>
    <mergeCell ref="X2:Y2"/>
    <mergeCell ref="Z2:AA2"/>
    <mergeCell ref="L2:M2"/>
    <mergeCell ref="N2:O2"/>
  </mergeCells>
  <hyperlinks>
    <hyperlink ref="D9" location="'Enum Short Lists'!C3" display="enum" xr:uid="{2BE4FB81-56A3-476C-9BB2-BC6DAA061FF0}"/>
    <hyperlink ref="D32" location="'Enum Values'!D12" display="enum" xr:uid="{13762A39-83C8-40FC-9FAB-4342CD23149D}"/>
    <hyperlink ref="D15" location="'Enum Short Lists'!A24" display="enum - Property Construction Period" xr:uid="{ACEC4457-D05B-4B3E-A0FD-3CE573570E37}"/>
    <hyperlink ref="D68" location="'Enum Values'!J3" display="enum" xr:uid="{0AB626F0-508D-4C49-9036-D85B5D45D147}"/>
    <hyperlink ref="D93" location="'Enum Short Lists'!D74" display="enum - Income Term" xr:uid="{50920737-AF60-4814-B5CF-E2D33A03194A}"/>
    <hyperlink ref="D12" location="'Enum Short Lists'!A83" display="enum - Letting Type" xr:uid="{1DA9AAF9-DA62-4C4C-9BF3-880535414ACF}"/>
    <hyperlink ref="D29" location="'Enum Short Lists'!A91" display="enum - Tenant Type" xr:uid="{373A073A-D515-4708-82FE-396B7407483B}"/>
    <hyperlink ref="D118" location="'Enum Short Lists'!A100" display="enum - employmentTypeId_x0009_" xr:uid="{F64287D7-A8F6-48E1-8CBF-A8693F5DDA46}"/>
    <hyperlink ref="D30" location="'Enum Short Lists'!A118" display="enum" xr:uid="{B0E5079D-F1EE-443B-BA99-6F20AFB3CE21}"/>
    <hyperlink ref="D52" location="'Enum Short Lists'!A126" display="enum - resident Status_x0009_" xr:uid="{1E541563-7674-452E-91D6-7A730F71593D}"/>
    <hyperlink ref="D47" location="'Enum Short Lists'!A133" display="enum - Company Position" xr:uid="{10DC6768-26B9-4895-997A-8619090DFCE6}"/>
    <hyperlink ref="D67" location="'Enum Short Lists'!A142" display="enum - address Type" xr:uid="{933C9299-4E6B-4036-B47D-93B9D794FF24}"/>
    <hyperlink ref="D92" location="'Enum Values'!D149" display="enum" xr:uid="{45676EA1-9F91-4F12-ACB0-54310DB2DD4F}"/>
    <hyperlink ref="D42" location="'Enum Countries'!D2" display="enum" xr:uid="{4C3A0954-01A0-4154-A344-90AC0056EE7C}"/>
    <hyperlink ref="D50" location="'Enum Nationalities'!D2" display="enum" xr:uid="{BE070B68-01B3-4E80-AB8B-5FC0FA38CC1F}"/>
    <hyperlink ref="D25" location="'Enum Short Lists'!A239" display="enum" xr:uid="{6B47AD0F-0B16-4351-BF34-15E8D191B227}"/>
    <hyperlink ref="D14" location="'Enum Short Lists'!A249" display="enum - Property Type" xr:uid="{5F1B06F3-71C0-4C2C-8506-7AF23142AEEF}"/>
    <hyperlink ref="D179" location="'Enum Short Lists'!A178" display="enum - Document Type" xr:uid="{12577BD1-B060-40C8-8148-E5D628843BEE}"/>
    <hyperlink ref="D45" location="'Enum Countries'!D2" display="enum" xr:uid="{FC0DAD9E-CB48-451F-B2B8-1BD18DC6BC8F}"/>
    <hyperlink ref="D65" location="'Enum Countries'!D2" display="enum" xr:uid="{5BDFE673-1856-451E-8F55-072B0B2CC60C}"/>
    <hyperlink ref="D70" location="'Enum Short Lists'!A126" display="enum - residentStatus" xr:uid="{4F36B785-135C-42C8-B164-89A96B331D50}"/>
    <hyperlink ref="D73" location="'Enum Countries'!D2" display="enum" xr:uid="{03E96396-4017-4AB0-BD08-D5D97872A5AC}"/>
    <hyperlink ref="D75" location="'Enum Countries'!D2" display="enum" xr:uid="{DF60A5AC-5ABA-4C16-B5E0-EE37D91244C8}"/>
    <hyperlink ref="D83" location="'Enum Countries'!D2" display="enum" xr:uid="{B84B7A8F-1330-401A-B1BE-1E0271AD757A}"/>
    <hyperlink ref="D101" location="'Enum Short Lists'!D74" display="enum - Income Term" xr:uid="{BDE2A1EE-2CB4-4831-A4C9-F4C7B30D6F1C}"/>
    <hyperlink ref="D103" location="'Enum Short Lists'!D74" display="enum - Income Term" xr:uid="{73018C4E-2A79-44A3-86BD-CB6B63C17C6B}"/>
    <hyperlink ref="D141" location="'Enum Short Lists'!D74" display="enum - Income Term" xr:uid="{46BD0B83-E318-41F7-9C20-EE7FC1B5AFD2}"/>
    <hyperlink ref="D144" location="'Enum Short Lists'!D74" display="enum - Income Term" xr:uid="{E9B2F12A-1DA0-4BE6-BA40-7054A8898EF0}"/>
    <hyperlink ref="D147" location="'Enum Short Lists'!D74" display="enum - Income Term" xr:uid="{243D2FF1-6E00-4180-9081-A73501F717AA}"/>
    <hyperlink ref="D150" location="'Enum Short Lists'!D74" display="enum - Income Term" xr:uid="{ACC29C0D-94B5-4843-B85D-F2AD2EEE7745}"/>
    <hyperlink ref="D153" location="'Enum Short Lists'!D74" display="enum - Income Term" xr:uid="{D2EBEAD4-AF51-4593-8429-483F879B77C2}"/>
    <hyperlink ref="D156" location="'Enum Short Lists'!D74" display="enum - Income Term" xr:uid="{B15E07D1-1F3C-4A7C-985F-5A18BD52D56D}"/>
    <hyperlink ref="D159" location="'Enum Short Lists'!D74" display="enum - Income Term" xr:uid="{99818951-9D6A-4A16-97E0-95F355EBAA84}"/>
    <hyperlink ref="D162" location="'Enum Short Lists'!D74" display="enum - Income Term" xr:uid="{D346703D-F32A-4243-910D-E573C39AFD9A}"/>
    <hyperlink ref="D165" location="'Enum Short Lists'!D74" display="enum - Income Term" xr:uid="{7B773B9F-69CB-45BE-A0E9-9F3797B50956}"/>
    <hyperlink ref="D168" location="'Enum Short Lists'!D74" display="enum - Income Term" xr:uid="{3B4FF2E2-3CD3-440A-9EAE-47F56D869D6C}"/>
    <hyperlink ref="D94" location="'Enum Countries'!D2" display="enum" xr:uid="{5BFB4B56-D483-4BE8-999C-C3E6741DC86E}"/>
    <hyperlink ref="D108" location="'Enum Countries'!D2" display="enum" xr:uid="{7EC9E436-98CB-4AFF-A2EB-74EA094922D1}"/>
    <hyperlink ref="D110" location="'Enum Countries'!D2" display="enum" xr:uid="{28A44A8C-D92D-4E93-8BC6-E3B4D239ECA1}"/>
    <hyperlink ref="D127" location="'Enum Countries'!D2" display="enum" xr:uid="{020E983F-5B5E-4387-A201-3D2527786910}"/>
    <hyperlink ref="D129" location="'Enum Countries'!D2" display="enum" xr:uid="{44C7E182-DE87-4BED-837E-657CD28174CC}"/>
    <hyperlink ref="D120" location="'Enum Short Lists'!A109" display="enum - tradingTypeId" xr:uid="{3FE1A659-6906-4234-AD5C-D303AEB36C58}"/>
    <hyperlink ref="D106" location="'Enum Short Lists'!A74" display="enum - Income Term" xr:uid="{F6AFB9A1-35DC-4D90-B113-1E89A406E523}"/>
    <hyperlink ref="D28" location="'Enum Short Lists'!A257" display="enum - outcome" xr:uid="{C55543F3-58F9-4821-9CB6-5939C1BD8028}"/>
    <hyperlink ref="D27" location="'Enum Short Lists'!A265" display="enum -  Applicant Status" xr:uid="{995B9796-33CA-49E2-90D7-E2E09A13BE8A}"/>
    <hyperlink ref="D196" location="'Enum Short Lists'!A276" display="enum - cancellation reason" xr:uid="{ECAD8F30-35EC-448F-B83F-FF7B9C6003B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C5A162-BAAD-4063-809F-6405924EF1F3}">
  <sheetPr>
    <tabColor rgb="FF92D050"/>
  </sheetPr>
  <dimension ref="B1:D238"/>
  <sheetViews>
    <sheetView zoomScale="80" zoomScaleNormal="80" workbookViewId="0">
      <selection activeCell="B6" sqref="B6"/>
    </sheetView>
  </sheetViews>
  <sheetFormatPr defaultRowHeight="14.45"/>
  <cols>
    <col min="2" max="2" width="23.140625" customWidth="1"/>
    <col min="3" max="3" width="37.140625" customWidth="1"/>
    <col min="4" max="4" width="56.42578125" customWidth="1"/>
  </cols>
  <sheetData>
    <row r="1" spans="2:4" ht="15" thickBot="1"/>
    <row r="2" spans="2:4" ht="15.6">
      <c r="B2" s="34" t="s">
        <v>496</v>
      </c>
      <c r="C2" s="214" t="s">
        <v>497</v>
      </c>
      <c r="D2" s="215"/>
    </row>
    <row r="3" spans="2:4" ht="204" customHeight="1">
      <c r="B3" s="35" t="s">
        <v>498</v>
      </c>
      <c r="C3" s="216" t="s">
        <v>499</v>
      </c>
      <c r="D3" s="217"/>
    </row>
    <row r="4" spans="2:4">
      <c r="B4" s="36" t="s">
        <v>500</v>
      </c>
      <c r="C4" s="30" t="s">
        <v>501</v>
      </c>
      <c r="D4" s="37" t="s">
        <v>502</v>
      </c>
    </row>
    <row r="5" spans="2:4">
      <c r="B5" s="61">
        <v>1</v>
      </c>
      <c r="C5" s="60" t="s">
        <v>503</v>
      </c>
      <c r="D5" s="50"/>
    </row>
    <row r="6" spans="2:4">
      <c r="B6" s="61">
        <v>2</v>
      </c>
      <c r="C6" s="60" t="s">
        <v>504</v>
      </c>
      <c r="D6" s="50"/>
    </row>
    <row r="7" spans="2:4">
      <c r="B7" s="61">
        <v>3</v>
      </c>
      <c r="C7" s="60" t="s">
        <v>505</v>
      </c>
      <c r="D7" s="50"/>
    </row>
    <row r="8" spans="2:4">
      <c r="B8" s="61">
        <v>4</v>
      </c>
      <c r="C8" s="60" t="s">
        <v>506</v>
      </c>
      <c r="D8" s="50"/>
    </row>
    <row r="9" spans="2:4">
      <c r="B9" s="61">
        <v>5</v>
      </c>
      <c r="C9" s="60" t="s">
        <v>507</v>
      </c>
      <c r="D9" s="50"/>
    </row>
    <row r="10" spans="2:4">
      <c r="B10" s="61">
        <v>6</v>
      </c>
      <c r="C10" s="60" t="s">
        <v>508</v>
      </c>
      <c r="D10" s="50"/>
    </row>
    <row r="11" spans="2:4">
      <c r="B11" s="61">
        <v>7</v>
      </c>
      <c r="C11" s="60" t="s">
        <v>509</v>
      </c>
      <c r="D11" s="50"/>
    </row>
    <row r="12" spans="2:4">
      <c r="B12" s="61">
        <v>8</v>
      </c>
      <c r="C12" s="60" t="s">
        <v>510</v>
      </c>
      <c r="D12" s="50"/>
    </row>
    <row r="13" spans="2:4">
      <c r="B13" s="61">
        <v>9</v>
      </c>
      <c r="C13" s="60" t="s">
        <v>511</v>
      </c>
      <c r="D13" s="50"/>
    </row>
    <row r="14" spans="2:4">
      <c r="B14" s="61">
        <v>10</v>
      </c>
      <c r="C14" s="60" t="s">
        <v>512</v>
      </c>
      <c r="D14" s="50"/>
    </row>
    <row r="15" spans="2:4">
      <c r="B15" s="61">
        <v>11</v>
      </c>
      <c r="C15" s="60" t="s">
        <v>513</v>
      </c>
      <c r="D15" s="50"/>
    </row>
    <row r="16" spans="2:4">
      <c r="B16" s="61">
        <v>12</v>
      </c>
      <c r="C16" s="60" t="s">
        <v>514</v>
      </c>
      <c r="D16" s="50"/>
    </row>
    <row r="17" spans="2:4">
      <c r="B17" s="61">
        <v>13</v>
      </c>
      <c r="C17" s="60" t="s">
        <v>515</v>
      </c>
      <c r="D17" s="50"/>
    </row>
    <row r="18" spans="2:4">
      <c r="B18" s="61">
        <v>14</v>
      </c>
      <c r="C18" s="60" t="s">
        <v>516</v>
      </c>
      <c r="D18" s="50"/>
    </row>
    <row r="19" spans="2:4">
      <c r="B19" s="61">
        <v>15</v>
      </c>
      <c r="C19" s="60" t="s">
        <v>517</v>
      </c>
      <c r="D19" s="50"/>
    </row>
    <row r="20" spans="2:4">
      <c r="B20" s="61">
        <v>16</v>
      </c>
      <c r="C20" s="60" t="s">
        <v>518</v>
      </c>
      <c r="D20" s="50"/>
    </row>
    <row r="21" spans="2:4">
      <c r="B21" s="61">
        <v>17</v>
      </c>
      <c r="C21" s="60" t="s">
        <v>519</v>
      </c>
      <c r="D21" s="50"/>
    </row>
    <row r="22" spans="2:4">
      <c r="B22" s="61">
        <v>18</v>
      </c>
      <c r="C22" s="60" t="s">
        <v>520</v>
      </c>
      <c r="D22" s="50"/>
    </row>
    <row r="23" spans="2:4">
      <c r="B23" s="61">
        <v>19</v>
      </c>
      <c r="C23" s="60" t="s">
        <v>521</v>
      </c>
      <c r="D23" s="50"/>
    </row>
    <row r="24" spans="2:4">
      <c r="B24" s="61">
        <v>20</v>
      </c>
      <c r="C24" s="60" t="s">
        <v>522</v>
      </c>
      <c r="D24" s="50"/>
    </row>
    <row r="25" spans="2:4">
      <c r="B25" s="61">
        <v>21</v>
      </c>
      <c r="C25" s="60" t="s">
        <v>523</v>
      </c>
      <c r="D25" s="50"/>
    </row>
    <row r="26" spans="2:4">
      <c r="B26" s="61">
        <v>22</v>
      </c>
      <c r="C26" s="60" t="s">
        <v>524</v>
      </c>
      <c r="D26" s="50"/>
    </row>
    <row r="27" spans="2:4">
      <c r="B27" s="61">
        <v>23</v>
      </c>
      <c r="C27" s="60" t="s">
        <v>525</v>
      </c>
      <c r="D27" s="50"/>
    </row>
    <row r="28" spans="2:4">
      <c r="B28" s="61">
        <v>24</v>
      </c>
      <c r="C28" s="60" t="s">
        <v>526</v>
      </c>
      <c r="D28" s="50"/>
    </row>
    <row r="29" spans="2:4">
      <c r="B29" s="61">
        <v>25</v>
      </c>
      <c r="C29" s="60" t="s">
        <v>527</v>
      </c>
      <c r="D29" s="50"/>
    </row>
    <row r="30" spans="2:4">
      <c r="B30" s="61">
        <v>26</v>
      </c>
      <c r="C30" s="60" t="s">
        <v>528</v>
      </c>
      <c r="D30" s="50"/>
    </row>
    <row r="31" spans="2:4">
      <c r="B31" s="61">
        <v>27</v>
      </c>
      <c r="C31" s="60" t="s">
        <v>529</v>
      </c>
      <c r="D31" s="50"/>
    </row>
    <row r="32" spans="2:4">
      <c r="B32" s="61">
        <v>28</v>
      </c>
      <c r="C32" s="60" t="s">
        <v>530</v>
      </c>
      <c r="D32" s="50"/>
    </row>
    <row r="33" spans="2:4">
      <c r="B33" s="61">
        <v>29</v>
      </c>
      <c r="C33" s="60" t="s">
        <v>531</v>
      </c>
      <c r="D33" s="50"/>
    </row>
    <row r="34" spans="2:4">
      <c r="B34" s="61">
        <v>30</v>
      </c>
      <c r="C34" s="60" t="s">
        <v>532</v>
      </c>
      <c r="D34" s="50"/>
    </row>
    <row r="35" spans="2:4">
      <c r="B35" s="61">
        <v>31</v>
      </c>
      <c r="C35" s="60" t="s">
        <v>533</v>
      </c>
      <c r="D35" s="50"/>
    </row>
    <row r="36" spans="2:4">
      <c r="B36" s="61">
        <v>32</v>
      </c>
      <c r="C36" s="60" t="s">
        <v>534</v>
      </c>
      <c r="D36" s="50"/>
    </row>
    <row r="37" spans="2:4">
      <c r="B37" s="61">
        <v>33</v>
      </c>
      <c r="C37" s="60" t="s">
        <v>535</v>
      </c>
      <c r="D37" s="50"/>
    </row>
    <row r="38" spans="2:4">
      <c r="B38" s="61">
        <v>34</v>
      </c>
      <c r="C38" s="60" t="s">
        <v>536</v>
      </c>
      <c r="D38" s="50"/>
    </row>
    <row r="39" spans="2:4">
      <c r="B39" s="61">
        <v>35</v>
      </c>
      <c r="C39" s="60" t="s">
        <v>537</v>
      </c>
      <c r="D39" s="50"/>
    </row>
    <row r="40" spans="2:4">
      <c r="B40" s="61">
        <v>36</v>
      </c>
      <c r="C40" s="60" t="s">
        <v>538</v>
      </c>
      <c r="D40" s="50"/>
    </row>
    <row r="41" spans="2:4">
      <c r="B41" s="61">
        <v>37</v>
      </c>
      <c r="C41" s="60" t="s">
        <v>539</v>
      </c>
      <c r="D41" s="50"/>
    </row>
    <row r="42" spans="2:4">
      <c r="B42" s="61">
        <v>38</v>
      </c>
      <c r="C42" s="60" t="s">
        <v>540</v>
      </c>
      <c r="D42" s="50"/>
    </row>
    <row r="43" spans="2:4">
      <c r="B43" s="61">
        <v>39</v>
      </c>
      <c r="C43" s="60" t="s">
        <v>541</v>
      </c>
      <c r="D43" s="50"/>
    </row>
    <row r="44" spans="2:4">
      <c r="B44" s="61">
        <v>40</v>
      </c>
      <c r="C44" s="60" t="s">
        <v>542</v>
      </c>
      <c r="D44" s="50"/>
    </row>
    <row r="45" spans="2:4">
      <c r="B45" s="61">
        <v>41</v>
      </c>
      <c r="C45" s="60" t="s">
        <v>543</v>
      </c>
      <c r="D45" s="50"/>
    </row>
    <row r="46" spans="2:4">
      <c r="B46" s="61">
        <v>42</v>
      </c>
      <c r="C46" s="60" t="s">
        <v>544</v>
      </c>
      <c r="D46" s="50"/>
    </row>
    <row r="47" spans="2:4">
      <c r="B47" s="61">
        <v>43</v>
      </c>
      <c r="C47" s="60" t="s">
        <v>545</v>
      </c>
      <c r="D47" s="50"/>
    </row>
    <row r="48" spans="2:4">
      <c r="B48" s="61">
        <v>44</v>
      </c>
      <c r="C48" s="60" t="s">
        <v>546</v>
      </c>
      <c r="D48" s="50"/>
    </row>
    <row r="49" spans="2:4">
      <c r="B49" s="61">
        <v>45</v>
      </c>
      <c r="C49" s="60" t="s">
        <v>547</v>
      </c>
      <c r="D49" s="50"/>
    </row>
    <row r="50" spans="2:4">
      <c r="B50" s="61">
        <v>46</v>
      </c>
      <c r="C50" s="60" t="s">
        <v>548</v>
      </c>
      <c r="D50" s="50"/>
    </row>
    <row r="51" spans="2:4">
      <c r="B51" s="61">
        <v>47</v>
      </c>
      <c r="C51" s="60" t="s">
        <v>549</v>
      </c>
      <c r="D51" s="50"/>
    </row>
    <row r="52" spans="2:4">
      <c r="B52" s="61">
        <v>48</v>
      </c>
      <c r="C52" s="60" t="s">
        <v>550</v>
      </c>
      <c r="D52" s="50"/>
    </row>
    <row r="53" spans="2:4">
      <c r="B53" s="61">
        <v>49</v>
      </c>
      <c r="C53" s="60" t="s">
        <v>551</v>
      </c>
      <c r="D53" s="50"/>
    </row>
    <row r="54" spans="2:4">
      <c r="B54" s="61">
        <v>50</v>
      </c>
      <c r="C54" s="60" t="s">
        <v>552</v>
      </c>
      <c r="D54" s="50"/>
    </row>
    <row r="55" spans="2:4">
      <c r="B55" s="61">
        <v>51</v>
      </c>
      <c r="C55" s="60" t="s">
        <v>553</v>
      </c>
      <c r="D55" s="50"/>
    </row>
    <row r="56" spans="2:4">
      <c r="B56" s="61">
        <v>52</v>
      </c>
      <c r="C56" s="60" t="s">
        <v>554</v>
      </c>
      <c r="D56" s="50"/>
    </row>
    <row r="57" spans="2:4">
      <c r="B57" s="61">
        <v>53</v>
      </c>
      <c r="C57" s="60" t="s">
        <v>555</v>
      </c>
      <c r="D57" s="50"/>
    </row>
    <row r="58" spans="2:4">
      <c r="B58" s="61">
        <v>54</v>
      </c>
      <c r="C58" s="60" t="s">
        <v>556</v>
      </c>
      <c r="D58" s="50"/>
    </row>
    <row r="59" spans="2:4">
      <c r="B59" s="61">
        <v>55</v>
      </c>
      <c r="C59" s="60" t="s">
        <v>557</v>
      </c>
      <c r="D59" s="50"/>
    </row>
    <row r="60" spans="2:4">
      <c r="B60" s="61">
        <v>56</v>
      </c>
      <c r="C60" s="60" t="s">
        <v>558</v>
      </c>
      <c r="D60" s="50"/>
    </row>
    <row r="61" spans="2:4">
      <c r="B61" s="61">
        <v>57</v>
      </c>
      <c r="C61" s="60" t="s">
        <v>559</v>
      </c>
      <c r="D61" s="50"/>
    </row>
    <row r="62" spans="2:4">
      <c r="B62" s="61">
        <v>58</v>
      </c>
      <c r="C62" s="60" t="s">
        <v>560</v>
      </c>
      <c r="D62" s="64"/>
    </row>
    <row r="63" spans="2:4">
      <c r="B63" s="61">
        <v>59</v>
      </c>
      <c r="C63" s="60" t="s">
        <v>561</v>
      </c>
      <c r="D63" s="64"/>
    </row>
    <row r="64" spans="2:4">
      <c r="B64" s="61">
        <v>60</v>
      </c>
      <c r="C64" s="60" t="s">
        <v>562</v>
      </c>
      <c r="D64" s="64"/>
    </row>
    <row r="65" spans="2:4">
      <c r="B65" s="61">
        <v>61</v>
      </c>
      <c r="C65" s="60" t="s">
        <v>563</v>
      </c>
      <c r="D65" s="64"/>
    </row>
    <row r="66" spans="2:4">
      <c r="B66" s="61">
        <v>62</v>
      </c>
      <c r="C66" s="60" t="s">
        <v>564</v>
      </c>
      <c r="D66" s="64"/>
    </row>
    <row r="67" spans="2:4">
      <c r="B67" s="61">
        <v>63</v>
      </c>
      <c r="C67" s="60" t="s">
        <v>565</v>
      </c>
      <c r="D67" s="64"/>
    </row>
    <row r="68" spans="2:4">
      <c r="B68" s="61">
        <v>64</v>
      </c>
      <c r="C68" s="60" t="s">
        <v>566</v>
      </c>
      <c r="D68" s="64"/>
    </row>
    <row r="69" spans="2:4">
      <c r="B69" s="61">
        <v>65</v>
      </c>
      <c r="C69" s="60" t="s">
        <v>567</v>
      </c>
      <c r="D69" s="64"/>
    </row>
    <row r="70" spans="2:4">
      <c r="B70" s="61">
        <v>66</v>
      </c>
      <c r="C70" s="60" t="s">
        <v>568</v>
      </c>
      <c r="D70" s="64"/>
    </row>
    <row r="71" spans="2:4">
      <c r="B71" s="61">
        <v>67</v>
      </c>
      <c r="C71" s="60" t="s">
        <v>569</v>
      </c>
      <c r="D71" s="64"/>
    </row>
    <row r="72" spans="2:4">
      <c r="B72" s="61">
        <v>68</v>
      </c>
      <c r="C72" s="60" t="s">
        <v>570</v>
      </c>
      <c r="D72" s="64"/>
    </row>
    <row r="73" spans="2:4">
      <c r="B73" s="61">
        <v>69</v>
      </c>
      <c r="C73" s="60" t="s">
        <v>571</v>
      </c>
      <c r="D73" s="64"/>
    </row>
    <row r="74" spans="2:4">
      <c r="B74" s="61">
        <v>70</v>
      </c>
      <c r="C74" s="60" t="s">
        <v>572</v>
      </c>
      <c r="D74" s="64"/>
    </row>
    <row r="75" spans="2:4">
      <c r="B75" s="61">
        <v>71</v>
      </c>
      <c r="C75" s="60" t="s">
        <v>573</v>
      </c>
      <c r="D75" s="64"/>
    </row>
    <row r="76" spans="2:4">
      <c r="B76" s="61">
        <v>72</v>
      </c>
      <c r="C76" s="60" t="s">
        <v>574</v>
      </c>
      <c r="D76" s="64"/>
    </row>
    <row r="77" spans="2:4">
      <c r="B77" s="61">
        <v>73</v>
      </c>
      <c r="C77" s="60" t="s">
        <v>575</v>
      </c>
      <c r="D77" s="64"/>
    </row>
    <row r="78" spans="2:4">
      <c r="B78" s="61">
        <v>74</v>
      </c>
      <c r="C78" s="60" t="s">
        <v>576</v>
      </c>
      <c r="D78" s="64"/>
    </row>
    <row r="79" spans="2:4">
      <c r="B79" s="61">
        <v>75</v>
      </c>
      <c r="C79" s="60" t="s">
        <v>577</v>
      </c>
      <c r="D79" s="64"/>
    </row>
    <row r="80" spans="2:4">
      <c r="B80" s="61">
        <v>76</v>
      </c>
      <c r="C80" s="60" t="s">
        <v>578</v>
      </c>
      <c r="D80" s="64"/>
    </row>
    <row r="81" spans="2:4">
      <c r="B81" s="61">
        <v>77</v>
      </c>
      <c r="C81" s="60" t="s">
        <v>579</v>
      </c>
      <c r="D81" s="64"/>
    </row>
    <row r="82" spans="2:4">
      <c r="B82" s="61">
        <v>78</v>
      </c>
      <c r="C82" s="60" t="s">
        <v>580</v>
      </c>
      <c r="D82" s="64"/>
    </row>
    <row r="83" spans="2:4">
      <c r="B83" s="61">
        <v>79</v>
      </c>
      <c r="C83" s="60" t="s">
        <v>581</v>
      </c>
      <c r="D83" s="64"/>
    </row>
    <row r="84" spans="2:4">
      <c r="B84" s="61">
        <v>80</v>
      </c>
      <c r="C84" s="60" t="s">
        <v>582</v>
      </c>
      <c r="D84" s="64"/>
    </row>
    <row r="85" spans="2:4">
      <c r="B85" s="61">
        <v>81</v>
      </c>
      <c r="C85" s="60" t="s">
        <v>583</v>
      </c>
      <c r="D85" s="64"/>
    </row>
    <row r="86" spans="2:4">
      <c r="B86" s="61">
        <v>82</v>
      </c>
      <c r="C86" s="60" t="s">
        <v>584</v>
      </c>
      <c r="D86" s="64"/>
    </row>
    <row r="87" spans="2:4">
      <c r="B87" s="61">
        <v>83</v>
      </c>
      <c r="C87" s="60" t="s">
        <v>585</v>
      </c>
      <c r="D87" s="64"/>
    </row>
    <row r="88" spans="2:4">
      <c r="B88" s="61">
        <v>84</v>
      </c>
      <c r="C88" s="60" t="s">
        <v>586</v>
      </c>
      <c r="D88" s="64"/>
    </row>
    <row r="89" spans="2:4">
      <c r="B89" s="61">
        <v>85</v>
      </c>
      <c r="C89" s="60" t="s">
        <v>587</v>
      </c>
      <c r="D89" s="64"/>
    </row>
    <row r="90" spans="2:4">
      <c r="B90" s="61">
        <v>86</v>
      </c>
      <c r="C90" s="60" t="s">
        <v>588</v>
      </c>
      <c r="D90" s="64"/>
    </row>
    <row r="91" spans="2:4">
      <c r="B91" s="61">
        <v>87</v>
      </c>
      <c r="C91" s="60" t="s">
        <v>589</v>
      </c>
      <c r="D91" s="64"/>
    </row>
    <row r="92" spans="2:4">
      <c r="B92" s="61">
        <v>88</v>
      </c>
      <c r="C92" s="60" t="s">
        <v>590</v>
      </c>
      <c r="D92" s="64"/>
    </row>
    <row r="93" spans="2:4">
      <c r="B93" s="61">
        <v>89</v>
      </c>
      <c r="C93" s="60" t="s">
        <v>591</v>
      </c>
      <c r="D93" s="64"/>
    </row>
    <row r="94" spans="2:4">
      <c r="B94" s="61">
        <v>90</v>
      </c>
      <c r="C94" s="60" t="s">
        <v>592</v>
      </c>
      <c r="D94" s="64"/>
    </row>
    <row r="95" spans="2:4">
      <c r="B95" s="61">
        <v>91</v>
      </c>
      <c r="C95" s="60" t="s">
        <v>593</v>
      </c>
      <c r="D95" s="64"/>
    </row>
    <row r="96" spans="2:4">
      <c r="B96" s="61">
        <v>92</v>
      </c>
      <c r="C96" s="60" t="s">
        <v>594</v>
      </c>
      <c r="D96" s="64"/>
    </row>
    <row r="97" spans="2:4">
      <c r="B97" s="61">
        <v>93</v>
      </c>
      <c r="C97" s="60" t="s">
        <v>595</v>
      </c>
      <c r="D97" s="64"/>
    </row>
    <row r="98" spans="2:4">
      <c r="B98" s="61">
        <v>94</v>
      </c>
      <c r="C98" s="60" t="s">
        <v>596</v>
      </c>
      <c r="D98" s="64"/>
    </row>
    <row r="99" spans="2:4">
      <c r="B99" s="61">
        <v>95</v>
      </c>
      <c r="C99" s="60" t="s">
        <v>597</v>
      </c>
      <c r="D99" s="64"/>
    </row>
    <row r="100" spans="2:4">
      <c r="B100" s="61">
        <v>96</v>
      </c>
      <c r="C100" s="60" t="s">
        <v>598</v>
      </c>
      <c r="D100" s="64"/>
    </row>
    <row r="101" spans="2:4">
      <c r="B101" s="61">
        <v>97</v>
      </c>
      <c r="C101" s="60" t="s">
        <v>599</v>
      </c>
      <c r="D101" s="64"/>
    </row>
    <row r="102" spans="2:4">
      <c r="B102" s="61">
        <v>98</v>
      </c>
      <c r="C102" s="60" t="s">
        <v>600</v>
      </c>
      <c r="D102" s="64"/>
    </row>
    <row r="103" spans="2:4">
      <c r="B103" s="61">
        <v>99</v>
      </c>
      <c r="C103" s="60" t="s">
        <v>601</v>
      </c>
      <c r="D103" s="64"/>
    </row>
    <row r="104" spans="2:4">
      <c r="B104" s="61">
        <v>100</v>
      </c>
      <c r="C104" s="60" t="s">
        <v>602</v>
      </c>
      <c r="D104" s="64"/>
    </row>
    <row r="105" spans="2:4">
      <c r="B105" s="61">
        <v>101</v>
      </c>
      <c r="C105" s="60" t="s">
        <v>603</v>
      </c>
      <c r="D105" s="64"/>
    </row>
    <row r="106" spans="2:4">
      <c r="B106" s="61">
        <v>102</v>
      </c>
      <c r="C106" s="60" t="s">
        <v>604</v>
      </c>
      <c r="D106" s="64"/>
    </row>
    <row r="107" spans="2:4">
      <c r="B107" s="61">
        <v>103</v>
      </c>
      <c r="C107" s="60" t="s">
        <v>605</v>
      </c>
      <c r="D107" s="64"/>
    </row>
    <row r="108" spans="2:4">
      <c r="B108" s="61">
        <v>104</v>
      </c>
      <c r="C108" s="60" t="s">
        <v>606</v>
      </c>
      <c r="D108" s="64"/>
    </row>
    <row r="109" spans="2:4">
      <c r="B109" s="61">
        <v>105</v>
      </c>
      <c r="C109" s="60" t="s">
        <v>607</v>
      </c>
      <c r="D109" s="64"/>
    </row>
    <row r="110" spans="2:4">
      <c r="B110" s="61">
        <v>106</v>
      </c>
      <c r="C110" s="60" t="s">
        <v>608</v>
      </c>
      <c r="D110" s="64"/>
    </row>
    <row r="111" spans="2:4">
      <c r="B111" s="61">
        <v>107</v>
      </c>
      <c r="C111" s="60" t="s">
        <v>609</v>
      </c>
      <c r="D111" s="64"/>
    </row>
    <row r="112" spans="2:4">
      <c r="B112" s="61">
        <v>108</v>
      </c>
      <c r="C112" s="60" t="s">
        <v>610</v>
      </c>
      <c r="D112" s="64"/>
    </row>
    <row r="113" spans="2:4">
      <c r="B113" s="61">
        <v>109</v>
      </c>
      <c r="C113" s="60" t="s">
        <v>611</v>
      </c>
      <c r="D113" s="64"/>
    </row>
    <row r="114" spans="2:4">
      <c r="B114" s="61">
        <v>110</v>
      </c>
      <c r="C114" s="60" t="s">
        <v>612</v>
      </c>
      <c r="D114" s="64"/>
    </row>
    <row r="115" spans="2:4">
      <c r="B115" s="61">
        <v>111</v>
      </c>
      <c r="C115" s="60" t="s">
        <v>613</v>
      </c>
      <c r="D115" s="64"/>
    </row>
    <row r="116" spans="2:4">
      <c r="B116" s="61">
        <v>112</v>
      </c>
      <c r="C116" s="60" t="s">
        <v>614</v>
      </c>
      <c r="D116" s="64"/>
    </row>
    <row r="117" spans="2:4">
      <c r="B117" s="61">
        <v>113</v>
      </c>
      <c r="C117" s="60" t="s">
        <v>615</v>
      </c>
      <c r="D117" s="64"/>
    </row>
    <row r="118" spans="2:4">
      <c r="B118" s="61">
        <v>114</v>
      </c>
      <c r="C118" s="60" t="s">
        <v>616</v>
      </c>
      <c r="D118" s="64"/>
    </row>
    <row r="119" spans="2:4">
      <c r="B119" s="61">
        <v>115</v>
      </c>
      <c r="C119" s="60" t="s">
        <v>617</v>
      </c>
      <c r="D119" s="64"/>
    </row>
    <row r="120" spans="2:4">
      <c r="B120" s="61">
        <v>116</v>
      </c>
      <c r="C120" s="60" t="s">
        <v>618</v>
      </c>
      <c r="D120" s="64"/>
    </row>
    <row r="121" spans="2:4">
      <c r="B121" s="61">
        <v>117</v>
      </c>
      <c r="C121" s="60" t="s">
        <v>619</v>
      </c>
      <c r="D121" s="64"/>
    </row>
    <row r="122" spans="2:4">
      <c r="B122" s="61">
        <v>118</v>
      </c>
      <c r="C122" s="60" t="s">
        <v>620</v>
      </c>
      <c r="D122" s="64"/>
    </row>
    <row r="123" spans="2:4">
      <c r="B123" s="61">
        <v>119</v>
      </c>
      <c r="C123" s="60" t="s">
        <v>621</v>
      </c>
      <c r="D123" s="64"/>
    </row>
    <row r="124" spans="2:4">
      <c r="B124" s="61">
        <v>120</v>
      </c>
      <c r="C124" s="60" t="s">
        <v>622</v>
      </c>
      <c r="D124" s="64"/>
    </row>
    <row r="125" spans="2:4">
      <c r="B125" s="61">
        <v>121</v>
      </c>
      <c r="C125" s="60" t="s">
        <v>623</v>
      </c>
      <c r="D125" s="64"/>
    </row>
    <row r="126" spans="2:4">
      <c r="B126" s="61">
        <v>122</v>
      </c>
      <c r="C126" s="60" t="s">
        <v>624</v>
      </c>
      <c r="D126" s="64"/>
    </row>
    <row r="127" spans="2:4">
      <c r="B127" s="61">
        <v>123</v>
      </c>
      <c r="C127" s="60" t="s">
        <v>625</v>
      </c>
      <c r="D127" s="64"/>
    </row>
    <row r="128" spans="2:4">
      <c r="B128" s="61">
        <v>124</v>
      </c>
      <c r="C128" s="60" t="s">
        <v>626</v>
      </c>
      <c r="D128" s="64"/>
    </row>
    <row r="129" spans="2:4">
      <c r="B129" s="61">
        <v>125</v>
      </c>
      <c r="C129" s="60" t="s">
        <v>627</v>
      </c>
      <c r="D129" s="64"/>
    </row>
    <row r="130" spans="2:4">
      <c r="B130" s="61">
        <v>126</v>
      </c>
      <c r="C130" s="60" t="s">
        <v>628</v>
      </c>
      <c r="D130" s="64"/>
    </row>
    <row r="131" spans="2:4">
      <c r="B131" s="61">
        <v>127</v>
      </c>
      <c r="C131" s="60" t="s">
        <v>629</v>
      </c>
      <c r="D131" s="64"/>
    </row>
    <row r="132" spans="2:4">
      <c r="B132" s="61">
        <v>128</v>
      </c>
      <c r="C132" s="60" t="s">
        <v>630</v>
      </c>
      <c r="D132" s="64"/>
    </row>
    <row r="133" spans="2:4">
      <c r="B133" s="61">
        <v>129</v>
      </c>
      <c r="C133" s="60" t="s">
        <v>631</v>
      </c>
      <c r="D133" s="64"/>
    </row>
    <row r="134" spans="2:4">
      <c r="B134" s="61">
        <v>130</v>
      </c>
      <c r="C134" s="60" t="s">
        <v>632</v>
      </c>
      <c r="D134" s="64"/>
    </row>
    <row r="135" spans="2:4">
      <c r="B135" s="61">
        <v>131</v>
      </c>
      <c r="C135" s="60" t="s">
        <v>633</v>
      </c>
      <c r="D135" s="64"/>
    </row>
    <row r="136" spans="2:4">
      <c r="B136" s="61">
        <v>132</v>
      </c>
      <c r="C136" s="60" t="s">
        <v>634</v>
      </c>
      <c r="D136" s="64"/>
    </row>
    <row r="137" spans="2:4">
      <c r="B137" s="61">
        <v>133</v>
      </c>
      <c r="C137" s="60" t="s">
        <v>635</v>
      </c>
      <c r="D137" s="64"/>
    </row>
    <row r="138" spans="2:4">
      <c r="B138" s="61">
        <v>134</v>
      </c>
      <c r="C138" s="60" t="s">
        <v>636</v>
      </c>
      <c r="D138" s="64"/>
    </row>
    <row r="139" spans="2:4">
      <c r="B139" s="61">
        <v>135</v>
      </c>
      <c r="C139" s="60" t="s">
        <v>637</v>
      </c>
      <c r="D139" s="64"/>
    </row>
    <row r="140" spans="2:4">
      <c r="B140" s="61">
        <v>136</v>
      </c>
      <c r="C140" s="60" t="s">
        <v>638</v>
      </c>
      <c r="D140" s="64"/>
    </row>
    <row r="141" spans="2:4">
      <c r="B141" s="61">
        <v>137</v>
      </c>
      <c r="C141" s="60" t="s">
        <v>639</v>
      </c>
      <c r="D141" s="64"/>
    </row>
    <row r="142" spans="2:4">
      <c r="B142" s="61">
        <v>138</v>
      </c>
      <c r="C142" s="60" t="s">
        <v>640</v>
      </c>
      <c r="D142" s="64"/>
    </row>
    <row r="143" spans="2:4">
      <c r="B143" s="61">
        <v>139</v>
      </c>
      <c r="C143" s="60" t="s">
        <v>641</v>
      </c>
      <c r="D143" s="64"/>
    </row>
    <row r="144" spans="2:4">
      <c r="B144" s="61">
        <v>140</v>
      </c>
      <c r="C144" s="60" t="s">
        <v>642</v>
      </c>
      <c r="D144" s="64"/>
    </row>
    <row r="145" spans="2:4">
      <c r="B145" s="61">
        <v>141</v>
      </c>
      <c r="C145" s="60" t="s">
        <v>643</v>
      </c>
      <c r="D145" s="64"/>
    </row>
    <row r="146" spans="2:4">
      <c r="B146" s="61">
        <v>142</v>
      </c>
      <c r="C146" s="60" t="s">
        <v>644</v>
      </c>
      <c r="D146" s="64"/>
    </row>
    <row r="147" spans="2:4">
      <c r="B147" s="61">
        <v>143</v>
      </c>
      <c r="C147" s="60" t="s">
        <v>645</v>
      </c>
      <c r="D147" s="64"/>
    </row>
    <row r="148" spans="2:4">
      <c r="B148" s="61">
        <v>144</v>
      </c>
      <c r="C148" s="60" t="s">
        <v>646</v>
      </c>
      <c r="D148" s="64"/>
    </row>
    <row r="149" spans="2:4">
      <c r="B149" s="61">
        <v>145</v>
      </c>
      <c r="C149" s="60" t="s">
        <v>647</v>
      </c>
      <c r="D149" s="64"/>
    </row>
    <row r="150" spans="2:4">
      <c r="B150" s="61">
        <v>146</v>
      </c>
      <c r="C150" s="60" t="s">
        <v>648</v>
      </c>
      <c r="D150" s="64"/>
    </row>
    <row r="151" spans="2:4">
      <c r="B151" s="61">
        <v>147</v>
      </c>
      <c r="C151" s="60" t="s">
        <v>649</v>
      </c>
      <c r="D151" s="64"/>
    </row>
    <row r="152" spans="2:4">
      <c r="B152" s="61">
        <v>148</v>
      </c>
      <c r="C152" s="60" t="s">
        <v>650</v>
      </c>
      <c r="D152" s="64"/>
    </row>
    <row r="153" spans="2:4">
      <c r="B153" s="61">
        <v>149</v>
      </c>
      <c r="C153" s="60" t="s">
        <v>651</v>
      </c>
      <c r="D153" s="64"/>
    </row>
    <row r="154" spans="2:4">
      <c r="B154" s="61">
        <v>150</v>
      </c>
      <c r="C154" s="60" t="s">
        <v>652</v>
      </c>
      <c r="D154" s="64"/>
    </row>
    <row r="155" spans="2:4">
      <c r="B155" s="61">
        <v>151</v>
      </c>
      <c r="C155" s="60" t="s">
        <v>653</v>
      </c>
      <c r="D155" s="64"/>
    </row>
    <row r="156" spans="2:4">
      <c r="B156" s="61">
        <v>152</v>
      </c>
      <c r="C156" s="60" t="s">
        <v>654</v>
      </c>
      <c r="D156" s="64"/>
    </row>
    <row r="157" spans="2:4">
      <c r="B157" s="61">
        <v>153</v>
      </c>
      <c r="C157" s="60" t="s">
        <v>655</v>
      </c>
      <c r="D157" s="64"/>
    </row>
    <row r="158" spans="2:4">
      <c r="B158" s="61">
        <v>154</v>
      </c>
      <c r="C158" s="60" t="s">
        <v>656</v>
      </c>
      <c r="D158" s="64"/>
    </row>
    <row r="159" spans="2:4">
      <c r="B159" s="61">
        <v>155</v>
      </c>
      <c r="C159" s="60" t="s">
        <v>657</v>
      </c>
      <c r="D159" s="64"/>
    </row>
    <row r="160" spans="2:4">
      <c r="B160" s="61">
        <v>156</v>
      </c>
      <c r="C160" s="60" t="s">
        <v>658</v>
      </c>
      <c r="D160" s="64"/>
    </row>
    <row r="161" spans="2:4">
      <c r="B161" s="61">
        <v>157</v>
      </c>
      <c r="C161" s="60" t="s">
        <v>659</v>
      </c>
      <c r="D161" s="64"/>
    </row>
    <row r="162" spans="2:4">
      <c r="B162" s="61">
        <v>158</v>
      </c>
      <c r="C162" s="60" t="s">
        <v>660</v>
      </c>
      <c r="D162" s="64"/>
    </row>
    <row r="163" spans="2:4">
      <c r="B163" s="61">
        <v>159</v>
      </c>
      <c r="C163" s="60" t="s">
        <v>661</v>
      </c>
      <c r="D163" s="64"/>
    </row>
    <row r="164" spans="2:4">
      <c r="B164" s="61">
        <v>160</v>
      </c>
      <c r="C164" s="60" t="s">
        <v>662</v>
      </c>
      <c r="D164" s="64"/>
    </row>
    <row r="165" spans="2:4">
      <c r="B165" s="61">
        <v>161</v>
      </c>
      <c r="C165" s="60" t="s">
        <v>663</v>
      </c>
      <c r="D165" s="64"/>
    </row>
    <row r="166" spans="2:4">
      <c r="B166" s="61">
        <v>162</v>
      </c>
      <c r="C166" s="60" t="s">
        <v>664</v>
      </c>
      <c r="D166" s="64"/>
    </row>
    <row r="167" spans="2:4">
      <c r="B167" s="61">
        <v>163</v>
      </c>
      <c r="C167" s="60" t="s">
        <v>665</v>
      </c>
      <c r="D167" s="64"/>
    </row>
    <row r="168" spans="2:4">
      <c r="B168" s="61">
        <v>164</v>
      </c>
      <c r="C168" s="60" t="s">
        <v>666</v>
      </c>
      <c r="D168" s="64"/>
    </row>
    <row r="169" spans="2:4">
      <c r="B169" s="61">
        <v>165</v>
      </c>
      <c r="C169" s="60" t="s">
        <v>667</v>
      </c>
      <c r="D169" s="64"/>
    </row>
    <row r="170" spans="2:4">
      <c r="B170" s="61">
        <v>166</v>
      </c>
      <c r="C170" s="60" t="s">
        <v>668</v>
      </c>
      <c r="D170" s="64"/>
    </row>
    <row r="171" spans="2:4">
      <c r="B171" s="61">
        <v>167</v>
      </c>
      <c r="C171" s="60" t="s">
        <v>669</v>
      </c>
      <c r="D171" s="64"/>
    </row>
    <row r="172" spans="2:4">
      <c r="B172" s="61">
        <v>168</v>
      </c>
      <c r="C172" s="60" t="s">
        <v>670</v>
      </c>
      <c r="D172" s="64"/>
    </row>
    <row r="173" spans="2:4">
      <c r="B173" s="61">
        <v>169</v>
      </c>
      <c r="C173" s="60" t="s">
        <v>671</v>
      </c>
      <c r="D173" s="64"/>
    </row>
    <row r="174" spans="2:4">
      <c r="B174" s="61">
        <v>170</v>
      </c>
      <c r="C174" s="60" t="s">
        <v>672</v>
      </c>
      <c r="D174" s="64"/>
    </row>
    <row r="175" spans="2:4">
      <c r="B175" s="61">
        <v>171</v>
      </c>
      <c r="C175" s="60" t="s">
        <v>673</v>
      </c>
      <c r="D175" s="64"/>
    </row>
    <row r="176" spans="2:4">
      <c r="B176" s="61">
        <v>172</v>
      </c>
      <c r="C176" s="60" t="s">
        <v>674</v>
      </c>
      <c r="D176" s="64"/>
    </row>
    <row r="177" spans="2:4">
      <c r="B177" s="61">
        <v>173</v>
      </c>
      <c r="C177" s="60" t="s">
        <v>675</v>
      </c>
      <c r="D177" s="64"/>
    </row>
    <row r="178" spans="2:4">
      <c r="B178" s="61">
        <v>174</v>
      </c>
      <c r="C178" s="60" t="s">
        <v>676</v>
      </c>
      <c r="D178" s="64"/>
    </row>
    <row r="179" spans="2:4">
      <c r="B179" s="61">
        <v>175</v>
      </c>
      <c r="C179" s="60" t="s">
        <v>677</v>
      </c>
      <c r="D179" s="64"/>
    </row>
    <row r="180" spans="2:4">
      <c r="B180" s="61">
        <v>176</v>
      </c>
      <c r="C180" s="60" t="s">
        <v>678</v>
      </c>
      <c r="D180" s="64"/>
    </row>
    <row r="181" spans="2:4">
      <c r="B181" s="61">
        <v>177</v>
      </c>
      <c r="C181" s="60" t="s">
        <v>679</v>
      </c>
      <c r="D181" s="64"/>
    </row>
    <row r="182" spans="2:4">
      <c r="B182" s="61">
        <v>178</v>
      </c>
      <c r="C182" s="60" t="s">
        <v>680</v>
      </c>
      <c r="D182" s="64"/>
    </row>
    <row r="183" spans="2:4">
      <c r="B183" s="61">
        <v>179</v>
      </c>
      <c r="C183" s="60" t="s">
        <v>681</v>
      </c>
      <c r="D183" s="64"/>
    </row>
    <row r="184" spans="2:4">
      <c r="B184" s="61">
        <v>180</v>
      </c>
      <c r="C184" s="60" t="s">
        <v>682</v>
      </c>
      <c r="D184" s="64"/>
    </row>
    <row r="185" spans="2:4">
      <c r="B185" s="61">
        <v>181</v>
      </c>
      <c r="C185" s="60" t="s">
        <v>683</v>
      </c>
      <c r="D185" s="64"/>
    </row>
    <row r="186" spans="2:4">
      <c r="B186" s="61">
        <v>182</v>
      </c>
      <c r="C186" s="60" t="s">
        <v>684</v>
      </c>
      <c r="D186" s="64"/>
    </row>
    <row r="187" spans="2:4">
      <c r="B187" s="61">
        <v>183</v>
      </c>
      <c r="C187" s="60" t="s">
        <v>685</v>
      </c>
      <c r="D187" s="64"/>
    </row>
    <row r="188" spans="2:4">
      <c r="B188" s="61">
        <v>184</v>
      </c>
      <c r="C188" s="60" t="s">
        <v>686</v>
      </c>
      <c r="D188" s="64"/>
    </row>
    <row r="189" spans="2:4">
      <c r="B189" s="61">
        <v>185</v>
      </c>
      <c r="C189" s="60" t="s">
        <v>687</v>
      </c>
      <c r="D189" s="64"/>
    </row>
    <row r="190" spans="2:4">
      <c r="B190" s="61">
        <v>186</v>
      </c>
      <c r="C190" s="60" t="s">
        <v>688</v>
      </c>
      <c r="D190" s="64"/>
    </row>
    <row r="191" spans="2:4">
      <c r="B191" s="61">
        <v>187</v>
      </c>
      <c r="C191" s="60" t="s">
        <v>689</v>
      </c>
      <c r="D191" s="64"/>
    </row>
    <row r="192" spans="2:4">
      <c r="B192" s="61">
        <v>188</v>
      </c>
      <c r="C192" s="60" t="s">
        <v>690</v>
      </c>
      <c r="D192" s="64"/>
    </row>
    <row r="193" spans="2:4">
      <c r="B193" s="61">
        <v>189</v>
      </c>
      <c r="C193" s="60" t="s">
        <v>691</v>
      </c>
      <c r="D193" s="64"/>
    </row>
    <row r="194" spans="2:4">
      <c r="B194" s="61">
        <v>190</v>
      </c>
      <c r="C194" s="60" t="s">
        <v>692</v>
      </c>
      <c r="D194" s="64"/>
    </row>
    <row r="195" spans="2:4">
      <c r="B195" s="61">
        <v>191</v>
      </c>
      <c r="C195" s="60" t="s">
        <v>693</v>
      </c>
      <c r="D195" s="64"/>
    </row>
    <row r="196" spans="2:4">
      <c r="B196" s="61">
        <v>193</v>
      </c>
      <c r="C196" s="60" t="s">
        <v>694</v>
      </c>
      <c r="D196" s="64"/>
    </row>
    <row r="197" spans="2:4">
      <c r="B197" s="61">
        <v>194</v>
      </c>
      <c r="C197" s="60" t="s">
        <v>695</v>
      </c>
      <c r="D197" s="64"/>
    </row>
    <row r="198" spans="2:4">
      <c r="B198" s="61">
        <v>195</v>
      </c>
      <c r="C198" s="60" t="s">
        <v>696</v>
      </c>
      <c r="D198" s="64"/>
    </row>
    <row r="199" spans="2:4">
      <c r="B199" s="61">
        <v>196</v>
      </c>
      <c r="C199" s="60" t="s">
        <v>697</v>
      </c>
      <c r="D199" s="64"/>
    </row>
    <row r="200" spans="2:4">
      <c r="B200" s="61">
        <v>197</v>
      </c>
      <c r="C200" s="60" t="s">
        <v>698</v>
      </c>
      <c r="D200" s="64"/>
    </row>
    <row r="201" spans="2:4">
      <c r="B201" s="61">
        <v>198</v>
      </c>
      <c r="C201" s="60" t="s">
        <v>699</v>
      </c>
      <c r="D201" s="64"/>
    </row>
    <row r="202" spans="2:4">
      <c r="B202" s="61">
        <v>199</v>
      </c>
      <c r="C202" s="60" t="s">
        <v>700</v>
      </c>
      <c r="D202" s="64"/>
    </row>
    <row r="203" spans="2:4">
      <c r="B203" s="61">
        <v>200</v>
      </c>
      <c r="C203" s="60" t="s">
        <v>701</v>
      </c>
      <c r="D203" s="64"/>
    </row>
    <row r="204" spans="2:4">
      <c r="B204" s="61">
        <v>201</v>
      </c>
      <c r="C204" s="60" t="s">
        <v>702</v>
      </c>
      <c r="D204" s="64"/>
    </row>
    <row r="205" spans="2:4">
      <c r="B205" s="61">
        <v>202</v>
      </c>
      <c r="C205" s="60" t="s">
        <v>703</v>
      </c>
      <c r="D205" s="64"/>
    </row>
    <row r="206" spans="2:4">
      <c r="B206" s="61">
        <v>203</v>
      </c>
      <c r="C206" s="60" t="s">
        <v>704</v>
      </c>
      <c r="D206" s="64"/>
    </row>
    <row r="207" spans="2:4">
      <c r="B207" s="61">
        <v>204</v>
      </c>
      <c r="C207" s="60" t="s">
        <v>705</v>
      </c>
      <c r="D207" s="64"/>
    </row>
    <row r="208" spans="2:4">
      <c r="B208" s="61">
        <v>205</v>
      </c>
      <c r="C208" s="60" t="s">
        <v>706</v>
      </c>
      <c r="D208" s="64"/>
    </row>
    <row r="209" spans="2:4">
      <c r="B209" s="61">
        <v>206</v>
      </c>
      <c r="C209" s="60" t="s">
        <v>707</v>
      </c>
      <c r="D209" s="64"/>
    </row>
    <row r="210" spans="2:4">
      <c r="B210" s="61">
        <v>207</v>
      </c>
      <c r="C210" s="60" t="s">
        <v>708</v>
      </c>
      <c r="D210" s="64"/>
    </row>
    <row r="211" spans="2:4">
      <c r="B211" s="61">
        <v>208</v>
      </c>
      <c r="C211" s="60" t="s">
        <v>709</v>
      </c>
      <c r="D211" s="64"/>
    </row>
    <row r="212" spans="2:4">
      <c r="B212" s="61">
        <v>209</v>
      </c>
      <c r="C212" s="60" t="s">
        <v>710</v>
      </c>
      <c r="D212" s="64"/>
    </row>
    <row r="213" spans="2:4">
      <c r="B213" s="61">
        <v>210</v>
      </c>
      <c r="C213" s="60" t="s">
        <v>711</v>
      </c>
      <c r="D213" s="64"/>
    </row>
    <row r="214" spans="2:4">
      <c r="B214" s="61">
        <v>211</v>
      </c>
      <c r="C214" s="60" t="s">
        <v>712</v>
      </c>
      <c r="D214" s="64"/>
    </row>
    <row r="215" spans="2:4">
      <c r="B215" s="61">
        <v>212</v>
      </c>
      <c r="C215" s="60" t="s">
        <v>713</v>
      </c>
      <c r="D215" s="64"/>
    </row>
    <row r="216" spans="2:4">
      <c r="B216" s="61">
        <v>213</v>
      </c>
      <c r="C216" s="60" t="s">
        <v>714</v>
      </c>
      <c r="D216" s="64"/>
    </row>
    <row r="217" spans="2:4">
      <c r="B217" s="61">
        <v>214</v>
      </c>
      <c r="C217" s="60" t="s">
        <v>715</v>
      </c>
      <c r="D217" s="64"/>
    </row>
    <row r="218" spans="2:4">
      <c r="B218" s="61">
        <v>215</v>
      </c>
      <c r="C218" s="60" t="s">
        <v>716</v>
      </c>
      <c r="D218" s="64"/>
    </row>
    <row r="219" spans="2:4">
      <c r="B219" s="61">
        <v>216</v>
      </c>
      <c r="C219" s="60" t="s">
        <v>717</v>
      </c>
      <c r="D219" s="64"/>
    </row>
    <row r="220" spans="2:4">
      <c r="B220" s="61">
        <v>217</v>
      </c>
      <c r="C220" s="60" t="s">
        <v>718</v>
      </c>
      <c r="D220" s="64"/>
    </row>
    <row r="221" spans="2:4">
      <c r="B221" s="61">
        <v>218</v>
      </c>
      <c r="C221" s="60" t="s">
        <v>719</v>
      </c>
      <c r="D221" s="64"/>
    </row>
    <row r="222" spans="2:4">
      <c r="B222" s="61">
        <v>219</v>
      </c>
      <c r="C222" s="60" t="s">
        <v>720</v>
      </c>
      <c r="D222" s="64"/>
    </row>
    <row r="223" spans="2:4">
      <c r="B223" s="61">
        <v>221</v>
      </c>
      <c r="C223" s="60" t="s">
        <v>721</v>
      </c>
      <c r="D223" s="64"/>
    </row>
    <row r="224" spans="2:4">
      <c r="B224" s="61">
        <v>222</v>
      </c>
      <c r="C224" s="60" t="s">
        <v>722</v>
      </c>
      <c r="D224" s="64"/>
    </row>
    <row r="225" spans="2:4">
      <c r="B225" s="61">
        <v>223</v>
      </c>
      <c r="C225" s="60" t="s">
        <v>723</v>
      </c>
      <c r="D225" s="64"/>
    </row>
    <row r="226" spans="2:4">
      <c r="B226" s="61">
        <v>225</v>
      </c>
      <c r="C226" s="60" t="s">
        <v>724</v>
      </c>
      <c r="D226" s="64"/>
    </row>
    <row r="227" spans="2:4">
      <c r="B227" s="61">
        <v>226</v>
      </c>
      <c r="C227" s="60" t="s">
        <v>725</v>
      </c>
      <c r="D227" s="64"/>
    </row>
    <row r="228" spans="2:4">
      <c r="B228" s="61">
        <v>229</v>
      </c>
      <c r="C228" s="60" t="s">
        <v>726</v>
      </c>
      <c r="D228" s="64"/>
    </row>
    <row r="229" spans="2:4">
      <c r="B229" s="61">
        <v>230</v>
      </c>
      <c r="C229" s="60" t="s">
        <v>727</v>
      </c>
      <c r="D229" s="64"/>
    </row>
    <row r="230" spans="2:4">
      <c r="B230" s="61">
        <v>231</v>
      </c>
      <c r="C230" s="60" t="s">
        <v>728</v>
      </c>
      <c r="D230" s="64"/>
    </row>
    <row r="231" spans="2:4">
      <c r="B231" s="61">
        <v>232</v>
      </c>
      <c r="C231" s="60" t="s">
        <v>729</v>
      </c>
      <c r="D231" s="64"/>
    </row>
    <row r="232" spans="2:4">
      <c r="B232" s="61">
        <v>233</v>
      </c>
      <c r="C232" s="60" t="s">
        <v>730</v>
      </c>
      <c r="D232" s="64"/>
    </row>
    <row r="233" spans="2:4">
      <c r="B233" s="61">
        <v>234</v>
      </c>
      <c r="C233" s="60" t="s">
        <v>731</v>
      </c>
      <c r="D233" s="64"/>
    </row>
    <row r="234" spans="2:4">
      <c r="B234" s="61">
        <v>235</v>
      </c>
      <c r="C234" s="60" t="s">
        <v>732</v>
      </c>
      <c r="D234" s="64"/>
    </row>
    <row r="235" spans="2:4">
      <c r="B235" s="61">
        <v>236</v>
      </c>
      <c r="C235" s="60" t="s">
        <v>733</v>
      </c>
      <c r="D235" s="64"/>
    </row>
    <row r="236" spans="2:4">
      <c r="B236" s="61">
        <v>237</v>
      </c>
      <c r="C236" s="60" t="s">
        <v>734</v>
      </c>
      <c r="D236" s="64"/>
    </row>
    <row r="237" spans="2:4">
      <c r="B237" s="61">
        <v>238</v>
      </c>
      <c r="C237" s="60" t="s">
        <v>735</v>
      </c>
      <c r="D237" s="64"/>
    </row>
    <row r="238" spans="2:4" ht="15" thickBot="1">
      <c r="B238" s="62">
        <v>239</v>
      </c>
      <c r="C238" s="63" t="s">
        <v>736</v>
      </c>
      <c r="D238" s="65"/>
    </row>
  </sheetData>
  <mergeCells count="2">
    <mergeCell ref="C2:D2"/>
    <mergeCell ref="C3:D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C4806-8347-40F7-B5CE-41EC957FB820}">
  <sheetPr>
    <tabColor rgb="FF92D050"/>
  </sheetPr>
  <dimension ref="B2:J281"/>
  <sheetViews>
    <sheetView topLeftCell="A242" zoomScale="80" zoomScaleNormal="80" workbookViewId="0">
      <selection activeCell="C24" sqref="C24:D24"/>
    </sheetView>
  </sheetViews>
  <sheetFormatPr defaultRowHeight="14.45"/>
  <cols>
    <col min="2" max="2" width="25.5703125" customWidth="1"/>
    <col min="3" max="3" width="84.5703125" customWidth="1"/>
    <col min="4" max="4" width="50.5703125" customWidth="1"/>
    <col min="8" max="9" width="20.5703125" customWidth="1"/>
    <col min="10" max="10" width="50.5703125" customWidth="1"/>
  </cols>
  <sheetData>
    <row r="2" spans="2:4" ht="15" thickBot="1"/>
    <row r="3" spans="2:4" ht="15.6">
      <c r="B3" s="34" t="s">
        <v>496</v>
      </c>
      <c r="C3" s="214" t="s">
        <v>737</v>
      </c>
      <c r="D3" s="215"/>
    </row>
    <row r="4" spans="2:4" ht="46.5" customHeight="1">
      <c r="B4" s="35" t="s">
        <v>498</v>
      </c>
      <c r="C4" s="216" t="s">
        <v>738</v>
      </c>
      <c r="D4" s="217"/>
    </row>
    <row r="5" spans="2:4">
      <c r="B5" s="36" t="s">
        <v>500</v>
      </c>
      <c r="C5" s="30" t="s">
        <v>501</v>
      </c>
      <c r="D5" s="37" t="s">
        <v>502</v>
      </c>
    </row>
    <row r="6" spans="2:4">
      <c r="B6" s="38">
        <v>1</v>
      </c>
      <c r="C6" s="31" t="s">
        <v>739</v>
      </c>
      <c r="D6" s="43"/>
    </row>
    <row r="7" spans="2:4">
      <c r="B7" s="38">
        <v>2</v>
      </c>
      <c r="C7" s="31" t="s">
        <v>740</v>
      </c>
      <c r="D7" s="43"/>
    </row>
    <row r="8" spans="2:4" hidden="1">
      <c r="B8" s="39">
        <v>3</v>
      </c>
      <c r="C8" s="33" t="s">
        <v>741</v>
      </c>
      <c r="D8" s="43"/>
    </row>
    <row r="9" spans="2:4" ht="15" thickBot="1">
      <c r="B9" s="40">
        <v>4</v>
      </c>
      <c r="C9" s="41" t="s">
        <v>742</v>
      </c>
      <c r="D9" s="43"/>
    </row>
    <row r="11" spans="2:4" ht="15" thickBot="1"/>
    <row r="12" spans="2:4" ht="15.6">
      <c r="B12" s="34" t="s">
        <v>496</v>
      </c>
      <c r="C12" s="214" t="s">
        <v>743</v>
      </c>
      <c r="D12" s="215"/>
    </row>
    <row r="13" spans="2:4" ht="39.950000000000003" customHeight="1">
      <c r="B13" s="35" t="s">
        <v>498</v>
      </c>
      <c r="C13" s="216" t="s">
        <v>744</v>
      </c>
      <c r="D13" s="217"/>
    </row>
    <row r="14" spans="2:4">
      <c r="B14" s="36" t="s">
        <v>500</v>
      </c>
      <c r="C14" s="30" t="s">
        <v>501</v>
      </c>
      <c r="D14" s="37" t="s">
        <v>502</v>
      </c>
    </row>
    <row r="15" spans="2:4">
      <c r="B15" s="27">
        <v>1</v>
      </c>
      <c r="C15" s="26" t="s">
        <v>745</v>
      </c>
      <c r="D15" s="43"/>
    </row>
    <row r="16" spans="2:4">
      <c r="B16" s="27">
        <v>2</v>
      </c>
      <c r="C16" s="26" t="s">
        <v>746</v>
      </c>
      <c r="D16" s="43"/>
    </row>
    <row r="17" spans="2:4">
      <c r="B17" s="27">
        <v>3</v>
      </c>
      <c r="C17" s="26" t="s">
        <v>747</v>
      </c>
      <c r="D17" s="43"/>
    </row>
    <row r="18" spans="2:4">
      <c r="B18" s="27">
        <v>4</v>
      </c>
      <c r="C18" s="26" t="s">
        <v>748</v>
      </c>
      <c r="D18" s="43"/>
    </row>
    <row r="19" spans="2:4">
      <c r="B19" s="27">
        <v>5</v>
      </c>
      <c r="C19" s="26" t="s">
        <v>749</v>
      </c>
      <c r="D19" s="43"/>
    </row>
    <row r="20" spans="2:4">
      <c r="B20" s="27">
        <v>6</v>
      </c>
      <c r="C20" s="26" t="s">
        <v>750</v>
      </c>
      <c r="D20" s="42" t="s">
        <v>751</v>
      </c>
    </row>
    <row r="21" spans="2:4" ht="15" thickBot="1">
      <c r="B21" s="28">
        <v>7</v>
      </c>
      <c r="C21" s="29" t="s">
        <v>752</v>
      </c>
      <c r="D21" s="43"/>
    </row>
    <row r="23" spans="2:4" ht="15" thickBot="1"/>
    <row r="24" spans="2:4" ht="15.6">
      <c r="B24" s="34" t="s">
        <v>496</v>
      </c>
      <c r="C24" s="214" t="s">
        <v>753</v>
      </c>
      <c r="D24" s="215"/>
    </row>
    <row r="25" spans="2:4" ht="15.6">
      <c r="B25" s="35" t="s">
        <v>498</v>
      </c>
      <c r="C25" s="216" t="s">
        <v>754</v>
      </c>
      <c r="D25" s="217"/>
    </row>
    <row r="26" spans="2:4">
      <c r="B26" s="36" t="s">
        <v>500</v>
      </c>
      <c r="C26" s="30" t="s">
        <v>501</v>
      </c>
      <c r="D26" s="37" t="s">
        <v>502</v>
      </c>
    </row>
    <row r="27" spans="2:4">
      <c r="B27" s="38">
        <v>1</v>
      </c>
      <c r="C27" s="32" t="s">
        <v>755</v>
      </c>
      <c r="D27" s="43"/>
    </row>
    <row r="28" spans="2:4">
      <c r="B28" s="38">
        <v>2</v>
      </c>
      <c r="C28" s="32" t="s">
        <v>756</v>
      </c>
      <c r="D28" s="43"/>
    </row>
    <row r="29" spans="2:4">
      <c r="B29" s="38">
        <v>3</v>
      </c>
      <c r="C29" s="32" t="s">
        <v>757</v>
      </c>
      <c r="D29" s="43"/>
    </row>
    <row r="30" spans="2:4">
      <c r="B30" s="38">
        <v>4</v>
      </c>
      <c r="C30" s="32" t="s">
        <v>758</v>
      </c>
      <c r="D30" s="43"/>
    </row>
    <row r="31" spans="2:4">
      <c r="B31" s="38">
        <v>5</v>
      </c>
      <c r="C31" s="32" t="s">
        <v>759</v>
      </c>
      <c r="D31" s="43"/>
    </row>
    <row r="32" spans="2:4">
      <c r="B32" s="38">
        <v>6</v>
      </c>
      <c r="C32" s="32" t="s">
        <v>760</v>
      </c>
      <c r="D32" s="43"/>
    </row>
    <row r="33" spans="2:4">
      <c r="B33" s="38">
        <v>7</v>
      </c>
      <c r="C33" s="32" t="s">
        <v>761</v>
      </c>
      <c r="D33" s="43"/>
    </row>
    <row r="34" spans="2:4">
      <c r="B34" s="38">
        <v>8</v>
      </c>
      <c r="C34" s="32" t="s">
        <v>762</v>
      </c>
      <c r="D34" s="44"/>
    </row>
    <row r="35" spans="2:4" ht="15" thickBot="1">
      <c r="B35" s="40">
        <v>9</v>
      </c>
      <c r="C35" s="45" t="s">
        <v>763</v>
      </c>
      <c r="D35" s="46"/>
    </row>
    <row r="37" spans="2:4" ht="15" thickBot="1"/>
    <row r="38" spans="2:4" ht="15.6">
      <c r="B38" s="34" t="s">
        <v>496</v>
      </c>
      <c r="C38" s="214" t="s">
        <v>764</v>
      </c>
      <c r="D38" s="215"/>
    </row>
    <row r="39" spans="2:4" ht="15.6">
      <c r="B39" s="35" t="s">
        <v>498</v>
      </c>
      <c r="C39" s="216" t="s">
        <v>765</v>
      </c>
      <c r="D39" s="217"/>
    </row>
    <row r="40" spans="2:4">
      <c r="B40" s="36" t="s">
        <v>500</v>
      </c>
      <c r="C40" s="30" t="s">
        <v>501</v>
      </c>
      <c r="D40" s="37" t="s">
        <v>502</v>
      </c>
    </row>
    <row r="41" spans="2:4">
      <c r="B41" s="27">
        <v>1</v>
      </c>
      <c r="C41" s="26" t="s">
        <v>766</v>
      </c>
      <c r="D41" s="48"/>
    </row>
    <row r="42" spans="2:4" ht="15" thickBot="1">
      <c r="B42" s="28">
        <v>2</v>
      </c>
      <c r="C42" s="29" t="s">
        <v>767</v>
      </c>
      <c r="D42" s="48"/>
    </row>
    <row r="44" spans="2:4" ht="15" thickBot="1"/>
    <row r="45" spans="2:4" ht="15.6">
      <c r="B45" s="47" t="s">
        <v>496</v>
      </c>
      <c r="C45" s="223" t="s">
        <v>237</v>
      </c>
      <c r="D45" s="224"/>
    </row>
    <row r="46" spans="2:4" ht="15.6">
      <c r="B46" s="35" t="s">
        <v>498</v>
      </c>
      <c r="C46" s="216" t="s">
        <v>768</v>
      </c>
      <c r="D46" s="217"/>
    </row>
    <row r="47" spans="2:4">
      <c r="B47" s="36" t="s">
        <v>500</v>
      </c>
      <c r="C47" s="30" t="s">
        <v>501</v>
      </c>
      <c r="D47" s="37" t="s">
        <v>502</v>
      </c>
    </row>
    <row r="48" spans="2:4">
      <c r="B48" s="38">
        <v>1</v>
      </c>
      <c r="C48" s="31" t="s">
        <v>769</v>
      </c>
      <c r="D48" s="43"/>
    </row>
    <row r="49" spans="2:4">
      <c r="B49" s="38">
        <v>2</v>
      </c>
      <c r="C49" s="31" t="s">
        <v>770</v>
      </c>
      <c r="D49" s="43"/>
    </row>
    <row r="50" spans="2:4">
      <c r="B50" s="38">
        <v>3</v>
      </c>
      <c r="C50" s="31" t="s">
        <v>771</v>
      </c>
      <c r="D50" s="48"/>
    </row>
    <row r="51" spans="2:4">
      <c r="B51" s="38">
        <v>4</v>
      </c>
      <c r="C51" s="31" t="s">
        <v>772</v>
      </c>
      <c r="D51" s="43"/>
    </row>
    <row r="52" spans="2:4">
      <c r="B52" s="38">
        <v>5</v>
      </c>
      <c r="C52" s="31" t="s">
        <v>773</v>
      </c>
      <c r="D52" s="43"/>
    </row>
    <row r="53" spans="2:4">
      <c r="B53" s="38">
        <v>6</v>
      </c>
      <c r="C53" s="31" t="s">
        <v>774</v>
      </c>
      <c r="D53" s="48"/>
    </row>
    <row r="54" spans="2:4">
      <c r="B54" s="38">
        <v>7</v>
      </c>
      <c r="C54" s="31" t="s">
        <v>775</v>
      </c>
      <c r="D54" s="43"/>
    </row>
    <row r="55" spans="2:4">
      <c r="B55" s="38">
        <v>8</v>
      </c>
      <c r="C55" s="31" t="s">
        <v>776</v>
      </c>
      <c r="D55" s="43"/>
    </row>
    <row r="56" spans="2:4">
      <c r="B56" s="38">
        <v>9</v>
      </c>
      <c r="C56" s="31" t="s">
        <v>777</v>
      </c>
      <c r="D56" s="48"/>
    </row>
    <row r="57" spans="2:4">
      <c r="B57" s="38">
        <v>10</v>
      </c>
      <c r="C57" s="31" t="s">
        <v>778</v>
      </c>
      <c r="D57" s="43"/>
    </row>
    <row r="58" spans="2:4">
      <c r="B58" s="38">
        <v>11</v>
      </c>
      <c r="C58" s="31" t="s">
        <v>779</v>
      </c>
      <c r="D58" s="43"/>
    </row>
    <row r="59" spans="2:4" ht="15" thickBot="1">
      <c r="B59" s="40">
        <v>12</v>
      </c>
      <c r="C59" s="41" t="s">
        <v>780</v>
      </c>
      <c r="D59" s="49"/>
    </row>
    <row r="61" spans="2:4" ht="15" thickBot="1"/>
    <row r="62" spans="2:4" ht="15.6">
      <c r="B62" s="34" t="s">
        <v>496</v>
      </c>
      <c r="C62" s="222" t="s">
        <v>781</v>
      </c>
      <c r="D62" s="215"/>
    </row>
    <row r="63" spans="2:4" ht="213" customHeight="1">
      <c r="B63" s="35" t="s">
        <v>498</v>
      </c>
      <c r="C63" s="216" t="s">
        <v>782</v>
      </c>
      <c r="D63" s="217"/>
    </row>
    <row r="64" spans="2:4">
      <c r="B64" s="36" t="s">
        <v>500</v>
      </c>
      <c r="C64" s="30" t="s">
        <v>501</v>
      </c>
      <c r="D64" s="37" t="s">
        <v>502</v>
      </c>
    </row>
    <row r="65" spans="2:4">
      <c r="B65" s="27">
        <v>1</v>
      </c>
      <c r="C65" s="31" t="s">
        <v>783</v>
      </c>
      <c r="D65" s="50"/>
    </row>
    <row r="66" spans="2:4">
      <c r="B66" s="27">
        <v>2</v>
      </c>
      <c r="C66" s="31" t="s">
        <v>784</v>
      </c>
      <c r="D66" s="50"/>
    </row>
    <row r="67" spans="2:4">
      <c r="B67" s="27">
        <v>3</v>
      </c>
      <c r="C67" s="31" t="s">
        <v>785</v>
      </c>
      <c r="D67" s="50"/>
    </row>
    <row r="68" spans="2:4">
      <c r="B68" s="27">
        <v>4</v>
      </c>
      <c r="C68" s="31" t="s">
        <v>786</v>
      </c>
      <c r="D68" s="50"/>
    </row>
    <row r="69" spans="2:4">
      <c r="B69" s="27">
        <v>5</v>
      </c>
      <c r="C69" s="31" t="s">
        <v>787</v>
      </c>
      <c r="D69" s="50"/>
    </row>
    <row r="70" spans="2:4">
      <c r="B70" s="27">
        <v>6</v>
      </c>
      <c r="C70" s="31" t="s">
        <v>788</v>
      </c>
      <c r="D70" s="44"/>
    </row>
    <row r="71" spans="2:4" ht="15" thickBot="1">
      <c r="B71" s="28">
        <v>7</v>
      </c>
      <c r="C71" s="41" t="s">
        <v>789</v>
      </c>
      <c r="D71" s="51"/>
    </row>
    <row r="73" spans="2:4" ht="15" thickBot="1"/>
    <row r="74" spans="2:4" ht="15.6">
      <c r="B74" s="34" t="s">
        <v>496</v>
      </c>
      <c r="C74" s="214" t="s">
        <v>283</v>
      </c>
      <c r="D74" s="215"/>
    </row>
    <row r="75" spans="2:4" ht="15.6">
      <c r="B75" s="35" t="s">
        <v>498</v>
      </c>
      <c r="C75" s="216" t="s">
        <v>790</v>
      </c>
      <c r="D75" s="217"/>
    </row>
    <row r="76" spans="2:4">
      <c r="B76" s="36" t="s">
        <v>500</v>
      </c>
      <c r="C76" s="30" t="s">
        <v>501</v>
      </c>
      <c r="D76" s="37" t="s">
        <v>502</v>
      </c>
    </row>
    <row r="77" spans="2:4">
      <c r="B77" s="27">
        <v>1</v>
      </c>
      <c r="C77" s="26" t="s">
        <v>791</v>
      </c>
      <c r="D77" s="50"/>
    </row>
    <row r="78" spans="2:4">
      <c r="B78" s="27">
        <v>2</v>
      </c>
      <c r="C78" s="26" t="s">
        <v>784</v>
      </c>
      <c r="D78" s="50"/>
    </row>
    <row r="79" spans="2:4">
      <c r="B79" s="27">
        <v>3</v>
      </c>
      <c r="C79" s="26" t="s">
        <v>788</v>
      </c>
      <c r="D79" s="50"/>
    </row>
    <row r="80" spans="2:4" ht="15" thickBot="1">
      <c r="B80" s="28">
        <v>4</v>
      </c>
      <c r="C80" s="29" t="s">
        <v>792</v>
      </c>
      <c r="D80" s="51"/>
    </row>
    <row r="82" spans="2:10" ht="15" thickBot="1"/>
    <row r="83" spans="2:10" ht="15.6">
      <c r="B83" s="34" t="s">
        <v>496</v>
      </c>
      <c r="C83" s="214" t="s">
        <v>108</v>
      </c>
      <c r="D83" s="215"/>
    </row>
    <row r="84" spans="2:10" ht="15.6">
      <c r="B84" s="35" t="s">
        <v>498</v>
      </c>
      <c r="C84" s="216" t="s">
        <v>793</v>
      </c>
      <c r="D84" s="217"/>
    </row>
    <row r="85" spans="2:10">
      <c r="B85" s="36" t="s">
        <v>500</v>
      </c>
      <c r="C85" s="30" t="s">
        <v>501</v>
      </c>
      <c r="D85" s="37" t="s">
        <v>502</v>
      </c>
    </row>
    <row r="86" spans="2:10" ht="15" thickBot="1">
      <c r="B86" s="27">
        <v>1</v>
      </c>
      <c r="C86" s="26" t="s">
        <v>794</v>
      </c>
      <c r="D86" s="51"/>
    </row>
    <row r="87" spans="2:10" ht="15" thickBot="1">
      <c r="B87" s="27">
        <v>2</v>
      </c>
      <c r="C87" s="26" t="s">
        <v>795</v>
      </c>
      <c r="D87" s="51"/>
    </row>
    <row r="88" spans="2:10" ht="15" thickBot="1">
      <c r="B88" s="28">
        <v>3</v>
      </c>
      <c r="C88" s="29" t="s">
        <v>796</v>
      </c>
      <c r="D88" s="51"/>
    </row>
    <row r="90" spans="2:10" ht="15"/>
    <row r="91" spans="2:10" ht="15.75">
      <c r="B91" s="34" t="s">
        <v>496</v>
      </c>
      <c r="C91" s="214" t="s">
        <v>155</v>
      </c>
      <c r="D91" s="215"/>
      <c r="I91" t="s">
        <v>797</v>
      </c>
    </row>
    <row r="92" spans="2:10" ht="15.75">
      <c r="B92" s="35" t="s">
        <v>498</v>
      </c>
      <c r="C92" s="216" t="s">
        <v>798</v>
      </c>
      <c r="D92" s="217"/>
      <c r="I92" s="189" t="s">
        <v>799</v>
      </c>
      <c r="J92" s="26" t="s">
        <v>800</v>
      </c>
    </row>
    <row r="93" spans="2:10" ht="15">
      <c r="B93" s="36" t="s">
        <v>500</v>
      </c>
      <c r="C93" s="30" t="s">
        <v>501</v>
      </c>
      <c r="D93" s="37" t="s">
        <v>502</v>
      </c>
      <c r="I93" s="189" t="s">
        <v>801</v>
      </c>
      <c r="J93" s="26" t="s">
        <v>801</v>
      </c>
    </row>
    <row r="94" spans="2:10" ht="15">
      <c r="B94" s="27">
        <v>1</v>
      </c>
      <c r="C94" s="26" t="s">
        <v>800</v>
      </c>
      <c r="D94" s="50"/>
      <c r="I94" s="189" t="s">
        <v>802</v>
      </c>
    </row>
    <row r="95" spans="2:10" ht="15">
      <c r="B95" s="27">
        <v>2</v>
      </c>
      <c r="C95" s="26" t="s">
        <v>801</v>
      </c>
      <c r="D95" s="50"/>
      <c r="I95" s="189" t="s">
        <v>803</v>
      </c>
      <c r="J95" s="26" t="s">
        <v>803</v>
      </c>
    </row>
    <row r="96" spans="2:10" ht="15">
      <c r="B96" s="27">
        <v>3</v>
      </c>
      <c r="C96" s="26" t="s">
        <v>803</v>
      </c>
      <c r="D96" s="50"/>
      <c r="I96" s="189" t="s">
        <v>804</v>
      </c>
      <c r="J96" s="29" t="s">
        <v>805</v>
      </c>
    </row>
    <row r="97" spans="2:6" ht="15">
      <c r="B97" s="28">
        <v>4</v>
      </c>
      <c r="C97" s="29" t="s">
        <v>805</v>
      </c>
      <c r="D97" s="51"/>
    </row>
    <row r="98" spans="2:6" ht="15"/>
    <row r="99" spans="2:6" ht="15" thickBot="1"/>
    <row r="100" spans="2:6" ht="15.6">
      <c r="B100" s="34" t="s">
        <v>496</v>
      </c>
      <c r="C100" s="214" t="s">
        <v>329</v>
      </c>
      <c r="D100" s="215"/>
    </row>
    <row r="101" spans="2:6" ht="15.6">
      <c r="B101" s="35" t="s">
        <v>498</v>
      </c>
      <c r="C101" s="216" t="s">
        <v>806</v>
      </c>
      <c r="D101" s="217"/>
    </row>
    <row r="102" spans="2:6">
      <c r="B102" s="36" t="s">
        <v>500</v>
      </c>
      <c r="C102" s="30" t="s">
        <v>501</v>
      </c>
      <c r="D102" s="37" t="s">
        <v>502</v>
      </c>
    </row>
    <row r="103" spans="2:6">
      <c r="B103" s="27">
        <v>1</v>
      </c>
      <c r="C103" s="26" t="s">
        <v>807</v>
      </c>
      <c r="D103" s="50"/>
    </row>
    <row r="104" spans="2:6">
      <c r="B104" s="27">
        <v>2</v>
      </c>
      <c r="C104" s="26" t="s">
        <v>808</v>
      </c>
      <c r="D104" s="50"/>
    </row>
    <row r="105" spans="2:6">
      <c r="B105" s="27">
        <v>3</v>
      </c>
      <c r="C105" s="26" t="s">
        <v>809</v>
      </c>
      <c r="D105" s="50"/>
    </row>
    <row r="106" spans="2:6" ht="15" thickBot="1">
      <c r="B106" s="28">
        <v>4</v>
      </c>
      <c r="C106" s="29" t="s">
        <v>810</v>
      </c>
      <c r="D106" s="51"/>
    </row>
    <row r="108" spans="2:6" ht="15" thickBot="1"/>
    <row r="109" spans="2:6" ht="15.6">
      <c r="B109" s="34" t="s">
        <v>496</v>
      </c>
      <c r="C109" s="214" t="s">
        <v>335</v>
      </c>
      <c r="D109" s="215"/>
    </row>
    <row r="110" spans="2:6" ht="15.6" customHeight="1">
      <c r="B110" s="35" t="s">
        <v>498</v>
      </c>
      <c r="C110" s="216" t="s">
        <v>811</v>
      </c>
      <c r="D110" s="217"/>
    </row>
    <row r="111" spans="2:6" ht="15.6" customHeight="1">
      <c r="B111" s="36" t="s">
        <v>500</v>
      </c>
      <c r="C111" s="30" t="s">
        <v>501</v>
      </c>
      <c r="D111" s="37" t="s">
        <v>502</v>
      </c>
      <c r="F111" s="52"/>
    </row>
    <row r="112" spans="2:6">
      <c r="B112" s="27">
        <v>1</v>
      </c>
      <c r="C112" s="26" t="s">
        <v>812</v>
      </c>
      <c r="D112" s="50"/>
    </row>
    <row r="113" spans="2:6">
      <c r="B113" s="27">
        <v>2</v>
      </c>
      <c r="C113" s="26" t="s">
        <v>813</v>
      </c>
      <c r="D113" s="50"/>
    </row>
    <row r="114" spans="2:6" ht="15" thickBot="1">
      <c r="B114" s="147">
        <v>3</v>
      </c>
      <c r="C114" s="149" t="s">
        <v>814</v>
      </c>
      <c r="D114" s="144" t="s">
        <v>815</v>
      </c>
    </row>
    <row r="115" spans="2:6" ht="15" thickBot="1">
      <c r="B115" s="148">
        <v>4</v>
      </c>
      <c r="C115" s="149" t="s">
        <v>814</v>
      </c>
      <c r="D115" s="144" t="s">
        <v>815</v>
      </c>
    </row>
    <row r="117" spans="2:6" ht="15" thickBot="1"/>
    <row r="118" spans="2:6" ht="15.6">
      <c r="B118" s="34" t="s">
        <v>496</v>
      </c>
      <c r="C118" s="214" t="s">
        <v>158</v>
      </c>
      <c r="D118" s="215"/>
    </row>
    <row r="119" spans="2:6" ht="15.6">
      <c r="B119" s="35" t="s">
        <v>498</v>
      </c>
      <c r="C119" s="216" t="s">
        <v>816</v>
      </c>
      <c r="D119" s="217"/>
    </row>
    <row r="120" spans="2:6" ht="21">
      <c r="B120" s="36" t="s">
        <v>500</v>
      </c>
      <c r="C120" s="30" t="s">
        <v>501</v>
      </c>
      <c r="D120" s="37" t="s">
        <v>502</v>
      </c>
      <c r="F120" s="52"/>
    </row>
    <row r="121" spans="2:6" ht="15.6">
      <c r="B121" s="27">
        <v>1</v>
      </c>
      <c r="C121" s="53" t="s">
        <v>817</v>
      </c>
      <c r="D121" s="50"/>
    </row>
    <row r="122" spans="2:6" ht="15.6">
      <c r="B122" s="27">
        <v>2</v>
      </c>
      <c r="C122" s="53" t="s">
        <v>818</v>
      </c>
      <c r="D122" s="50"/>
    </row>
    <row r="123" spans="2:6" ht="15.95" thickBot="1">
      <c r="B123" s="145">
        <v>3</v>
      </c>
      <c r="C123" s="146" t="s">
        <v>819</v>
      </c>
      <c r="D123" s="144" t="s">
        <v>815</v>
      </c>
    </row>
    <row r="125" spans="2:6" ht="15" thickBot="1"/>
    <row r="126" spans="2:6" ht="15.6">
      <c r="B126" s="34" t="s">
        <v>496</v>
      </c>
      <c r="C126" s="214" t="s">
        <v>218</v>
      </c>
      <c r="D126" s="215"/>
    </row>
    <row r="127" spans="2:6" ht="15.6">
      <c r="B127" s="35" t="s">
        <v>498</v>
      </c>
      <c r="C127" s="219" t="s">
        <v>820</v>
      </c>
      <c r="D127" s="220"/>
    </row>
    <row r="128" spans="2:6">
      <c r="B128" s="36" t="s">
        <v>500</v>
      </c>
      <c r="C128" s="30" t="s">
        <v>501</v>
      </c>
      <c r="D128" s="37" t="s">
        <v>502</v>
      </c>
    </row>
    <row r="129" spans="2:4" ht="15.6">
      <c r="B129" s="27">
        <v>1</v>
      </c>
      <c r="C129" s="53" t="s">
        <v>821</v>
      </c>
      <c r="D129" s="50"/>
    </row>
    <row r="130" spans="2:4" ht="15.95" thickBot="1">
      <c r="B130" s="28">
        <v>2</v>
      </c>
      <c r="C130" s="54" t="s">
        <v>822</v>
      </c>
      <c r="D130" s="51"/>
    </row>
    <row r="132" spans="2:4" ht="15" thickBot="1"/>
    <row r="133" spans="2:4" ht="15.6">
      <c r="B133" s="34" t="s">
        <v>496</v>
      </c>
      <c r="C133" s="214" t="s">
        <v>204</v>
      </c>
      <c r="D133" s="215"/>
    </row>
    <row r="134" spans="2:4" ht="15.6">
      <c r="B134" s="35" t="s">
        <v>498</v>
      </c>
      <c r="C134" s="219" t="s">
        <v>823</v>
      </c>
      <c r="D134" s="220"/>
    </row>
    <row r="135" spans="2:4">
      <c r="B135" s="36" t="s">
        <v>500</v>
      </c>
      <c r="C135" s="30" t="s">
        <v>501</v>
      </c>
      <c r="D135" s="37" t="s">
        <v>502</v>
      </c>
    </row>
    <row r="136" spans="2:4">
      <c r="B136" s="27">
        <v>1</v>
      </c>
      <c r="C136" s="26" t="s">
        <v>824</v>
      </c>
      <c r="D136" s="50"/>
    </row>
    <row r="137" spans="2:4">
      <c r="B137" s="27">
        <v>2</v>
      </c>
      <c r="C137" s="26" t="s">
        <v>825</v>
      </c>
      <c r="D137" s="50"/>
    </row>
    <row r="138" spans="2:4">
      <c r="B138" s="27">
        <v>3</v>
      </c>
      <c r="C138" s="26" t="s">
        <v>826</v>
      </c>
      <c r="D138" s="50"/>
    </row>
    <row r="139" spans="2:4" ht="15" thickBot="1">
      <c r="B139" s="28">
        <v>4</v>
      </c>
      <c r="C139" s="29" t="s">
        <v>750</v>
      </c>
      <c r="D139" s="51"/>
    </row>
    <row r="141" spans="2:4" ht="15" thickBot="1"/>
    <row r="142" spans="2:4" ht="15.6">
      <c r="B142" s="34" t="s">
        <v>496</v>
      </c>
      <c r="C142" s="214" t="s">
        <v>234</v>
      </c>
      <c r="D142" s="215"/>
    </row>
    <row r="143" spans="2:4" ht="15.6">
      <c r="B143" s="35" t="s">
        <v>498</v>
      </c>
      <c r="C143" s="219" t="s">
        <v>827</v>
      </c>
      <c r="D143" s="221"/>
    </row>
    <row r="144" spans="2:4">
      <c r="B144" s="36" t="s">
        <v>500</v>
      </c>
      <c r="C144" s="30" t="s">
        <v>501</v>
      </c>
      <c r="D144" s="37" t="s">
        <v>502</v>
      </c>
    </row>
    <row r="145" spans="2:4" ht="15.6">
      <c r="B145" s="27">
        <v>1</v>
      </c>
      <c r="C145" s="53" t="s">
        <v>828</v>
      </c>
      <c r="D145" s="150"/>
    </row>
    <row r="146" spans="2:4" ht="15.95" thickBot="1">
      <c r="B146" s="28">
        <v>2</v>
      </c>
      <c r="C146" s="54" t="s">
        <v>829</v>
      </c>
      <c r="D146" s="151"/>
    </row>
    <row r="148" spans="2:4" ht="15" thickBot="1"/>
    <row r="149" spans="2:4" ht="15.6">
      <c r="B149" s="34" t="s">
        <v>496</v>
      </c>
      <c r="C149" s="214" t="s">
        <v>279</v>
      </c>
      <c r="D149" s="215"/>
    </row>
    <row r="150" spans="2:4" ht="15.6">
      <c r="B150" s="35" t="s">
        <v>498</v>
      </c>
      <c r="C150" s="219" t="s">
        <v>830</v>
      </c>
      <c r="D150" s="220"/>
    </row>
    <row r="151" spans="2:4">
      <c r="B151" s="36" t="s">
        <v>500</v>
      </c>
      <c r="C151" s="30" t="s">
        <v>501</v>
      </c>
      <c r="D151" s="37" t="s">
        <v>502</v>
      </c>
    </row>
    <row r="152" spans="2:4" ht="15.6">
      <c r="B152" s="27">
        <v>1</v>
      </c>
      <c r="C152" s="53" t="s">
        <v>286</v>
      </c>
      <c r="D152" s="150"/>
    </row>
    <row r="153" spans="2:4" ht="15.6">
      <c r="B153" s="27">
        <v>2</v>
      </c>
      <c r="C153" s="53" t="s">
        <v>334</v>
      </c>
      <c r="D153" s="150"/>
    </row>
    <row r="154" spans="2:4" ht="15.6">
      <c r="B154" s="27">
        <v>3</v>
      </c>
      <c r="C154" s="53" t="s">
        <v>363</v>
      </c>
      <c r="D154" s="150"/>
    </row>
    <row r="155" spans="2:4" ht="15.6">
      <c r="B155" s="27">
        <v>5</v>
      </c>
      <c r="C155" s="53" t="s">
        <v>831</v>
      </c>
      <c r="D155" s="150"/>
    </row>
    <row r="156" spans="2:4" ht="15.6">
      <c r="B156" s="27">
        <v>6</v>
      </c>
      <c r="C156" s="53" t="s">
        <v>379</v>
      </c>
      <c r="D156" s="150"/>
    </row>
    <row r="157" spans="2:4" ht="15.6">
      <c r="B157" s="27">
        <v>7</v>
      </c>
      <c r="C157" s="53" t="s">
        <v>376</v>
      </c>
      <c r="D157" s="150"/>
    </row>
    <row r="158" spans="2:4" ht="15.95" thickBot="1">
      <c r="B158" s="28">
        <v>8</v>
      </c>
      <c r="C158" s="54" t="s">
        <v>832</v>
      </c>
      <c r="D158" s="151"/>
    </row>
    <row r="160" spans="2:4" ht="15" thickBot="1"/>
    <row r="161" spans="2:4" ht="15.6">
      <c r="B161" s="34" t="s">
        <v>496</v>
      </c>
      <c r="C161" s="214" t="s">
        <v>833</v>
      </c>
      <c r="D161" s="215"/>
    </row>
    <row r="162" spans="2:4" ht="15.6">
      <c r="B162" s="35" t="s">
        <v>498</v>
      </c>
      <c r="C162" s="216" t="s">
        <v>834</v>
      </c>
      <c r="D162" s="217"/>
    </row>
    <row r="163" spans="2:4">
      <c r="B163" s="36" t="s">
        <v>500</v>
      </c>
      <c r="C163" s="30" t="s">
        <v>501</v>
      </c>
      <c r="D163" s="37" t="s">
        <v>502</v>
      </c>
    </row>
    <row r="164" spans="2:4" ht="15.6">
      <c r="B164" s="27">
        <v>1</v>
      </c>
      <c r="C164" s="53" t="s">
        <v>835</v>
      </c>
      <c r="D164" s="150"/>
    </row>
    <row r="165" spans="2:4" ht="15.6">
      <c r="B165" s="27">
        <v>2</v>
      </c>
      <c r="C165" s="53" t="s">
        <v>836</v>
      </c>
      <c r="D165" s="150"/>
    </row>
    <row r="166" spans="2:4" ht="15.6">
      <c r="B166" s="27">
        <v>3</v>
      </c>
      <c r="C166" s="53" t="s">
        <v>837</v>
      </c>
      <c r="D166" s="150"/>
    </row>
    <row r="167" spans="2:4" ht="15.95" thickBot="1">
      <c r="B167" s="28">
        <v>4</v>
      </c>
      <c r="C167" s="54" t="s">
        <v>838</v>
      </c>
      <c r="D167" s="151"/>
    </row>
    <row r="169" spans="2:4" ht="15" thickBot="1"/>
    <row r="170" spans="2:4" ht="15.6">
      <c r="B170" s="34" t="s">
        <v>496</v>
      </c>
      <c r="C170" s="214" t="s">
        <v>839</v>
      </c>
      <c r="D170" s="215"/>
    </row>
    <row r="171" spans="2:4" ht="15.6">
      <c r="B171" s="35" t="s">
        <v>498</v>
      </c>
      <c r="C171" s="219" t="s">
        <v>840</v>
      </c>
      <c r="D171" s="220"/>
    </row>
    <row r="172" spans="2:4">
      <c r="B172" s="36" t="s">
        <v>500</v>
      </c>
      <c r="C172" s="30" t="s">
        <v>501</v>
      </c>
      <c r="D172" s="37" t="s">
        <v>502</v>
      </c>
    </row>
    <row r="173" spans="2:4">
      <c r="B173" s="27">
        <v>1</v>
      </c>
      <c r="C173" s="26" t="s">
        <v>841</v>
      </c>
      <c r="D173" s="150"/>
    </row>
    <row r="174" spans="2:4">
      <c r="B174" s="27">
        <v>2</v>
      </c>
      <c r="C174" s="26" t="s">
        <v>842</v>
      </c>
      <c r="D174" s="150"/>
    </row>
    <row r="175" spans="2:4" ht="15" thickBot="1">
      <c r="B175" s="28">
        <v>3</v>
      </c>
      <c r="C175" s="29" t="s">
        <v>843</v>
      </c>
      <c r="D175" s="151"/>
    </row>
    <row r="177" spans="2:4" ht="15" thickBot="1"/>
    <row r="178" spans="2:4" ht="15.6">
      <c r="B178" s="34" t="s">
        <v>496</v>
      </c>
      <c r="C178" s="214" t="s">
        <v>844</v>
      </c>
      <c r="D178" s="215"/>
    </row>
    <row r="179" spans="2:4" ht="38.1" customHeight="1">
      <c r="B179" s="35" t="s">
        <v>498</v>
      </c>
      <c r="C179" s="216" t="s">
        <v>845</v>
      </c>
      <c r="D179" s="217"/>
    </row>
    <row r="180" spans="2:4">
      <c r="B180" s="36" t="s">
        <v>500</v>
      </c>
      <c r="C180" s="30" t="s">
        <v>501</v>
      </c>
      <c r="D180" s="37" t="s">
        <v>502</v>
      </c>
    </row>
    <row r="181" spans="2:4">
      <c r="B181" s="57">
        <v>1001</v>
      </c>
      <c r="C181" s="55" t="s">
        <v>846</v>
      </c>
      <c r="D181" s="150"/>
    </row>
    <row r="182" spans="2:4">
      <c r="B182" s="57">
        <v>1002</v>
      </c>
      <c r="C182" s="55" t="s">
        <v>847</v>
      </c>
      <c r="D182" s="150"/>
    </row>
    <row r="183" spans="2:4">
      <c r="B183" s="57">
        <v>1003</v>
      </c>
      <c r="C183" s="55" t="s">
        <v>848</v>
      </c>
      <c r="D183" s="150"/>
    </row>
    <row r="184" spans="2:4">
      <c r="B184" s="57">
        <v>1004</v>
      </c>
      <c r="C184" s="55" t="s">
        <v>849</v>
      </c>
      <c r="D184" s="150"/>
    </row>
    <row r="185" spans="2:4">
      <c r="B185" s="57">
        <v>1005</v>
      </c>
      <c r="C185" s="55" t="s">
        <v>850</v>
      </c>
      <c r="D185" s="150"/>
    </row>
    <row r="186" spans="2:4">
      <c r="B186" s="57">
        <v>1006</v>
      </c>
      <c r="C186" s="55" t="s">
        <v>851</v>
      </c>
      <c r="D186" s="150"/>
    </row>
    <row r="187" spans="2:4">
      <c r="B187" s="57">
        <v>1007</v>
      </c>
      <c r="C187" s="55" t="s">
        <v>852</v>
      </c>
      <c r="D187" s="150"/>
    </row>
    <row r="188" spans="2:4">
      <c r="B188" s="57">
        <v>1008</v>
      </c>
      <c r="C188" s="55" t="s">
        <v>853</v>
      </c>
      <c r="D188" s="150"/>
    </row>
    <row r="189" spans="2:4">
      <c r="B189" s="57">
        <v>1009</v>
      </c>
      <c r="C189" s="55" t="s">
        <v>854</v>
      </c>
      <c r="D189" s="150"/>
    </row>
    <row r="190" spans="2:4">
      <c r="B190" s="57">
        <v>1010</v>
      </c>
      <c r="C190" s="55" t="s">
        <v>855</v>
      </c>
      <c r="D190" s="150"/>
    </row>
    <row r="191" spans="2:4">
      <c r="B191" s="57">
        <v>1011</v>
      </c>
      <c r="C191" s="55" t="s">
        <v>856</v>
      </c>
      <c r="D191" s="150"/>
    </row>
    <row r="192" spans="2:4">
      <c r="B192" s="57">
        <v>2001</v>
      </c>
      <c r="C192" s="55" t="s">
        <v>857</v>
      </c>
      <c r="D192" s="150"/>
    </row>
    <row r="193" spans="2:4">
      <c r="B193" s="57">
        <v>2002</v>
      </c>
      <c r="C193" s="55" t="s">
        <v>858</v>
      </c>
      <c r="D193" s="150"/>
    </row>
    <row r="194" spans="2:4">
      <c r="B194" s="57">
        <v>2003</v>
      </c>
      <c r="C194" s="55" t="s">
        <v>859</v>
      </c>
      <c r="D194" s="150"/>
    </row>
    <row r="195" spans="2:4">
      <c r="B195" s="57">
        <v>2004</v>
      </c>
      <c r="C195" s="55" t="s">
        <v>860</v>
      </c>
      <c r="D195" s="150"/>
    </row>
    <row r="196" spans="2:4">
      <c r="B196" s="57">
        <v>2005</v>
      </c>
      <c r="C196" s="55" t="s">
        <v>861</v>
      </c>
      <c r="D196" s="150"/>
    </row>
    <row r="197" spans="2:4">
      <c r="B197" s="57">
        <v>2006</v>
      </c>
      <c r="C197" s="55" t="s">
        <v>862</v>
      </c>
      <c r="D197" s="150"/>
    </row>
    <row r="198" spans="2:4">
      <c r="B198" s="57">
        <v>2007</v>
      </c>
      <c r="C198" s="55" t="s">
        <v>863</v>
      </c>
      <c r="D198" s="150"/>
    </row>
    <row r="199" spans="2:4">
      <c r="B199" s="57">
        <v>3001</v>
      </c>
      <c r="C199" s="55" t="s">
        <v>864</v>
      </c>
      <c r="D199" s="150"/>
    </row>
    <row r="200" spans="2:4">
      <c r="B200" s="57">
        <v>3002</v>
      </c>
      <c r="C200" s="55" t="s">
        <v>865</v>
      </c>
      <c r="D200" s="150"/>
    </row>
    <row r="201" spans="2:4">
      <c r="B201" s="57">
        <v>3003</v>
      </c>
      <c r="C201" s="55" t="s">
        <v>866</v>
      </c>
      <c r="D201" s="150"/>
    </row>
    <row r="202" spans="2:4">
      <c r="B202" s="57">
        <v>3004</v>
      </c>
      <c r="C202" s="55" t="s">
        <v>867</v>
      </c>
      <c r="D202" s="150"/>
    </row>
    <row r="203" spans="2:4">
      <c r="B203" s="57">
        <v>3005</v>
      </c>
      <c r="C203" s="55" t="s">
        <v>868</v>
      </c>
      <c r="D203" s="150"/>
    </row>
    <row r="204" spans="2:4">
      <c r="B204" s="57">
        <v>3006</v>
      </c>
      <c r="C204" s="55" t="s">
        <v>869</v>
      </c>
      <c r="D204" s="150"/>
    </row>
    <row r="205" spans="2:4">
      <c r="B205" s="57">
        <v>3007</v>
      </c>
      <c r="C205" s="55" t="s">
        <v>870</v>
      </c>
      <c r="D205" s="150"/>
    </row>
    <row r="206" spans="2:4">
      <c r="B206" s="57">
        <v>3008</v>
      </c>
      <c r="C206" s="55" t="s">
        <v>871</v>
      </c>
      <c r="D206" s="150"/>
    </row>
    <row r="207" spans="2:4">
      <c r="B207" s="57">
        <v>3009</v>
      </c>
      <c r="C207" s="55" t="s">
        <v>872</v>
      </c>
      <c r="D207" s="150"/>
    </row>
    <row r="208" spans="2:4">
      <c r="B208" s="57">
        <v>3010</v>
      </c>
      <c r="C208" s="56" t="s">
        <v>873</v>
      </c>
      <c r="D208" s="150"/>
    </row>
    <row r="209" spans="2:4">
      <c r="B209" s="57">
        <v>3011</v>
      </c>
      <c r="C209" s="55" t="s">
        <v>874</v>
      </c>
      <c r="D209" s="150"/>
    </row>
    <row r="210" spans="2:4">
      <c r="B210" s="57">
        <v>3012</v>
      </c>
      <c r="C210" s="55" t="s">
        <v>875</v>
      </c>
      <c r="D210" s="150"/>
    </row>
    <row r="211" spans="2:4">
      <c r="B211" s="57">
        <v>3013</v>
      </c>
      <c r="C211" s="55" t="s">
        <v>876</v>
      </c>
      <c r="D211" s="150"/>
    </row>
    <row r="212" spans="2:4">
      <c r="B212" s="57">
        <v>3014</v>
      </c>
      <c r="C212" s="55" t="s">
        <v>877</v>
      </c>
      <c r="D212" s="150"/>
    </row>
    <row r="213" spans="2:4">
      <c r="B213" s="57">
        <v>3015</v>
      </c>
      <c r="C213" s="55" t="s">
        <v>878</v>
      </c>
      <c r="D213" s="150"/>
    </row>
    <row r="214" spans="2:4">
      <c r="B214" s="57">
        <v>3016</v>
      </c>
      <c r="C214" s="55" t="s">
        <v>879</v>
      </c>
      <c r="D214" s="150"/>
    </row>
    <row r="215" spans="2:4">
      <c r="B215" s="57">
        <v>3017</v>
      </c>
      <c r="C215" s="55" t="s">
        <v>867</v>
      </c>
      <c r="D215" s="150"/>
    </row>
    <row r="216" spans="2:4">
      <c r="B216" s="57">
        <v>3022</v>
      </c>
      <c r="C216" s="55" t="s">
        <v>872</v>
      </c>
      <c r="D216" s="150"/>
    </row>
    <row r="217" spans="2:4">
      <c r="B217" s="57">
        <v>3023</v>
      </c>
      <c r="C217" s="55" t="s">
        <v>880</v>
      </c>
      <c r="D217" s="150"/>
    </row>
    <row r="218" spans="2:4">
      <c r="B218" s="57">
        <v>3024</v>
      </c>
      <c r="C218" s="55" t="s">
        <v>881</v>
      </c>
      <c r="D218" s="150"/>
    </row>
    <row r="219" spans="2:4">
      <c r="B219" s="57">
        <v>3025</v>
      </c>
      <c r="C219" s="55" t="s">
        <v>882</v>
      </c>
      <c r="D219" s="150"/>
    </row>
    <row r="220" spans="2:4">
      <c r="B220" s="57">
        <v>3026</v>
      </c>
      <c r="C220" s="55" t="s">
        <v>883</v>
      </c>
      <c r="D220" s="150"/>
    </row>
    <row r="221" spans="2:4">
      <c r="B221" s="57">
        <v>3027</v>
      </c>
      <c r="C221" s="55" t="s">
        <v>884</v>
      </c>
      <c r="D221" s="150"/>
    </row>
    <row r="222" spans="2:4">
      <c r="B222" s="57">
        <v>3028</v>
      </c>
      <c r="C222" s="55" t="s">
        <v>885</v>
      </c>
      <c r="D222" s="150"/>
    </row>
    <row r="223" spans="2:4">
      <c r="B223" s="57">
        <v>4000</v>
      </c>
      <c r="C223" s="55" t="s">
        <v>886</v>
      </c>
      <c r="D223" s="150"/>
    </row>
    <row r="224" spans="2:4">
      <c r="B224" s="57">
        <v>5000</v>
      </c>
      <c r="C224" s="55" t="s">
        <v>887</v>
      </c>
      <c r="D224" s="150"/>
    </row>
    <row r="225" spans="2:4">
      <c r="B225" s="57">
        <v>6000</v>
      </c>
      <c r="C225" s="55" t="s">
        <v>888</v>
      </c>
      <c r="D225" s="150"/>
    </row>
    <row r="226" spans="2:4">
      <c r="B226" s="57">
        <v>7000</v>
      </c>
      <c r="C226" s="55" t="s">
        <v>889</v>
      </c>
      <c r="D226" s="150"/>
    </row>
    <row r="227" spans="2:4">
      <c r="B227" s="57">
        <v>8000</v>
      </c>
      <c r="C227" s="55" t="s">
        <v>890</v>
      </c>
      <c r="D227" s="150"/>
    </row>
    <row r="228" spans="2:4">
      <c r="B228" s="57">
        <v>9001</v>
      </c>
      <c r="C228" s="55" t="s">
        <v>891</v>
      </c>
      <c r="D228" s="150"/>
    </row>
    <row r="229" spans="2:4">
      <c r="B229" s="57">
        <v>9002</v>
      </c>
      <c r="C229" s="55" t="s">
        <v>892</v>
      </c>
      <c r="D229" s="150"/>
    </row>
    <row r="230" spans="2:4">
      <c r="B230" s="57">
        <v>9003</v>
      </c>
      <c r="C230" s="55" t="s">
        <v>893</v>
      </c>
      <c r="D230" s="150"/>
    </row>
    <row r="231" spans="2:4">
      <c r="B231" s="57">
        <v>9004</v>
      </c>
      <c r="C231" s="55" t="s">
        <v>894</v>
      </c>
      <c r="D231" s="150"/>
    </row>
    <row r="232" spans="2:4">
      <c r="B232" s="57">
        <v>9005</v>
      </c>
      <c r="C232" s="55" t="s">
        <v>895</v>
      </c>
      <c r="D232" s="150"/>
    </row>
    <row r="233" spans="2:4">
      <c r="B233" s="57">
        <v>9006</v>
      </c>
      <c r="C233" s="55" t="s">
        <v>896</v>
      </c>
      <c r="D233" s="150"/>
    </row>
    <row r="234" spans="2:4">
      <c r="B234" s="57">
        <v>9007</v>
      </c>
      <c r="C234" s="55" t="s">
        <v>897</v>
      </c>
      <c r="D234" s="150"/>
    </row>
    <row r="235" spans="2:4">
      <c r="B235" s="57">
        <v>9008</v>
      </c>
      <c r="C235" s="55" t="s">
        <v>898</v>
      </c>
      <c r="D235" s="150"/>
    </row>
    <row r="236" spans="2:4">
      <c r="B236" s="57">
        <v>9009</v>
      </c>
      <c r="C236" s="55" t="s">
        <v>899</v>
      </c>
      <c r="D236" s="150"/>
    </row>
    <row r="237" spans="2:4" ht="15" thickBot="1">
      <c r="B237" s="58">
        <v>9010</v>
      </c>
      <c r="C237" s="59" t="s">
        <v>900</v>
      </c>
      <c r="D237" s="151"/>
    </row>
    <row r="239" spans="2:4" ht="15.6">
      <c r="B239" s="34" t="s">
        <v>496</v>
      </c>
      <c r="C239" s="214" t="s">
        <v>901</v>
      </c>
      <c r="D239" s="215"/>
    </row>
    <row r="240" spans="2:4" ht="15.6">
      <c r="B240" s="35" t="s">
        <v>498</v>
      </c>
      <c r="C240" s="216" t="s">
        <v>902</v>
      </c>
      <c r="D240" s="217"/>
    </row>
    <row r="241" spans="2:4">
      <c r="B241" s="99" t="s">
        <v>500</v>
      </c>
      <c r="C241" s="100" t="s">
        <v>501</v>
      </c>
      <c r="D241" s="101" t="s">
        <v>502</v>
      </c>
    </row>
    <row r="242" spans="2:4" ht="15.6">
      <c r="B242" s="98">
        <v>1</v>
      </c>
      <c r="C242" s="98" t="s">
        <v>903</v>
      </c>
      <c r="D242" s="103"/>
    </row>
    <row r="243" spans="2:4" ht="15.6">
      <c r="B243" s="98">
        <v>2</v>
      </c>
      <c r="C243" s="98" t="s">
        <v>904</v>
      </c>
      <c r="D243" s="103"/>
    </row>
    <row r="244" spans="2:4" ht="15.6">
      <c r="B244" s="98">
        <v>3</v>
      </c>
      <c r="C244" s="98" t="s">
        <v>905</v>
      </c>
      <c r="D244" s="103"/>
    </row>
    <row r="245" spans="2:4" ht="15.6">
      <c r="B245" s="98">
        <v>4</v>
      </c>
      <c r="C245" s="98" t="s">
        <v>906</v>
      </c>
      <c r="D245" s="103"/>
    </row>
    <row r="247" spans="2:4" ht="15.6">
      <c r="B247" s="34" t="s">
        <v>496</v>
      </c>
      <c r="C247" s="214" t="s">
        <v>907</v>
      </c>
      <c r="D247" s="215"/>
    </row>
    <row r="248" spans="2:4" ht="15.6">
      <c r="B248" s="35" t="s">
        <v>498</v>
      </c>
      <c r="C248" s="216" t="s">
        <v>908</v>
      </c>
      <c r="D248" s="217"/>
    </row>
    <row r="249" spans="2:4">
      <c r="B249" s="99" t="s">
        <v>500</v>
      </c>
      <c r="C249" s="100" t="s">
        <v>501</v>
      </c>
      <c r="D249" s="101" t="s">
        <v>502</v>
      </c>
    </row>
    <row r="250" spans="2:4" ht="15.6">
      <c r="B250" s="98">
        <v>1</v>
      </c>
      <c r="C250" s="98" t="s">
        <v>909</v>
      </c>
      <c r="D250" s="152"/>
    </row>
    <row r="251" spans="2:4" ht="15.6">
      <c r="B251" s="98">
        <v>2</v>
      </c>
      <c r="C251" s="98" t="s">
        <v>910</v>
      </c>
      <c r="D251" s="152"/>
    </row>
    <row r="252" spans="2:4" ht="15.6">
      <c r="B252" s="98">
        <v>3</v>
      </c>
      <c r="C252" s="98" t="s">
        <v>911</v>
      </c>
      <c r="D252" s="152"/>
    </row>
    <row r="253" spans="2:4" ht="15.6">
      <c r="B253" s="98">
        <v>4</v>
      </c>
      <c r="C253" s="98" t="s">
        <v>912</v>
      </c>
      <c r="D253" s="152"/>
    </row>
    <row r="254" spans="2:4" ht="15.6">
      <c r="B254" s="95">
        <v>5</v>
      </c>
      <c r="C254" s="98" t="s">
        <v>913</v>
      </c>
      <c r="D254" s="152"/>
    </row>
    <row r="255" spans="2:4" ht="15.6">
      <c r="B255" s="95">
        <v>6</v>
      </c>
      <c r="C255" s="98" t="s">
        <v>914</v>
      </c>
      <c r="D255" s="152"/>
    </row>
    <row r="256" spans="2:4" ht="15" thickBot="1"/>
    <row r="257" spans="2:4" ht="15.6">
      <c r="B257" s="34" t="s">
        <v>496</v>
      </c>
      <c r="C257" s="214" t="s">
        <v>915</v>
      </c>
      <c r="D257" s="215"/>
    </row>
    <row r="258" spans="2:4" ht="15.6">
      <c r="B258" s="35" t="s">
        <v>498</v>
      </c>
      <c r="C258" s="216" t="s">
        <v>916</v>
      </c>
      <c r="D258" s="217"/>
    </row>
    <row r="259" spans="2:4">
      <c r="B259" s="36" t="s">
        <v>500</v>
      </c>
      <c r="C259" s="30" t="s">
        <v>501</v>
      </c>
      <c r="D259" s="37" t="s">
        <v>502</v>
      </c>
    </row>
    <row r="260" spans="2:4">
      <c r="B260" s="166" t="s">
        <v>917</v>
      </c>
      <c r="C260" s="166" t="s">
        <v>917</v>
      </c>
      <c r="D260" s="164"/>
    </row>
    <row r="261" spans="2:4">
      <c r="B261" s="166" t="s">
        <v>918</v>
      </c>
      <c r="C261" s="166" t="s">
        <v>918</v>
      </c>
      <c r="D261" s="164"/>
    </row>
    <row r="262" spans="2:4">
      <c r="B262" s="166" t="s">
        <v>919</v>
      </c>
      <c r="C262" s="166" t="s">
        <v>919</v>
      </c>
      <c r="D262" s="164"/>
    </row>
    <row r="263" spans="2:4" ht="15" thickBot="1">
      <c r="B263" s="167" t="s">
        <v>920</v>
      </c>
      <c r="C263" s="167" t="s">
        <v>920</v>
      </c>
      <c r="D263" s="165"/>
    </row>
    <row r="264" spans="2:4" ht="15" thickBot="1"/>
    <row r="265" spans="2:4" ht="15.6">
      <c r="B265" s="34" t="s">
        <v>496</v>
      </c>
      <c r="C265" s="214" t="s">
        <v>921</v>
      </c>
      <c r="D265" s="215"/>
    </row>
    <row r="266" spans="2:4" ht="15.6">
      <c r="B266" s="35" t="s">
        <v>498</v>
      </c>
      <c r="C266" s="216" t="s">
        <v>922</v>
      </c>
      <c r="D266" s="217"/>
    </row>
    <row r="267" spans="2:4">
      <c r="B267" s="99" t="s">
        <v>500</v>
      </c>
      <c r="C267" s="100" t="s">
        <v>501</v>
      </c>
      <c r="D267" s="101" t="s">
        <v>502</v>
      </c>
    </row>
    <row r="268" spans="2:4" ht="15.6">
      <c r="B268" s="160" t="s">
        <v>919</v>
      </c>
      <c r="C268" s="160" t="s">
        <v>919</v>
      </c>
      <c r="D268" s="159" t="s">
        <v>923</v>
      </c>
    </row>
    <row r="269" spans="2:4" ht="15.6">
      <c r="B269" s="158" t="s">
        <v>924</v>
      </c>
      <c r="C269" s="158" t="s">
        <v>924</v>
      </c>
      <c r="D269" s="159" t="s">
        <v>925</v>
      </c>
    </row>
    <row r="270" spans="2:4" ht="15.6">
      <c r="B270" s="158" t="s">
        <v>926</v>
      </c>
      <c r="C270" s="158" t="s">
        <v>926</v>
      </c>
      <c r="D270" s="159" t="s">
        <v>927</v>
      </c>
    </row>
    <row r="271" spans="2:4" ht="15.6">
      <c r="B271" s="158" t="s">
        <v>928</v>
      </c>
      <c r="C271" s="158" t="s">
        <v>928</v>
      </c>
      <c r="D271" s="159" t="s">
        <v>929</v>
      </c>
    </row>
    <row r="272" spans="2:4" ht="15.6">
      <c r="B272" s="160" t="s">
        <v>930</v>
      </c>
      <c r="C272" s="160" t="s">
        <v>930</v>
      </c>
      <c r="D272" s="159" t="s">
        <v>931</v>
      </c>
    </row>
    <row r="273" spans="2:4" ht="15.6">
      <c r="B273" s="160" t="s">
        <v>932</v>
      </c>
      <c r="C273" s="160" t="s">
        <v>932</v>
      </c>
      <c r="D273" s="159" t="s">
        <v>933</v>
      </c>
    </row>
    <row r="274" spans="2:4" ht="15" thickBot="1">
      <c r="B274" s="161" t="s">
        <v>934</v>
      </c>
      <c r="C274" s="161" t="s">
        <v>934</v>
      </c>
      <c r="D274" s="162" t="s">
        <v>935</v>
      </c>
    </row>
    <row r="276" spans="2:4" ht="15.6">
      <c r="B276" s="168" t="s">
        <v>496</v>
      </c>
      <c r="C276" s="218" t="s">
        <v>936</v>
      </c>
      <c r="D276" s="218"/>
    </row>
    <row r="277" spans="2:4" ht="15.6">
      <c r="B277" s="169" t="s">
        <v>498</v>
      </c>
      <c r="C277" s="216" t="s">
        <v>936</v>
      </c>
      <c r="D277" s="216"/>
    </row>
    <row r="278" spans="2:4">
      <c r="B278" s="170" t="s">
        <v>500</v>
      </c>
      <c r="C278" s="30" t="s">
        <v>501</v>
      </c>
      <c r="D278" s="30" t="s">
        <v>502</v>
      </c>
    </row>
    <row r="279" spans="2:4" ht="15.6">
      <c r="B279" s="171">
        <v>1</v>
      </c>
      <c r="C279" s="171" t="s">
        <v>937</v>
      </c>
      <c r="D279" s="159" t="s">
        <v>938</v>
      </c>
    </row>
    <row r="280" spans="2:4" ht="15.6">
      <c r="B280" s="171">
        <v>2</v>
      </c>
      <c r="C280" s="171" t="s">
        <v>939</v>
      </c>
      <c r="D280" s="159" t="s">
        <v>940</v>
      </c>
    </row>
    <row r="281" spans="2:4" ht="15.6">
      <c r="B281" s="171">
        <v>3</v>
      </c>
      <c r="C281" s="171" t="s">
        <v>941</v>
      </c>
      <c r="D281" s="159" t="s">
        <v>942</v>
      </c>
    </row>
  </sheetData>
  <mergeCells count="48">
    <mergeCell ref="C247:D247"/>
    <mergeCell ref="C248:D248"/>
    <mergeCell ref="C46:D46"/>
    <mergeCell ref="C62:D62"/>
    <mergeCell ref="C3:D3"/>
    <mergeCell ref="C4:D4"/>
    <mergeCell ref="C12:D12"/>
    <mergeCell ref="C13:D13"/>
    <mergeCell ref="C24:D24"/>
    <mergeCell ref="C25:D25"/>
    <mergeCell ref="C38:D38"/>
    <mergeCell ref="C39:D39"/>
    <mergeCell ref="C45:D45"/>
    <mergeCell ref="C109:D109"/>
    <mergeCell ref="C63:D63"/>
    <mergeCell ref="C74:D74"/>
    <mergeCell ref="C75:D75"/>
    <mergeCell ref="C126:D126"/>
    <mergeCell ref="C119:D119"/>
    <mergeCell ref="C110:D110"/>
    <mergeCell ref="C91:D91"/>
    <mergeCell ref="C92:D92"/>
    <mergeCell ref="C100:D100"/>
    <mergeCell ref="C101:D101"/>
    <mergeCell ref="C118:D118"/>
    <mergeCell ref="C83:D83"/>
    <mergeCell ref="C84:D84"/>
    <mergeCell ref="C127:D127"/>
    <mergeCell ref="C133:D133"/>
    <mergeCell ref="C161:D161"/>
    <mergeCell ref="C162:D162"/>
    <mergeCell ref="C170:D170"/>
    <mergeCell ref="C276:D276"/>
    <mergeCell ref="C277:D277"/>
    <mergeCell ref="C171:D171"/>
    <mergeCell ref="C134:D134"/>
    <mergeCell ref="C142:D142"/>
    <mergeCell ref="C143:D143"/>
    <mergeCell ref="C149:D149"/>
    <mergeCell ref="C150:D150"/>
    <mergeCell ref="C178:D178"/>
    <mergeCell ref="C179:D179"/>
    <mergeCell ref="C257:D257"/>
    <mergeCell ref="C258:D258"/>
    <mergeCell ref="C265:D265"/>
    <mergeCell ref="C266:D266"/>
    <mergeCell ref="C239:D239"/>
    <mergeCell ref="C240:D240"/>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D5073-F1DD-43E3-94B0-BD46FC7CA1BB}">
  <sheetPr>
    <tabColor rgb="FF92D050"/>
  </sheetPr>
  <dimension ref="B1:D238"/>
  <sheetViews>
    <sheetView topLeftCell="C179" zoomScale="80" zoomScaleNormal="80" workbookViewId="0">
      <selection activeCell="C179" sqref="C179"/>
    </sheetView>
  </sheetViews>
  <sheetFormatPr defaultRowHeight="14.45"/>
  <cols>
    <col min="2" max="2" width="23.140625" customWidth="1"/>
    <col min="3" max="3" width="37.140625" customWidth="1"/>
    <col min="4" max="4" width="56.42578125" customWidth="1"/>
  </cols>
  <sheetData>
    <row r="1" spans="2:4" ht="15" thickBot="1"/>
    <row r="2" spans="2:4" ht="15.6">
      <c r="B2" s="34" t="s">
        <v>496</v>
      </c>
      <c r="C2" s="214" t="s">
        <v>211</v>
      </c>
      <c r="D2" s="215"/>
    </row>
    <row r="3" spans="2:4" ht="56.45" customHeight="1">
      <c r="B3" s="35" t="s">
        <v>498</v>
      </c>
      <c r="C3" s="216" t="s">
        <v>943</v>
      </c>
      <c r="D3" s="217"/>
    </row>
    <row r="4" spans="2:4">
      <c r="B4" s="36" t="s">
        <v>500</v>
      </c>
      <c r="C4" s="30" t="s">
        <v>501</v>
      </c>
      <c r="D4" s="37" t="s">
        <v>502</v>
      </c>
    </row>
    <row r="5" spans="2:4">
      <c r="B5" s="91">
        <v>1</v>
      </c>
      <c r="C5" s="91" t="s">
        <v>944</v>
      </c>
      <c r="D5" s="50"/>
    </row>
    <row r="6" spans="2:4">
      <c r="B6" s="91">
        <v>2</v>
      </c>
      <c r="C6" s="91" t="s">
        <v>945</v>
      </c>
      <c r="D6" s="50"/>
    </row>
    <row r="7" spans="2:4">
      <c r="B7" s="91">
        <v>3</v>
      </c>
      <c r="C7" s="91" t="s">
        <v>946</v>
      </c>
      <c r="D7" s="50"/>
    </row>
    <row r="8" spans="2:4">
      <c r="B8" s="91">
        <v>4</v>
      </c>
      <c r="C8" s="91" t="s">
        <v>947</v>
      </c>
      <c r="D8" s="50"/>
    </row>
    <row r="9" spans="2:4">
      <c r="B9" s="91">
        <v>5</v>
      </c>
      <c r="C9" s="91" t="s">
        <v>948</v>
      </c>
      <c r="D9" s="50"/>
    </row>
    <row r="10" spans="2:4">
      <c r="B10" s="91">
        <v>6</v>
      </c>
      <c r="C10" s="91" t="s">
        <v>949</v>
      </c>
      <c r="D10" s="50"/>
    </row>
    <row r="11" spans="2:4">
      <c r="B11" s="91">
        <v>7</v>
      </c>
      <c r="C11" s="91" t="s">
        <v>950</v>
      </c>
      <c r="D11" s="50"/>
    </row>
    <row r="12" spans="2:4">
      <c r="B12" s="91">
        <v>8</v>
      </c>
      <c r="C12" s="91" t="s">
        <v>951</v>
      </c>
      <c r="D12" s="50"/>
    </row>
    <row r="13" spans="2:4">
      <c r="B13" s="91">
        <v>9</v>
      </c>
      <c r="C13" s="91" t="s">
        <v>952</v>
      </c>
      <c r="D13" s="50"/>
    </row>
    <row r="14" spans="2:4">
      <c r="B14" s="91">
        <v>10</v>
      </c>
      <c r="C14" s="91" t="s">
        <v>953</v>
      </c>
      <c r="D14" s="50"/>
    </row>
    <row r="15" spans="2:4">
      <c r="B15" s="91">
        <v>11</v>
      </c>
      <c r="C15" s="91" t="s">
        <v>954</v>
      </c>
      <c r="D15" s="50"/>
    </row>
    <row r="16" spans="2:4">
      <c r="B16" s="91">
        <v>12</v>
      </c>
      <c r="C16" s="91" t="s">
        <v>955</v>
      </c>
      <c r="D16" s="50"/>
    </row>
    <row r="17" spans="2:4">
      <c r="B17" s="91">
        <v>13</v>
      </c>
      <c r="C17" s="91" t="s">
        <v>956</v>
      </c>
      <c r="D17" s="50"/>
    </row>
    <row r="18" spans="2:4">
      <c r="B18" s="91">
        <v>14</v>
      </c>
      <c r="C18" s="91" t="s">
        <v>957</v>
      </c>
      <c r="D18" s="50"/>
    </row>
    <row r="19" spans="2:4">
      <c r="B19" s="91">
        <v>15</v>
      </c>
      <c r="C19" s="91" t="s">
        <v>958</v>
      </c>
      <c r="D19" s="50"/>
    </row>
    <row r="20" spans="2:4">
      <c r="B20" s="91">
        <v>16</v>
      </c>
      <c r="C20" s="91" t="s">
        <v>959</v>
      </c>
      <c r="D20" s="50"/>
    </row>
    <row r="21" spans="2:4">
      <c r="B21" s="91">
        <v>17</v>
      </c>
      <c r="C21" s="91" t="s">
        <v>960</v>
      </c>
      <c r="D21" s="50"/>
    </row>
    <row r="22" spans="2:4">
      <c r="B22" s="91">
        <v>18</v>
      </c>
      <c r="C22" s="91" t="s">
        <v>961</v>
      </c>
      <c r="D22" s="50"/>
    </row>
    <row r="23" spans="2:4">
      <c r="B23" s="91">
        <v>19</v>
      </c>
      <c r="C23" s="91" t="s">
        <v>962</v>
      </c>
      <c r="D23" s="50"/>
    </row>
    <row r="24" spans="2:4">
      <c r="B24" s="91">
        <v>20</v>
      </c>
      <c r="C24" s="91" t="s">
        <v>963</v>
      </c>
      <c r="D24" s="50"/>
    </row>
    <row r="25" spans="2:4">
      <c r="B25" s="91">
        <v>21</v>
      </c>
      <c r="C25" s="91" t="s">
        <v>964</v>
      </c>
      <c r="D25" s="50"/>
    </row>
    <row r="26" spans="2:4">
      <c r="B26" s="91">
        <v>22</v>
      </c>
      <c r="C26" s="91" t="s">
        <v>965</v>
      </c>
      <c r="D26" s="50"/>
    </row>
    <row r="27" spans="2:4">
      <c r="B27" s="91">
        <v>23</v>
      </c>
      <c r="C27" s="91" t="s">
        <v>966</v>
      </c>
      <c r="D27" s="50"/>
    </row>
    <row r="28" spans="2:4">
      <c r="B28" s="91">
        <v>24</v>
      </c>
      <c r="C28" s="91" t="s">
        <v>967</v>
      </c>
      <c r="D28" s="50"/>
    </row>
    <row r="29" spans="2:4">
      <c r="B29" s="91">
        <v>25</v>
      </c>
      <c r="C29" s="91" t="s">
        <v>968</v>
      </c>
      <c r="D29" s="50"/>
    </row>
    <row r="30" spans="2:4">
      <c r="B30" s="91">
        <v>26</v>
      </c>
      <c r="C30" s="91" t="s">
        <v>969</v>
      </c>
      <c r="D30" s="50"/>
    </row>
    <row r="31" spans="2:4">
      <c r="B31" s="91">
        <v>27</v>
      </c>
      <c r="C31" s="91" t="s">
        <v>970</v>
      </c>
      <c r="D31" s="50"/>
    </row>
    <row r="32" spans="2:4" ht="21" customHeight="1">
      <c r="B32" s="91">
        <v>28</v>
      </c>
      <c r="C32" s="91" t="s">
        <v>971</v>
      </c>
      <c r="D32" s="50"/>
    </row>
    <row r="33" spans="2:4">
      <c r="B33" s="91">
        <v>29</v>
      </c>
      <c r="C33" s="91" t="s">
        <v>972</v>
      </c>
      <c r="D33" s="50"/>
    </row>
    <row r="34" spans="2:4">
      <c r="B34" s="91">
        <v>30</v>
      </c>
      <c r="C34" s="91" t="s">
        <v>973</v>
      </c>
      <c r="D34" s="50"/>
    </row>
    <row r="35" spans="2:4">
      <c r="B35" s="91">
        <v>31</v>
      </c>
      <c r="C35" s="91" t="s">
        <v>974</v>
      </c>
      <c r="D35" s="50"/>
    </row>
    <row r="36" spans="2:4">
      <c r="B36" s="91">
        <v>32</v>
      </c>
      <c r="C36" s="91" t="s">
        <v>975</v>
      </c>
      <c r="D36" s="50"/>
    </row>
    <row r="37" spans="2:4">
      <c r="B37" s="91">
        <v>33</v>
      </c>
      <c r="C37" s="91" t="s">
        <v>976</v>
      </c>
      <c r="D37" s="50"/>
    </row>
    <row r="38" spans="2:4">
      <c r="B38" s="91">
        <v>34</v>
      </c>
      <c r="C38" s="91" t="s">
        <v>977</v>
      </c>
      <c r="D38" s="50"/>
    </row>
    <row r="39" spans="2:4">
      <c r="B39" s="91">
        <v>35</v>
      </c>
      <c r="C39" s="91" t="s">
        <v>978</v>
      </c>
      <c r="D39" s="50"/>
    </row>
    <row r="40" spans="2:4">
      <c r="B40" s="91">
        <v>36</v>
      </c>
      <c r="C40" s="91" t="s">
        <v>979</v>
      </c>
      <c r="D40" s="50"/>
    </row>
    <row r="41" spans="2:4">
      <c r="B41" s="91">
        <v>37</v>
      </c>
      <c r="C41" s="91" t="s">
        <v>980</v>
      </c>
      <c r="D41" s="50"/>
    </row>
    <row r="42" spans="2:4">
      <c r="B42" s="91">
        <v>38</v>
      </c>
      <c r="C42" s="91" t="s">
        <v>981</v>
      </c>
      <c r="D42" s="50"/>
    </row>
    <row r="43" spans="2:4">
      <c r="B43" s="91">
        <v>39</v>
      </c>
      <c r="C43" s="91" t="s">
        <v>982</v>
      </c>
      <c r="D43" s="50"/>
    </row>
    <row r="44" spans="2:4">
      <c r="B44" s="91">
        <v>40</v>
      </c>
      <c r="C44" s="91" t="s">
        <v>983</v>
      </c>
      <c r="D44" s="50"/>
    </row>
    <row r="45" spans="2:4">
      <c r="B45" s="91">
        <v>41</v>
      </c>
      <c r="C45" s="91" t="s">
        <v>984</v>
      </c>
      <c r="D45" s="50"/>
    </row>
    <row r="46" spans="2:4">
      <c r="B46" s="91">
        <v>42</v>
      </c>
      <c r="C46" s="91" t="s">
        <v>985</v>
      </c>
      <c r="D46" s="50"/>
    </row>
    <row r="47" spans="2:4">
      <c r="B47" s="91">
        <v>43</v>
      </c>
      <c r="C47" s="91" t="s">
        <v>986</v>
      </c>
      <c r="D47" s="50"/>
    </row>
    <row r="48" spans="2:4">
      <c r="B48" s="91">
        <v>44</v>
      </c>
      <c r="C48" s="91" t="s">
        <v>987</v>
      </c>
      <c r="D48" s="50"/>
    </row>
    <row r="49" spans="2:4">
      <c r="B49" s="91">
        <v>45</v>
      </c>
      <c r="C49" s="91" t="s">
        <v>988</v>
      </c>
      <c r="D49" s="50"/>
    </row>
    <row r="50" spans="2:4">
      <c r="B50" s="91">
        <v>46</v>
      </c>
      <c r="C50" s="91" t="s">
        <v>989</v>
      </c>
      <c r="D50" s="50"/>
    </row>
    <row r="51" spans="2:4">
      <c r="B51" s="91">
        <v>47</v>
      </c>
      <c r="C51" s="91" t="s">
        <v>990</v>
      </c>
      <c r="D51" s="50"/>
    </row>
    <row r="52" spans="2:4">
      <c r="B52" s="91">
        <v>48</v>
      </c>
      <c r="C52" s="91" t="s">
        <v>991</v>
      </c>
      <c r="D52" s="50"/>
    </row>
    <row r="53" spans="2:4">
      <c r="B53" s="91">
        <v>49</v>
      </c>
      <c r="C53" s="91" t="s">
        <v>992</v>
      </c>
      <c r="D53" s="50"/>
    </row>
    <row r="54" spans="2:4">
      <c r="B54" s="91">
        <v>50</v>
      </c>
      <c r="C54" s="91" t="s">
        <v>993</v>
      </c>
      <c r="D54" s="50"/>
    </row>
    <row r="55" spans="2:4">
      <c r="B55" s="91">
        <v>51</v>
      </c>
      <c r="C55" s="91" t="s">
        <v>994</v>
      </c>
      <c r="D55" s="50"/>
    </row>
    <row r="56" spans="2:4">
      <c r="B56" s="91">
        <v>52</v>
      </c>
      <c r="C56" s="91" t="s">
        <v>995</v>
      </c>
      <c r="D56" s="50"/>
    </row>
    <row r="57" spans="2:4">
      <c r="B57" s="91">
        <v>53</v>
      </c>
      <c r="C57" s="91" t="s">
        <v>996</v>
      </c>
      <c r="D57" s="50"/>
    </row>
    <row r="58" spans="2:4">
      <c r="B58" s="91">
        <v>54</v>
      </c>
      <c r="C58" s="91" t="s">
        <v>997</v>
      </c>
      <c r="D58" s="50"/>
    </row>
    <row r="59" spans="2:4">
      <c r="B59" s="91">
        <v>55</v>
      </c>
      <c r="C59" s="91" t="s">
        <v>998</v>
      </c>
      <c r="D59" s="50"/>
    </row>
    <row r="60" spans="2:4">
      <c r="B60" s="91">
        <v>56</v>
      </c>
      <c r="C60" s="91" t="s">
        <v>999</v>
      </c>
      <c r="D60" s="50"/>
    </row>
    <row r="61" spans="2:4">
      <c r="B61" s="91">
        <v>57</v>
      </c>
      <c r="C61" s="91" t="s">
        <v>1000</v>
      </c>
      <c r="D61" s="50"/>
    </row>
    <row r="62" spans="2:4">
      <c r="B62" s="91">
        <v>58</v>
      </c>
      <c r="C62" s="91" t="s">
        <v>1001</v>
      </c>
      <c r="D62" s="64"/>
    </row>
    <row r="63" spans="2:4">
      <c r="B63" s="91">
        <v>59</v>
      </c>
      <c r="C63" s="91" t="s">
        <v>1002</v>
      </c>
      <c r="D63" s="64"/>
    </row>
    <row r="64" spans="2:4">
      <c r="B64" s="91">
        <v>60</v>
      </c>
      <c r="C64" s="91" t="s">
        <v>1003</v>
      </c>
      <c r="D64" s="64"/>
    </row>
    <row r="65" spans="2:4">
      <c r="B65" s="91">
        <v>61</v>
      </c>
      <c r="C65" s="91" t="s">
        <v>1004</v>
      </c>
      <c r="D65" s="64"/>
    </row>
    <row r="66" spans="2:4">
      <c r="B66" s="91">
        <v>62</v>
      </c>
      <c r="C66" s="91" t="s">
        <v>1005</v>
      </c>
      <c r="D66" s="64"/>
    </row>
    <row r="67" spans="2:4">
      <c r="B67" s="91">
        <v>63</v>
      </c>
      <c r="C67" s="91" t="s">
        <v>1006</v>
      </c>
      <c r="D67" s="64"/>
    </row>
    <row r="68" spans="2:4">
      <c r="B68" s="91">
        <v>64</v>
      </c>
      <c r="C68" s="91" t="s">
        <v>1007</v>
      </c>
      <c r="D68" s="64"/>
    </row>
    <row r="69" spans="2:4">
      <c r="B69" s="91">
        <v>65</v>
      </c>
      <c r="C69" s="91" t="s">
        <v>1008</v>
      </c>
      <c r="D69" s="64"/>
    </row>
    <row r="70" spans="2:4">
      <c r="B70" s="91">
        <v>66</v>
      </c>
      <c r="C70" s="91" t="s">
        <v>1009</v>
      </c>
      <c r="D70" s="64"/>
    </row>
    <row r="71" spans="2:4">
      <c r="B71" s="91">
        <v>67</v>
      </c>
      <c r="C71" s="91" t="s">
        <v>1010</v>
      </c>
      <c r="D71" s="64"/>
    </row>
    <row r="72" spans="2:4">
      <c r="B72" s="91">
        <v>68</v>
      </c>
      <c r="C72" s="91" t="s">
        <v>1011</v>
      </c>
      <c r="D72" s="64"/>
    </row>
    <row r="73" spans="2:4">
      <c r="B73" s="91">
        <v>69</v>
      </c>
      <c r="C73" s="91" t="s">
        <v>1012</v>
      </c>
      <c r="D73" s="64"/>
    </row>
    <row r="74" spans="2:4">
      <c r="B74" s="91">
        <v>70</v>
      </c>
      <c r="C74" s="91" t="s">
        <v>1013</v>
      </c>
      <c r="D74" s="64"/>
    </row>
    <row r="75" spans="2:4">
      <c r="B75" s="91">
        <v>71</v>
      </c>
      <c r="C75" s="91" t="s">
        <v>1014</v>
      </c>
      <c r="D75" s="64"/>
    </row>
    <row r="76" spans="2:4">
      <c r="B76" s="91">
        <v>72</v>
      </c>
      <c r="C76" s="91" t="s">
        <v>1015</v>
      </c>
      <c r="D76" s="64"/>
    </row>
    <row r="77" spans="2:4">
      <c r="B77" s="91">
        <v>73</v>
      </c>
      <c r="C77" s="91" t="s">
        <v>1016</v>
      </c>
      <c r="D77" s="64"/>
    </row>
    <row r="78" spans="2:4">
      <c r="B78" s="91">
        <v>74</v>
      </c>
      <c r="C78" s="91" t="s">
        <v>1017</v>
      </c>
      <c r="D78" s="64"/>
    </row>
    <row r="79" spans="2:4">
      <c r="B79" s="91">
        <v>75</v>
      </c>
      <c r="C79" s="91" t="s">
        <v>1018</v>
      </c>
      <c r="D79" s="64"/>
    </row>
    <row r="80" spans="2:4">
      <c r="B80" s="91">
        <v>76</v>
      </c>
      <c r="C80" s="91" t="s">
        <v>1019</v>
      </c>
      <c r="D80" s="64"/>
    </row>
    <row r="81" spans="2:4">
      <c r="B81" s="91">
        <v>77</v>
      </c>
      <c r="C81" s="91" t="s">
        <v>1020</v>
      </c>
      <c r="D81" s="64"/>
    </row>
    <row r="82" spans="2:4">
      <c r="B82" s="91">
        <v>78</v>
      </c>
      <c r="C82" s="91" t="s">
        <v>1021</v>
      </c>
      <c r="D82" s="64"/>
    </row>
    <row r="83" spans="2:4">
      <c r="B83" s="91">
        <v>79</v>
      </c>
      <c r="C83" s="91" t="s">
        <v>1022</v>
      </c>
      <c r="D83" s="64"/>
    </row>
    <row r="84" spans="2:4">
      <c r="B84" s="91">
        <v>80</v>
      </c>
      <c r="C84" s="91" t="s">
        <v>1023</v>
      </c>
      <c r="D84" s="64"/>
    </row>
    <row r="85" spans="2:4">
      <c r="B85" s="91">
        <v>81</v>
      </c>
      <c r="C85" s="91" t="s">
        <v>1024</v>
      </c>
      <c r="D85" s="64"/>
    </row>
    <row r="86" spans="2:4">
      <c r="B86" s="91">
        <v>82</v>
      </c>
      <c r="C86" s="91" t="s">
        <v>1025</v>
      </c>
      <c r="D86" s="64"/>
    </row>
    <row r="87" spans="2:4">
      <c r="B87" s="91">
        <v>83</v>
      </c>
      <c r="C87" s="91" t="s">
        <v>1026</v>
      </c>
      <c r="D87" s="64"/>
    </row>
    <row r="88" spans="2:4">
      <c r="B88" s="91">
        <v>84</v>
      </c>
      <c r="C88" s="91" t="s">
        <v>1027</v>
      </c>
      <c r="D88" s="64"/>
    </row>
    <row r="89" spans="2:4">
      <c r="B89" s="91">
        <v>85</v>
      </c>
      <c r="C89" s="91" t="s">
        <v>1028</v>
      </c>
      <c r="D89" s="64"/>
    </row>
    <row r="90" spans="2:4">
      <c r="B90" s="91">
        <v>86</v>
      </c>
      <c r="C90" s="91" t="s">
        <v>1029</v>
      </c>
      <c r="D90" s="64"/>
    </row>
    <row r="91" spans="2:4">
      <c r="B91" s="91">
        <v>87</v>
      </c>
      <c r="C91" s="91" t="s">
        <v>1030</v>
      </c>
      <c r="D91" s="64"/>
    </row>
    <row r="92" spans="2:4">
      <c r="B92" s="91">
        <v>88</v>
      </c>
      <c r="C92" s="91" t="s">
        <v>1031</v>
      </c>
      <c r="D92" s="64"/>
    </row>
    <row r="93" spans="2:4">
      <c r="B93" s="91">
        <v>89</v>
      </c>
      <c r="C93" s="91" t="s">
        <v>1032</v>
      </c>
      <c r="D93" s="64"/>
    </row>
    <row r="94" spans="2:4">
      <c r="B94" s="91">
        <v>90</v>
      </c>
      <c r="C94" s="91" t="s">
        <v>1033</v>
      </c>
      <c r="D94" s="64"/>
    </row>
    <row r="95" spans="2:4">
      <c r="B95" s="91">
        <v>91</v>
      </c>
      <c r="C95" s="91" t="s">
        <v>1034</v>
      </c>
      <c r="D95" s="64"/>
    </row>
    <row r="96" spans="2:4">
      <c r="B96" s="91">
        <v>92</v>
      </c>
      <c r="C96" s="91" t="s">
        <v>1035</v>
      </c>
      <c r="D96" s="64"/>
    </row>
    <row r="97" spans="2:4">
      <c r="B97" s="91">
        <v>93</v>
      </c>
      <c r="C97" s="91" t="s">
        <v>1036</v>
      </c>
      <c r="D97" s="64"/>
    </row>
    <row r="98" spans="2:4">
      <c r="B98" s="91">
        <v>94</v>
      </c>
      <c r="C98" s="91" t="s">
        <v>1037</v>
      </c>
      <c r="D98" s="64"/>
    </row>
    <row r="99" spans="2:4">
      <c r="B99" s="91">
        <v>95</v>
      </c>
      <c r="C99" s="91" t="s">
        <v>1038</v>
      </c>
      <c r="D99" s="64"/>
    </row>
    <row r="100" spans="2:4">
      <c r="B100" s="91">
        <v>96</v>
      </c>
      <c r="C100" s="91" t="s">
        <v>1039</v>
      </c>
      <c r="D100" s="64"/>
    </row>
    <row r="101" spans="2:4">
      <c r="B101" s="91">
        <v>97</v>
      </c>
      <c r="C101" s="91" t="s">
        <v>1040</v>
      </c>
      <c r="D101" s="64"/>
    </row>
    <row r="102" spans="2:4">
      <c r="B102" s="91">
        <v>98</v>
      </c>
      <c r="C102" s="91" t="s">
        <v>1041</v>
      </c>
      <c r="D102" s="64"/>
    </row>
    <row r="103" spans="2:4">
      <c r="B103" s="91">
        <v>99</v>
      </c>
      <c r="C103" s="91" t="s">
        <v>1042</v>
      </c>
      <c r="D103" s="64"/>
    </row>
    <row r="104" spans="2:4">
      <c r="B104" s="91">
        <v>100</v>
      </c>
      <c r="C104" s="91" t="s">
        <v>1043</v>
      </c>
      <c r="D104" s="64"/>
    </row>
    <row r="105" spans="2:4">
      <c r="B105" s="91">
        <v>101</v>
      </c>
      <c r="C105" s="91" t="s">
        <v>1044</v>
      </c>
      <c r="D105" s="64"/>
    </row>
    <row r="106" spans="2:4">
      <c r="B106" s="91">
        <v>102</v>
      </c>
      <c r="C106" s="91" t="s">
        <v>1045</v>
      </c>
      <c r="D106" s="64"/>
    </row>
    <row r="107" spans="2:4">
      <c r="B107" s="91">
        <v>103</v>
      </c>
      <c r="C107" s="91" t="s">
        <v>1046</v>
      </c>
      <c r="D107" s="64"/>
    </row>
    <row r="108" spans="2:4">
      <c r="B108" s="91">
        <v>104</v>
      </c>
      <c r="C108" s="91" t="s">
        <v>1047</v>
      </c>
      <c r="D108" s="64"/>
    </row>
    <row r="109" spans="2:4">
      <c r="B109" s="91">
        <v>105</v>
      </c>
      <c r="C109" s="91" t="s">
        <v>1048</v>
      </c>
      <c r="D109" s="64"/>
    </row>
    <row r="110" spans="2:4">
      <c r="B110" s="91">
        <v>106</v>
      </c>
      <c r="C110" s="91" t="s">
        <v>1049</v>
      </c>
      <c r="D110" s="64"/>
    </row>
    <row r="111" spans="2:4">
      <c r="B111" s="91">
        <v>107</v>
      </c>
      <c r="C111" s="91" t="s">
        <v>1050</v>
      </c>
      <c r="D111" s="64"/>
    </row>
    <row r="112" spans="2:4">
      <c r="B112" s="91">
        <v>108</v>
      </c>
      <c r="C112" s="91" t="s">
        <v>1051</v>
      </c>
      <c r="D112" s="64"/>
    </row>
    <row r="113" spans="2:4">
      <c r="B113" s="91">
        <v>109</v>
      </c>
      <c r="C113" s="91" t="s">
        <v>1052</v>
      </c>
      <c r="D113" s="64"/>
    </row>
    <row r="114" spans="2:4">
      <c r="B114" s="91">
        <v>110</v>
      </c>
      <c r="C114" s="91" t="s">
        <v>1053</v>
      </c>
      <c r="D114" s="64"/>
    </row>
    <row r="115" spans="2:4">
      <c r="B115" s="91">
        <v>111</v>
      </c>
      <c r="C115" s="91" t="s">
        <v>1054</v>
      </c>
      <c r="D115" s="64"/>
    </row>
    <row r="116" spans="2:4">
      <c r="B116" s="91">
        <v>112</v>
      </c>
      <c r="C116" s="91" t="s">
        <v>1055</v>
      </c>
      <c r="D116" s="64"/>
    </row>
    <row r="117" spans="2:4">
      <c r="B117" s="91">
        <v>113</v>
      </c>
      <c r="C117" s="91" t="s">
        <v>1056</v>
      </c>
      <c r="D117" s="64"/>
    </row>
    <row r="118" spans="2:4">
      <c r="B118" s="91">
        <v>114</v>
      </c>
      <c r="C118" s="91" t="s">
        <v>1057</v>
      </c>
      <c r="D118" s="64"/>
    </row>
    <row r="119" spans="2:4">
      <c r="B119" s="91">
        <v>115</v>
      </c>
      <c r="C119" s="91" t="s">
        <v>1058</v>
      </c>
      <c r="D119" s="64"/>
    </row>
    <row r="120" spans="2:4">
      <c r="B120" s="91">
        <v>116</v>
      </c>
      <c r="C120" s="91" t="s">
        <v>1059</v>
      </c>
      <c r="D120" s="64"/>
    </row>
    <row r="121" spans="2:4">
      <c r="B121" s="91">
        <v>117</v>
      </c>
      <c r="C121" s="91" t="s">
        <v>1060</v>
      </c>
      <c r="D121" s="64"/>
    </row>
    <row r="122" spans="2:4">
      <c r="B122" s="91">
        <v>118</v>
      </c>
      <c r="C122" s="91" t="s">
        <v>1061</v>
      </c>
      <c r="D122" s="64"/>
    </row>
    <row r="123" spans="2:4">
      <c r="B123" s="91">
        <v>119</v>
      </c>
      <c r="C123" s="91" t="s">
        <v>1062</v>
      </c>
      <c r="D123" s="64"/>
    </row>
    <row r="124" spans="2:4">
      <c r="B124" s="91">
        <v>120</v>
      </c>
      <c r="C124" s="91" t="s">
        <v>1063</v>
      </c>
      <c r="D124" s="64"/>
    </row>
    <row r="125" spans="2:4">
      <c r="B125" s="91">
        <v>121</v>
      </c>
      <c r="C125" s="91" t="s">
        <v>1064</v>
      </c>
      <c r="D125" s="64"/>
    </row>
    <row r="126" spans="2:4">
      <c r="B126" s="91">
        <v>122</v>
      </c>
      <c r="C126" s="91" t="s">
        <v>1065</v>
      </c>
      <c r="D126" s="64"/>
    </row>
    <row r="127" spans="2:4">
      <c r="B127" s="91">
        <v>123</v>
      </c>
      <c r="C127" s="91" t="s">
        <v>1066</v>
      </c>
      <c r="D127" s="64"/>
    </row>
    <row r="128" spans="2:4">
      <c r="B128" s="91">
        <v>124</v>
      </c>
      <c r="C128" s="91" t="s">
        <v>1067</v>
      </c>
      <c r="D128" s="64"/>
    </row>
    <row r="129" spans="2:4">
      <c r="B129" s="91">
        <v>125</v>
      </c>
      <c r="C129" s="91" t="s">
        <v>1068</v>
      </c>
      <c r="D129" s="64"/>
    </row>
    <row r="130" spans="2:4">
      <c r="B130" s="91">
        <v>126</v>
      </c>
      <c r="C130" s="91" t="s">
        <v>1069</v>
      </c>
      <c r="D130" s="64"/>
    </row>
    <row r="131" spans="2:4">
      <c r="B131" s="91">
        <v>127</v>
      </c>
      <c r="C131" s="91" t="s">
        <v>1070</v>
      </c>
      <c r="D131" s="64"/>
    </row>
    <row r="132" spans="2:4">
      <c r="B132" s="91">
        <v>128</v>
      </c>
      <c r="C132" s="91" t="s">
        <v>1071</v>
      </c>
      <c r="D132" s="64"/>
    </row>
    <row r="133" spans="2:4">
      <c r="B133" s="91">
        <v>129</v>
      </c>
      <c r="C133" s="91" t="s">
        <v>1072</v>
      </c>
      <c r="D133" s="64"/>
    </row>
    <row r="134" spans="2:4">
      <c r="B134" s="91">
        <v>130</v>
      </c>
      <c r="C134" s="91" t="s">
        <v>1073</v>
      </c>
      <c r="D134" s="64"/>
    </row>
    <row r="135" spans="2:4">
      <c r="B135" s="91">
        <v>131</v>
      </c>
      <c r="C135" s="91" t="s">
        <v>1074</v>
      </c>
      <c r="D135" s="64"/>
    </row>
    <row r="136" spans="2:4">
      <c r="B136" s="91">
        <v>132</v>
      </c>
      <c r="C136" s="91" t="s">
        <v>1075</v>
      </c>
      <c r="D136" s="64"/>
    </row>
    <row r="137" spans="2:4">
      <c r="B137" s="91">
        <v>133</v>
      </c>
      <c r="C137" s="91" t="s">
        <v>1076</v>
      </c>
      <c r="D137" s="64"/>
    </row>
    <row r="138" spans="2:4">
      <c r="B138" s="91">
        <v>134</v>
      </c>
      <c r="C138" s="91" t="s">
        <v>1077</v>
      </c>
      <c r="D138" s="64"/>
    </row>
    <row r="139" spans="2:4">
      <c r="B139" s="91">
        <v>135</v>
      </c>
      <c r="C139" s="91" t="s">
        <v>1078</v>
      </c>
      <c r="D139" s="64"/>
    </row>
    <row r="140" spans="2:4">
      <c r="B140" s="91">
        <v>136</v>
      </c>
      <c r="C140" s="91" t="s">
        <v>1079</v>
      </c>
      <c r="D140" s="64"/>
    </row>
    <row r="141" spans="2:4">
      <c r="B141" s="91">
        <v>137</v>
      </c>
      <c r="C141" s="91" t="s">
        <v>1080</v>
      </c>
      <c r="D141" s="64"/>
    </row>
    <row r="142" spans="2:4">
      <c r="B142" s="91">
        <v>138</v>
      </c>
      <c r="C142" s="91" t="s">
        <v>1081</v>
      </c>
      <c r="D142" s="64"/>
    </row>
    <row r="143" spans="2:4">
      <c r="B143" s="91">
        <v>139</v>
      </c>
      <c r="C143" s="91" t="s">
        <v>1082</v>
      </c>
      <c r="D143" s="64"/>
    </row>
    <row r="144" spans="2:4">
      <c r="B144" s="91">
        <v>140</v>
      </c>
      <c r="C144" s="91" t="s">
        <v>1083</v>
      </c>
      <c r="D144" s="64"/>
    </row>
    <row r="145" spans="2:4">
      <c r="B145" s="91">
        <v>141</v>
      </c>
      <c r="C145" s="91" t="s">
        <v>1084</v>
      </c>
      <c r="D145" s="64"/>
    </row>
    <row r="146" spans="2:4">
      <c r="B146" s="91">
        <v>142</v>
      </c>
      <c r="C146" s="91" t="s">
        <v>1085</v>
      </c>
      <c r="D146" s="64"/>
    </row>
    <row r="147" spans="2:4">
      <c r="B147" s="91">
        <v>143</v>
      </c>
      <c r="C147" s="91" t="s">
        <v>1086</v>
      </c>
      <c r="D147" s="64"/>
    </row>
    <row r="148" spans="2:4">
      <c r="B148" s="91">
        <v>144</v>
      </c>
      <c r="C148" s="91" t="s">
        <v>1087</v>
      </c>
      <c r="D148" s="64"/>
    </row>
    <row r="149" spans="2:4">
      <c r="B149" s="91">
        <v>145</v>
      </c>
      <c r="C149" s="91" t="s">
        <v>1088</v>
      </c>
      <c r="D149" s="64"/>
    </row>
    <row r="150" spans="2:4">
      <c r="B150" s="91">
        <v>146</v>
      </c>
      <c r="C150" s="91" t="s">
        <v>1089</v>
      </c>
      <c r="D150" s="64"/>
    </row>
    <row r="151" spans="2:4">
      <c r="B151" s="91">
        <v>147</v>
      </c>
      <c r="C151" s="91" t="s">
        <v>1090</v>
      </c>
      <c r="D151" s="64"/>
    </row>
    <row r="152" spans="2:4">
      <c r="B152" s="91">
        <v>148</v>
      </c>
      <c r="C152" s="91" t="s">
        <v>1091</v>
      </c>
      <c r="D152" s="64"/>
    </row>
    <row r="153" spans="2:4">
      <c r="B153" s="91">
        <v>149</v>
      </c>
      <c r="C153" s="91" t="s">
        <v>1092</v>
      </c>
      <c r="D153" s="64"/>
    </row>
    <row r="154" spans="2:4">
      <c r="B154" s="91">
        <v>150</v>
      </c>
      <c r="C154" s="91" t="s">
        <v>1093</v>
      </c>
      <c r="D154" s="64"/>
    </row>
    <row r="155" spans="2:4">
      <c r="B155" s="91">
        <v>151</v>
      </c>
      <c r="C155" s="91" t="s">
        <v>1094</v>
      </c>
      <c r="D155" s="64"/>
    </row>
    <row r="156" spans="2:4">
      <c r="B156" s="91">
        <v>152</v>
      </c>
      <c r="C156" s="91" t="s">
        <v>1095</v>
      </c>
      <c r="D156" s="64"/>
    </row>
    <row r="157" spans="2:4">
      <c r="B157" s="91">
        <v>153</v>
      </c>
      <c r="C157" s="91" t="s">
        <v>1096</v>
      </c>
      <c r="D157" s="64"/>
    </row>
    <row r="158" spans="2:4">
      <c r="B158" s="91">
        <v>154</v>
      </c>
      <c r="C158" s="91" t="s">
        <v>1097</v>
      </c>
      <c r="D158" s="64"/>
    </row>
    <row r="159" spans="2:4">
      <c r="B159" s="91">
        <v>155</v>
      </c>
      <c r="C159" s="91" t="s">
        <v>1098</v>
      </c>
      <c r="D159" s="64"/>
    </row>
    <row r="160" spans="2:4">
      <c r="B160" s="91">
        <v>156</v>
      </c>
      <c r="C160" s="91" t="s">
        <v>1099</v>
      </c>
      <c r="D160" s="64"/>
    </row>
    <row r="161" spans="2:4">
      <c r="B161" s="91">
        <v>157</v>
      </c>
      <c r="C161" s="91" t="s">
        <v>1100</v>
      </c>
      <c r="D161" s="64"/>
    </row>
    <row r="162" spans="2:4">
      <c r="B162" s="91">
        <v>158</v>
      </c>
      <c r="C162" s="91" t="s">
        <v>1101</v>
      </c>
      <c r="D162" s="64"/>
    </row>
    <row r="163" spans="2:4">
      <c r="B163" s="91">
        <v>159</v>
      </c>
      <c r="C163" s="91" t="s">
        <v>1102</v>
      </c>
      <c r="D163" s="64"/>
    </row>
    <row r="164" spans="2:4">
      <c r="B164" s="91">
        <v>160</v>
      </c>
      <c r="C164" s="91" t="s">
        <v>1103</v>
      </c>
      <c r="D164" s="64"/>
    </row>
    <row r="165" spans="2:4">
      <c r="B165" s="91">
        <v>161</v>
      </c>
      <c r="C165" s="91" t="s">
        <v>1104</v>
      </c>
      <c r="D165" s="64"/>
    </row>
    <row r="166" spans="2:4">
      <c r="B166" s="91">
        <v>162</v>
      </c>
      <c r="C166" s="91" t="s">
        <v>1105</v>
      </c>
      <c r="D166" s="64"/>
    </row>
    <row r="167" spans="2:4">
      <c r="B167" s="91">
        <v>163</v>
      </c>
      <c r="C167" s="91" t="s">
        <v>1106</v>
      </c>
      <c r="D167" s="64"/>
    </row>
    <row r="168" spans="2:4">
      <c r="B168" s="91">
        <v>164</v>
      </c>
      <c r="C168" s="91" t="s">
        <v>1107</v>
      </c>
      <c r="D168" s="64"/>
    </row>
    <row r="169" spans="2:4">
      <c r="B169" s="91">
        <v>165</v>
      </c>
      <c r="C169" s="91" t="s">
        <v>1108</v>
      </c>
      <c r="D169" s="64"/>
    </row>
    <row r="170" spans="2:4">
      <c r="B170" s="91">
        <v>166</v>
      </c>
      <c r="C170" s="91" t="s">
        <v>1109</v>
      </c>
      <c r="D170" s="64"/>
    </row>
    <row r="171" spans="2:4">
      <c r="B171" s="91">
        <v>167</v>
      </c>
      <c r="C171" s="91" t="s">
        <v>1110</v>
      </c>
      <c r="D171" s="64"/>
    </row>
    <row r="172" spans="2:4">
      <c r="B172" s="91">
        <v>168</v>
      </c>
      <c r="C172" s="91" t="s">
        <v>1111</v>
      </c>
      <c r="D172" s="64"/>
    </row>
    <row r="173" spans="2:4">
      <c r="B173" s="91">
        <v>169</v>
      </c>
      <c r="C173" s="91" t="s">
        <v>1112</v>
      </c>
      <c r="D173" s="64"/>
    </row>
    <row r="174" spans="2:4">
      <c r="B174" s="91">
        <v>170</v>
      </c>
      <c r="C174" s="91" t="s">
        <v>1113</v>
      </c>
      <c r="D174" s="64"/>
    </row>
    <row r="175" spans="2:4">
      <c r="B175" s="91">
        <v>171</v>
      </c>
      <c r="C175" s="91" t="s">
        <v>1114</v>
      </c>
      <c r="D175" s="64"/>
    </row>
    <row r="176" spans="2:4">
      <c r="B176" s="91">
        <v>172</v>
      </c>
      <c r="C176" s="91" t="s">
        <v>1115</v>
      </c>
      <c r="D176" s="64"/>
    </row>
    <row r="177" spans="2:4">
      <c r="B177" s="91">
        <v>173</v>
      </c>
      <c r="C177" s="91" t="s">
        <v>1116</v>
      </c>
      <c r="D177" s="64"/>
    </row>
    <row r="178" spans="2:4">
      <c r="B178" s="91">
        <v>174</v>
      </c>
      <c r="C178" s="91" t="s">
        <v>1117</v>
      </c>
      <c r="D178" s="64"/>
    </row>
    <row r="179" spans="2:4">
      <c r="B179" s="91">
        <v>175</v>
      </c>
      <c r="C179" s="91" t="s">
        <v>1118</v>
      </c>
      <c r="D179" s="64"/>
    </row>
    <row r="180" spans="2:4">
      <c r="B180" s="91">
        <v>176</v>
      </c>
      <c r="C180" s="91" t="s">
        <v>1119</v>
      </c>
      <c r="D180" s="64"/>
    </row>
    <row r="181" spans="2:4">
      <c r="B181" s="91">
        <v>177</v>
      </c>
      <c r="C181" s="91" t="s">
        <v>1120</v>
      </c>
      <c r="D181" s="64"/>
    </row>
    <row r="182" spans="2:4">
      <c r="B182" s="91">
        <v>178</v>
      </c>
      <c r="C182" s="91" t="s">
        <v>1121</v>
      </c>
      <c r="D182" s="64"/>
    </row>
    <row r="183" spans="2:4">
      <c r="B183" s="91">
        <v>179</v>
      </c>
      <c r="C183" s="91" t="s">
        <v>1122</v>
      </c>
      <c r="D183" s="64"/>
    </row>
    <row r="184" spans="2:4">
      <c r="B184" s="91">
        <v>180</v>
      </c>
      <c r="C184" s="91" t="s">
        <v>1123</v>
      </c>
      <c r="D184" s="64"/>
    </row>
    <row r="185" spans="2:4">
      <c r="B185" s="91">
        <v>181</v>
      </c>
      <c r="C185" s="91" t="s">
        <v>1124</v>
      </c>
      <c r="D185" s="64"/>
    </row>
    <row r="186" spans="2:4">
      <c r="B186" s="91">
        <v>182</v>
      </c>
      <c r="C186" s="91" t="s">
        <v>1125</v>
      </c>
      <c r="D186" s="64"/>
    </row>
    <row r="187" spans="2:4">
      <c r="B187" s="91">
        <v>183</v>
      </c>
      <c r="C187" s="91" t="s">
        <v>1126</v>
      </c>
      <c r="D187" s="64"/>
    </row>
    <row r="188" spans="2:4">
      <c r="B188" s="91">
        <v>184</v>
      </c>
      <c r="C188" s="91" t="s">
        <v>1127</v>
      </c>
      <c r="D188" s="64"/>
    </row>
    <row r="189" spans="2:4">
      <c r="B189" s="91">
        <v>185</v>
      </c>
      <c r="C189" s="91" t="s">
        <v>1128</v>
      </c>
      <c r="D189" s="64"/>
    </row>
    <row r="190" spans="2:4">
      <c r="B190" s="91">
        <v>186</v>
      </c>
      <c r="C190" s="91" t="s">
        <v>1129</v>
      </c>
      <c r="D190" s="64"/>
    </row>
    <row r="191" spans="2:4">
      <c r="B191" s="91">
        <v>187</v>
      </c>
      <c r="C191" s="91" t="s">
        <v>1130</v>
      </c>
      <c r="D191" s="64"/>
    </row>
    <row r="192" spans="2:4">
      <c r="B192" s="91">
        <v>188</v>
      </c>
      <c r="C192" s="91" t="s">
        <v>1131</v>
      </c>
      <c r="D192" s="64"/>
    </row>
    <row r="193" spans="2:4">
      <c r="B193" s="91">
        <v>189</v>
      </c>
      <c r="C193" s="91" t="s">
        <v>1132</v>
      </c>
      <c r="D193" s="64"/>
    </row>
    <row r="194" spans="2:4">
      <c r="B194" s="91">
        <v>190</v>
      </c>
      <c r="C194" s="91" t="s">
        <v>1133</v>
      </c>
      <c r="D194" s="64"/>
    </row>
    <row r="195" spans="2:4">
      <c r="B195" s="91">
        <v>191</v>
      </c>
      <c r="C195" s="91" t="s">
        <v>1134</v>
      </c>
      <c r="D195" s="64"/>
    </row>
    <row r="196" spans="2:4">
      <c r="B196" s="91">
        <v>192</v>
      </c>
      <c r="C196" s="91" t="s">
        <v>1135</v>
      </c>
      <c r="D196" s="64"/>
    </row>
    <row r="197" spans="2:4">
      <c r="B197" s="91">
        <v>193</v>
      </c>
      <c r="C197" s="91" t="s">
        <v>1136</v>
      </c>
      <c r="D197" s="64"/>
    </row>
    <row r="198" spans="2:4">
      <c r="B198" s="91">
        <v>194</v>
      </c>
      <c r="C198" s="91" t="s">
        <v>1137</v>
      </c>
      <c r="D198" s="64"/>
    </row>
    <row r="199" spans="2:4">
      <c r="B199" s="91">
        <v>195</v>
      </c>
      <c r="C199" s="91" t="s">
        <v>1138</v>
      </c>
      <c r="D199" s="64"/>
    </row>
    <row r="200" spans="2:4">
      <c r="B200" s="91">
        <v>196</v>
      </c>
      <c r="C200" s="91" t="s">
        <v>1139</v>
      </c>
      <c r="D200" s="64"/>
    </row>
    <row r="201" spans="2:4">
      <c r="B201" s="91">
        <v>197</v>
      </c>
      <c r="C201" s="91" t="s">
        <v>1140</v>
      </c>
      <c r="D201" s="64"/>
    </row>
    <row r="202" spans="2:4">
      <c r="B202" s="91">
        <v>198</v>
      </c>
      <c r="C202" s="91" t="s">
        <v>1141</v>
      </c>
      <c r="D202" s="64"/>
    </row>
    <row r="203" spans="2:4">
      <c r="B203" s="91">
        <v>199</v>
      </c>
      <c r="C203" s="91" t="s">
        <v>1142</v>
      </c>
      <c r="D203" s="64"/>
    </row>
    <row r="204" spans="2:4">
      <c r="B204" s="91">
        <v>200</v>
      </c>
      <c r="C204" s="91" t="s">
        <v>1143</v>
      </c>
      <c r="D204" s="64"/>
    </row>
    <row r="205" spans="2:4">
      <c r="B205" s="91">
        <v>201</v>
      </c>
      <c r="C205" s="91" t="s">
        <v>1144</v>
      </c>
      <c r="D205" s="64"/>
    </row>
    <row r="206" spans="2:4">
      <c r="B206" s="91">
        <v>202</v>
      </c>
      <c r="C206" s="91" t="s">
        <v>1145</v>
      </c>
      <c r="D206" s="64"/>
    </row>
    <row r="207" spans="2:4">
      <c r="B207" s="91">
        <v>203</v>
      </c>
      <c r="C207" s="91" t="s">
        <v>1146</v>
      </c>
      <c r="D207" s="64"/>
    </row>
    <row r="208" spans="2:4">
      <c r="B208" s="91">
        <v>204</v>
      </c>
      <c r="C208" s="91" t="s">
        <v>1147</v>
      </c>
      <c r="D208" s="64"/>
    </row>
    <row r="209" spans="2:4">
      <c r="B209" s="91">
        <v>205</v>
      </c>
      <c r="C209" s="91" t="s">
        <v>1148</v>
      </c>
      <c r="D209" s="64"/>
    </row>
    <row r="210" spans="2:4">
      <c r="B210" s="91">
        <v>206</v>
      </c>
      <c r="C210" s="91" t="s">
        <v>1149</v>
      </c>
      <c r="D210" s="64"/>
    </row>
    <row r="211" spans="2:4">
      <c r="B211" s="91">
        <v>207</v>
      </c>
      <c r="C211" s="91" t="s">
        <v>1150</v>
      </c>
      <c r="D211" s="64"/>
    </row>
    <row r="212" spans="2:4">
      <c r="B212" s="91">
        <v>208</v>
      </c>
      <c r="C212" s="91" t="s">
        <v>1151</v>
      </c>
      <c r="D212" s="64"/>
    </row>
    <row r="213" spans="2:4">
      <c r="B213" s="91">
        <v>209</v>
      </c>
      <c r="C213" s="91" t="s">
        <v>1152</v>
      </c>
      <c r="D213" s="64"/>
    </row>
    <row r="214" spans="2:4">
      <c r="B214" s="91">
        <v>210</v>
      </c>
      <c r="C214" s="91" t="s">
        <v>1153</v>
      </c>
      <c r="D214" s="64"/>
    </row>
    <row r="215" spans="2:4">
      <c r="B215" s="91">
        <v>211</v>
      </c>
      <c r="C215" s="91" t="s">
        <v>1154</v>
      </c>
      <c r="D215" s="64"/>
    </row>
    <row r="216" spans="2:4">
      <c r="B216" s="91">
        <v>212</v>
      </c>
      <c r="C216" s="91" t="s">
        <v>1155</v>
      </c>
      <c r="D216" s="64"/>
    </row>
    <row r="217" spans="2:4">
      <c r="B217" s="91">
        <v>213</v>
      </c>
      <c r="C217" s="91" t="s">
        <v>1156</v>
      </c>
      <c r="D217" s="64"/>
    </row>
    <row r="218" spans="2:4">
      <c r="B218" s="91">
        <v>214</v>
      </c>
      <c r="C218" s="91" t="s">
        <v>1157</v>
      </c>
      <c r="D218" s="64"/>
    </row>
    <row r="219" spans="2:4">
      <c r="B219" s="91">
        <v>215</v>
      </c>
      <c r="C219" s="91" t="s">
        <v>1158</v>
      </c>
      <c r="D219" s="64"/>
    </row>
    <row r="220" spans="2:4">
      <c r="B220" s="91">
        <v>216</v>
      </c>
      <c r="C220" s="91" t="s">
        <v>1159</v>
      </c>
      <c r="D220" s="64"/>
    </row>
    <row r="221" spans="2:4">
      <c r="B221" s="91">
        <v>217</v>
      </c>
      <c r="C221" s="91" t="s">
        <v>1160</v>
      </c>
      <c r="D221" s="64"/>
    </row>
    <row r="222" spans="2:4">
      <c r="B222" s="91">
        <v>218</v>
      </c>
      <c r="C222" s="91" t="s">
        <v>1161</v>
      </c>
      <c r="D222" s="64"/>
    </row>
    <row r="223" spans="2:4">
      <c r="B223" s="91">
        <v>219</v>
      </c>
      <c r="C223" s="91" t="s">
        <v>1162</v>
      </c>
      <c r="D223" s="64"/>
    </row>
    <row r="224" spans="2:4">
      <c r="B224" s="91">
        <v>220</v>
      </c>
      <c r="C224" s="91" t="s">
        <v>1163</v>
      </c>
      <c r="D224" s="64"/>
    </row>
    <row r="225" spans="2:4">
      <c r="B225" s="91">
        <v>221</v>
      </c>
      <c r="C225" s="91" t="s">
        <v>1164</v>
      </c>
      <c r="D225" s="64"/>
    </row>
    <row r="226" spans="2:4">
      <c r="B226" s="91">
        <v>222</v>
      </c>
      <c r="C226" s="91" t="s">
        <v>1165</v>
      </c>
      <c r="D226" s="64"/>
    </row>
    <row r="227" spans="2:4">
      <c r="B227" s="91">
        <v>223</v>
      </c>
      <c r="C227" s="91" t="s">
        <v>1166</v>
      </c>
      <c r="D227" s="64"/>
    </row>
    <row r="228" spans="2:4">
      <c r="B228" s="91">
        <v>224</v>
      </c>
      <c r="C228" s="91" t="s">
        <v>1167</v>
      </c>
      <c r="D228" s="64"/>
    </row>
    <row r="229" spans="2:4">
      <c r="B229" s="91">
        <v>225</v>
      </c>
      <c r="C229" s="91" t="s">
        <v>1168</v>
      </c>
      <c r="D229" s="64"/>
    </row>
    <row r="230" spans="2:4">
      <c r="B230" s="91">
        <v>226</v>
      </c>
      <c r="C230" s="91" t="s">
        <v>1169</v>
      </c>
      <c r="D230" s="64"/>
    </row>
    <row r="231" spans="2:4">
      <c r="B231" s="91">
        <v>227</v>
      </c>
      <c r="C231" s="91" t="s">
        <v>1170</v>
      </c>
      <c r="D231" s="64"/>
    </row>
    <row r="232" spans="2:4">
      <c r="B232" s="91">
        <v>228</v>
      </c>
      <c r="C232" s="91" t="s">
        <v>1171</v>
      </c>
      <c r="D232" s="64"/>
    </row>
    <row r="233" spans="2:4">
      <c r="B233" s="91">
        <v>229</v>
      </c>
      <c r="C233" s="91" t="s">
        <v>1172</v>
      </c>
      <c r="D233" s="64"/>
    </row>
    <row r="234" spans="2:4">
      <c r="B234" s="91">
        <v>230</v>
      </c>
      <c r="C234" s="91" t="s">
        <v>1173</v>
      </c>
      <c r="D234" s="64"/>
    </row>
    <row r="235" spans="2:4">
      <c r="B235" s="91">
        <v>231</v>
      </c>
      <c r="C235" s="91" t="s">
        <v>1174</v>
      </c>
      <c r="D235" s="64"/>
    </row>
    <row r="236" spans="2:4">
      <c r="B236" s="61"/>
      <c r="C236" s="60"/>
      <c r="D236" s="64"/>
    </row>
    <row r="237" spans="2:4">
      <c r="B237" s="61"/>
      <c r="C237" s="60"/>
      <c r="D237" s="64"/>
    </row>
    <row r="238" spans="2:4" ht="15" thickBot="1">
      <c r="B238" s="62"/>
      <c r="C238" s="63"/>
      <c r="D238" s="65"/>
    </row>
  </sheetData>
  <mergeCells count="2">
    <mergeCell ref="C2:D2"/>
    <mergeCell ref="C3:D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7CD9F9-D4D4-4641-9431-FF5EE0290692}">
  <sheetPr>
    <tabColor rgb="FF4472C4"/>
  </sheetPr>
  <dimension ref="A1:I65"/>
  <sheetViews>
    <sheetView tabSelected="1" topLeftCell="A13" zoomScale="70" zoomScaleNormal="70" workbookViewId="0">
      <selection activeCell="B31" sqref="B31"/>
    </sheetView>
  </sheetViews>
  <sheetFormatPr defaultRowHeight="14.45"/>
  <cols>
    <col min="1" max="1" width="46.5703125" customWidth="1"/>
    <col min="2" max="2" width="69.85546875" customWidth="1"/>
    <col min="3" max="3" width="69.85546875" bestFit="1" customWidth="1"/>
    <col min="4" max="4" width="26.140625" bestFit="1" customWidth="1"/>
    <col min="5" max="5" width="11.85546875" customWidth="1"/>
    <col min="6" max="6" width="34.140625" bestFit="1" customWidth="1"/>
    <col min="8" max="8" width="45.42578125" bestFit="1" customWidth="1"/>
    <col min="9" max="9" width="205.28515625" bestFit="1" customWidth="1"/>
  </cols>
  <sheetData>
    <row r="1" spans="1:9" ht="43.5">
      <c r="A1" s="96" t="s">
        <v>1175</v>
      </c>
      <c r="B1" s="96" t="s">
        <v>1176</v>
      </c>
      <c r="C1" s="96" t="s">
        <v>1177</v>
      </c>
      <c r="D1" s="96" t="s">
        <v>1178</v>
      </c>
      <c r="E1" s="96" t="s">
        <v>1179</v>
      </c>
      <c r="F1" s="96" t="s">
        <v>1180</v>
      </c>
      <c r="G1" s="96" t="s">
        <v>80</v>
      </c>
      <c r="H1" s="96" t="s">
        <v>81</v>
      </c>
      <c r="I1" s="96" t="s">
        <v>1181</v>
      </c>
    </row>
    <row r="2" spans="1:9">
      <c r="A2" s="172"/>
      <c r="B2" s="172"/>
      <c r="C2" s="225" t="s">
        <v>1182</v>
      </c>
      <c r="D2" s="225"/>
      <c r="E2" s="225"/>
      <c r="F2" s="225"/>
      <c r="G2" s="225"/>
      <c r="H2" s="225"/>
      <c r="I2" s="225"/>
    </row>
    <row r="3" spans="1:9">
      <c r="A3" s="97"/>
      <c r="B3" s="97"/>
      <c r="C3" s="97" t="s">
        <v>1183</v>
      </c>
      <c r="D3" s="95" t="str">
        <f t="shared" ref="D3:D40" si="0">IF(OR(ISNUMBER(SEARCH("{", C3)),ISNUMBER(SEARCH("[", C3))), "", IFERROR(MID(C3, SEARCH("""", C3) +1, SEARCH("""", C3, SEARCH("""",C3) +1) - SEARCH("""", C3) -1), ""))</f>
        <v/>
      </c>
      <c r="E3" s="95" t="str">
        <f>IF(D3="", "", VLOOKUP(D3,'API Data Dictionary'!C:L,10,FALSE))</f>
        <v/>
      </c>
      <c r="F3" s="95" t="str">
        <f>IF(D3="", "", VLOOKUP(D3,'API Data Dictionary'!C:D,2,FALSE))</f>
        <v/>
      </c>
      <c r="G3" s="95" t="str">
        <f>IF(IF(D3="", "", VLOOKUP(D3,'API Data Dictionary'!C:E,3,FALSE))=0, "", IF(D3="", "", VLOOKUP(D3,'API Data Dictionary'!C:E,3,FALSE)))</f>
        <v/>
      </c>
      <c r="H3" s="95" t="str">
        <f>IF(IF(D3="", "", VLOOKUP(D3,'API Data Dictionary'!C:F,4,FALSE))=0, "", IF(D3="", "", VLOOKUP(D3,'API Data Dictionary'!C:F,4,FALSE)))</f>
        <v/>
      </c>
      <c r="I3" s="95" t="str">
        <f>IF(IF(D3="", "", VLOOKUP(D3,'API Data Dictionary'!C:G,5,FALSE))=0, "", IF(D3="", "", VLOOKUP(D3,'API Data Dictionary'!C:G,5,FALSE)))</f>
        <v/>
      </c>
    </row>
    <row r="4" spans="1:9" ht="15">
      <c r="A4" s="97"/>
      <c r="B4" s="182" t="s">
        <v>1184</v>
      </c>
      <c r="C4" s="97" t="s">
        <v>1185</v>
      </c>
      <c r="D4" s="95" t="str">
        <f t="shared" si="0"/>
        <v>agentCode</v>
      </c>
      <c r="E4" s="95" t="str">
        <f>IF(D4="", "", VLOOKUP(D4,'API Data Dictionary'!C:L,10,FALSE))</f>
        <v>M</v>
      </c>
      <c r="F4" s="95" t="str">
        <f>IF(D4="", "", VLOOKUP(D4,'API Data Dictionary'!C:D,2,FALSE))</f>
        <v>string</v>
      </c>
      <c r="G4" s="95">
        <f>IF(IF(D4="", "", VLOOKUP(D4,'API Data Dictionary'!C:E,3,FALSE))=0, "", IF(D4="", "", VLOOKUP(D4,'API Data Dictionary'!C:E,3,FALSE)))</f>
        <v>50</v>
      </c>
      <c r="H4" s="95" t="str">
        <f>IF(IF(D4="", "", VLOOKUP(D4,'API Data Dictionary'!C:F,4,FALSE))=0, "", IF(D4="", "", VLOOKUP(D4,'API Data Dictionary'!C:F,4,FALSE)))</f>
        <v/>
      </c>
      <c r="I4" s="95" t="str">
        <f>IF(IF(D4="", "", VLOOKUP(D4,'API Data Dictionary'!C:G,5,FALSE))=0, "", IF(D4="", "", VLOOKUP(D4,'API Data Dictionary'!C:G,5,FALSE)))</f>
        <v>AgentCode is the Unique Key provided to the Agent when onboarding as a Barbon Customer.
An AgentID may be linked to many Properties being managed by that Agent and Each property may be linked to 1 or more TenancyID's.</v>
      </c>
    </row>
    <row r="5" spans="1:9" ht="15">
      <c r="A5" s="97"/>
      <c r="B5" s="226" t="s">
        <v>1186</v>
      </c>
      <c r="C5" s="97" t="s">
        <v>1187</v>
      </c>
      <c r="D5" s="95" t="str">
        <f t="shared" si="0"/>
        <v>rentGuarantee</v>
      </c>
      <c r="E5" s="95" t="str">
        <f>IF(D5="", "", VLOOKUP(D5,'API Data Dictionary'!C:L,10,FALSE))</f>
        <v>M</v>
      </c>
      <c r="F5" s="95" t="str">
        <f>IF(D5="", "", VLOOKUP(D5,'API Data Dictionary'!C:D,2,FALSE))</f>
        <v>enum - Rent Guarantee</v>
      </c>
      <c r="G5" s="95" t="str">
        <f>IF(IF(D5="", "", VLOOKUP(D5,'API Data Dictionary'!C:E,3,FALSE))=0, "", IF(D5="", "", VLOOKUP(D5,'API Data Dictionary'!C:E,3,FALSE)))</f>
        <v/>
      </c>
      <c r="H5" s="95" t="str">
        <f>IF(IF(D5="", "", VLOOKUP(D5,'API Data Dictionary'!C:F,4,FALSE))=0, "", IF(D5="", "", VLOOKUP(D5,'API Data Dictionary'!C:F,4,FALSE)))</f>
        <v>Valid Values 1-4 (See enum definition)</v>
      </c>
      <c r="I5" s="95" t="str">
        <f>IF(IF(D5="", "", VLOOKUP(D5,'API Data Dictionary'!C:G,5,FALSE))=0, "", IF(D5="", "", VLOOKUP(D5,'API Data Dictionary'!C:G,5,FALSE)))</f>
        <v xml:space="preserve">Rent guarantee is an indicator that determines which RG option if any  the agent requires </v>
      </c>
    </row>
    <row r="6" spans="1:9" ht="15">
      <c r="A6" s="174"/>
      <c r="B6" s="184" t="s">
        <v>1188</v>
      </c>
      <c r="C6" s="186" t="s">
        <v>1189</v>
      </c>
      <c r="D6" s="95" t="str">
        <f t="shared" si="0"/>
        <v>tenancyTermMonths</v>
      </c>
      <c r="E6" s="95" t="str">
        <f>IF(D6="", "", VLOOKUP(D6,'API Data Dictionary'!C:L,10,FALSE))</f>
        <v>M</v>
      </c>
      <c r="F6" s="95" t="str">
        <f>IF(D6="", "", VLOOKUP(D6,'API Data Dictionary'!C:D,2,FALSE))</f>
        <v>integer</v>
      </c>
      <c r="G6" s="95" t="str">
        <f>IF(IF(D6="", "", VLOOKUP(D6,'API Data Dictionary'!C:E,3,FALSE))=0, "", IF(D6="", "", VLOOKUP(D6,'API Data Dictionary'!C:E,3,FALSE)))</f>
        <v/>
      </c>
      <c r="H6" s="95" t="str">
        <f>IF(IF(D6="", "", VLOOKUP(D6,'API Data Dictionary'!C:F,4,FALSE))=0, "", IF(D6="", "", VLOOKUP(D6,'API Data Dictionary'!C:F,4,FALSE)))</f>
        <v/>
      </c>
      <c r="I6" s="95" t="str">
        <f>IF(IF(D6="", "", VLOOKUP(D6,'API Data Dictionary'!C:G,5,FALSE))=0, "", IF(D6="", "", VLOOKUP(D6,'API Data Dictionary'!C:G,5,FALSE)))</f>
        <v>The term of the Tenancy in months (whole months only)</v>
      </c>
    </row>
    <row r="7" spans="1:9" ht="15">
      <c r="A7" s="174"/>
      <c r="B7" s="184" t="s">
        <v>1190</v>
      </c>
      <c r="C7" s="186" t="s">
        <v>1191</v>
      </c>
      <c r="D7" s="95" t="str">
        <f t="shared" si="0"/>
        <v>monthlyRental</v>
      </c>
      <c r="E7" s="95" t="str">
        <f>IF(D7="", "", VLOOKUP(D7,'API Data Dictionary'!C:L,10,FALSE))</f>
        <v>M</v>
      </c>
      <c r="F7" s="95" t="str">
        <f>IF(D7="", "", VLOOKUP(D7,'API Data Dictionary'!C:D,2,FALSE))</f>
        <v>number (double)</v>
      </c>
      <c r="G7" s="95" t="str">
        <f>IF(IF(D7="", "", VLOOKUP(D7,'API Data Dictionary'!C:E,3,FALSE))=0, "", IF(D7="", "", VLOOKUP(D7,'API Data Dictionary'!C:E,3,FALSE)))</f>
        <v/>
      </c>
      <c r="H7" s="95" t="str">
        <f>IF(IF(D7="", "", VLOOKUP(D7,'API Data Dictionary'!C:F,4,FALSE))=0, "", IF(D7="", "", VLOOKUP(D7,'API Data Dictionary'!C:F,4,FALSE)))</f>
        <v xml:space="preserve">	number($double)
pattern: ^\d*.\d{0,2}$</v>
      </c>
      <c r="I7" s="95" t="str">
        <f>IF(IF(D7="", "", VLOOKUP(D7,'API Data Dictionary'!C:G,5,FALSE))=0, "", IF(D7="", "", VLOOKUP(D7,'API Data Dictionary'!C:G,5,FALSE)))</f>
        <v>The monthly rental cost</v>
      </c>
    </row>
    <row r="8" spans="1:9" ht="15">
      <c r="A8" s="185"/>
      <c r="B8" s="180" t="s">
        <v>1192</v>
      </c>
      <c r="C8" s="186" t="s">
        <v>1193</v>
      </c>
      <c r="D8" s="95" t="str">
        <f t="shared" si="0"/>
        <v>lettingType</v>
      </c>
      <c r="E8" s="95" t="str">
        <f>IF(D8="", "", VLOOKUP(D8,'API Data Dictionary'!C:L,10,FALSE))</f>
        <v>M</v>
      </c>
      <c r="F8" s="95" t="str">
        <f>IF(D8="", "", VLOOKUP(D8,'API Data Dictionary'!C:D,2,FALSE))</f>
        <v>enum - Letting Type</v>
      </c>
      <c r="G8" s="95" t="str">
        <f>IF(IF(D8="", "", VLOOKUP(D8,'API Data Dictionary'!C:E,3,FALSE))=0, "", IF(D8="", "", VLOOKUP(D8,'API Data Dictionary'!C:E,3,FALSE)))</f>
        <v/>
      </c>
      <c r="H8" s="95" t="str">
        <f>IF(IF(D8="", "", VLOOKUP(D8,'API Data Dictionary'!C:F,4,FALSE))=0, "", IF(D8="", "", VLOOKUP(D8,'API Data Dictionary'!C:F,4,FALSE)))</f>
        <v>Valid Values 1-3 (See enum definition)</v>
      </c>
      <c r="I8" s="95" t="str">
        <f>IF(IF(D8="", "", VLOOKUP(D8,'API Data Dictionary'!C:G,5,FALSE))=0, "", IF(D8="", "", VLOOKUP(D8,'API Data Dictionary'!C:G,5,FALSE)))</f>
        <v>The type of the letting, i.e. rent only or fully managed</v>
      </c>
    </row>
    <row r="9" spans="1:9" ht="15">
      <c r="A9" s="174"/>
      <c r="B9" s="184" t="s">
        <v>1194</v>
      </c>
      <c r="C9" s="186" t="s">
        <v>1195</v>
      </c>
      <c r="D9" s="95" t="str">
        <f t="shared" si="0"/>
        <v>estimatedMoveInDate</v>
      </c>
      <c r="E9" s="95" t="str">
        <f>IF(D9="", "", VLOOKUP(D9,'API Data Dictionary'!C:L,10,FALSE))</f>
        <v>M</v>
      </c>
      <c r="F9" s="95" t="str">
        <f>IF(D9="", "", VLOOKUP(D9,'API Data Dictionary'!C:D,2,FALSE))</f>
        <v>string ($date-time)</v>
      </c>
      <c r="G9" s="95" t="str">
        <f>IF(IF(D9="", "", VLOOKUP(D9,'API Data Dictionary'!C:E,3,FALSE))=0, "", IF(D9="", "", VLOOKUP(D9,'API Data Dictionary'!C:E,3,FALSE)))</f>
        <v/>
      </c>
      <c r="H9" s="95" t="str">
        <f>IF(IF(D9="", "", VLOOKUP(D9,'API Data Dictionary'!C:F,4,FALSE))=0, "", IF(D9="", "", VLOOKUP(D9,'API Data Dictionary'!C:F,4,FALSE)))</f>
        <v>DD/MM/YYYY</v>
      </c>
      <c r="I9" s="95" t="str">
        <f>IF(IF(D9="", "", VLOOKUP(D9,'API Data Dictionary'!C:G,5,FALSE))=0, "", IF(D9="", "", VLOOKUP(D9,'API Data Dictionary'!C:G,5,FALSE)))</f>
        <v>Estimated date of tenancy start (move in)</v>
      </c>
    </row>
    <row r="10" spans="1:9" ht="30.75">
      <c r="A10" s="175" t="s">
        <v>1196</v>
      </c>
      <c r="B10" s="194" t="s">
        <v>1197</v>
      </c>
      <c r="C10" s="186" t="s">
        <v>1198</v>
      </c>
      <c r="D10" s="95" t="str">
        <f t="shared" si="0"/>
        <v>propertyType</v>
      </c>
      <c r="E10" s="95" t="str">
        <f>IF(D10="", "", VLOOKUP(D10,'API Data Dictionary'!C:L,10,FALSE))</f>
        <v>M</v>
      </c>
      <c r="F10" s="95" t="str">
        <f>IF(D10="", "", VLOOKUP(D10,'API Data Dictionary'!C:D,2,FALSE))</f>
        <v>enum - Property Type</v>
      </c>
      <c r="G10" s="95" t="str">
        <f>IF(IF(D10="", "", VLOOKUP(D10,'API Data Dictionary'!C:E,3,FALSE))=0, "", IF(D10="", "", VLOOKUP(D10,'API Data Dictionary'!C:E,3,FALSE)))</f>
        <v/>
      </c>
      <c r="H10" s="95" t="str">
        <f>IF(IF(D10="", "", VLOOKUP(D10,'API Data Dictionary'!C:F,4,FALSE))=0, "", IF(D10="", "", VLOOKUP(D10,'API Data Dictionary'!C:F,4,FALSE)))</f>
        <v>Valid Values 1-6 (See enum definition)</v>
      </c>
      <c r="I10" s="95" t="str">
        <f>IF(IF(D10="", "", VLOOKUP(D10,'API Data Dictionary'!C:G,5,FALSE))=0, "", IF(D10="", "", VLOOKUP(D10,'API Data Dictionary'!C:G,5,FALSE)))</f>
        <v xml:space="preserve">The Type of property </v>
      </c>
    </row>
    <row r="11" spans="1:9" ht="15">
      <c r="A11" s="97"/>
      <c r="B11" s="227"/>
      <c r="C11" s="97" t="s">
        <v>1199</v>
      </c>
      <c r="D11" s="95" t="str">
        <f t="shared" si="0"/>
        <v>propertyConstructionPeriod</v>
      </c>
      <c r="E11" s="95" t="str">
        <f>IF(D11="", "", VLOOKUP(D11,'API Data Dictionary'!C:L,10,FALSE))</f>
        <v>X</v>
      </c>
      <c r="F11" s="95" t="str">
        <f>IF(D11="", "", VLOOKUP(D11,'API Data Dictionary'!C:D,2,FALSE))</f>
        <v>enum - Property Construction Period</v>
      </c>
      <c r="G11" s="95" t="str">
        <f>IF(IF(D11="", "", VLOOKUP(D11,'API Data Dictionary'!C:E,3,FALSE))=0, "", IF(D11="", "", VLOOKUP(D11,'API Data Dictionary'!C:E,3,FALSE)))</f>
        <v/>
      </c>
      <c r="H11" s="95" t="str">
        <f>IF(IF(D11="", "", VLOOKUP(D11,'API Data Dictionary'!C:F,4,FALSE))=0, "", IF(D11="", "", VLOOKUP(D11,'API Data Dictionary'!C:F,4,FALSE)))</f>
        <v>Valid Values 1-9 (See enum definition)</v>
      </c>
      <c r="I11" s="95" t="str">
        <f>IF(IF(D11="", "", VLOOKUP(D11,'API Data Dictionary'!C:G,5,FALSE))=0, "", IF(D11="", "", VLOOKUP(D11,'API Data Dictionary'!C:G,5,FALSE)))</f>
        <v>The time period in which the property was built</v>
      </c>
    </row>
    <row r="12" spans="1:9" ht="15">
      <c r="A12" s="175"/>
      <c r="B12" s="228" t="s">
        <v>1200</v>
      </c>
      <c r="C12" s="97" t="s">
        <v>1201</v>
      </c>
      <c r="D12" s="95" t="str">
        <f t="shared" si="0"/>
        <v>numberOfBedrooms</v>
      </c>
      <c r="E12" s="95" t="s">
        <v>139</v>
      </c>
      <c r="F12" s="95" t="str">
        <f>IF(D12="", "", VLOOKUP(D12,'API Data Dictionary'!C:D,2,FALSE))</f>
        <v>integer</v>
      </c>
      <c r="G12" s="95" t="str">
        <f>IF(IF(D12="", "", VLOOKUP(D12,'API Data Dictionary'!C:E,3,FALSE))=0, "", IF(D12="", "", VLOOKUP(D12,'API Data Dictionary'!C:E,3,FALSE)))</f>
        <v/>
      </c>
      <c r="H12" s="95" t="str">
        <f>IF(IF(D12="", "", VLOOKUP(D12,'API Data Dictionary'!C:F,4,FALSE))=0, "", IF(D12="", "", VLOOKUP(D12,'API Data Dictionary'!C:F,4,FALSE)))</f>
        <v/>
      </c>
      <c r="I12" s="95" t="str">
        <f>IF(IF(D12="", "", VLOOKUP(D12,'API Data Dictionary'!C:G,5,FALSE))=0, "", IF(D12="", "", VLOOKUP(D12,'API Data Dictionary'!C:G,5,FALSE)))</f>
        <v>The count of bedrooms in the property</v>
      </c>
    </row>
    <row r="13" spans="1:9" ht="27.75" customHeight="1">
      <c r="A13" s="97"/>
      <c r="B13" s="192" t="s">
        <v>1202</v>
      </c>
      <c r="C13" s="97" t="s">
        <v>1203</v>
      </c>
      <c r="D13" s="95" t="str">
        <f t="shared" si="0"/>
        <v>noOfAdultOccupants</v>
      </c>
      <c r="E13" s="95" t="str">
        <f>IF(D13="", "", VLOOKUP(D13,'API Data Dictionary'!C:L,10,FALSE))</f>
        <v>X</v>
      </c>
      <c r="F13" s="95" t="str">
        <f>IF(D13="", "", VLOOKUP(D13,'API Data Dictionary'!C:D,2,FALSE))</f>
        <v>integer</v>
      </c>
      <c r="G13" s="95" t="str">
        <f>IF(IF(D13="", "", VLOOKUP(D13,'API Data Dictionary'!C:E,3,FALSE))=0, "", IF(D13="", "", VLOOKUP(D13,'API Data Dictionary'!C:E,3,FALSE)))</f>
        <v/>
      </c>
      <c r="H13" s="95" t="str">
        <f>IF(IF(D13="", "", VLOOKUP(D13,'API Data Dictionary'!C:F,4,FALSE))=0, "", IF(D13="", "", VLOOKUP(D13,'API Data Dictionary'!C:F,4,FALSE)))</f>
        <v/>
      </c>
      <c r="I13" s="95" t="str">
        <f>IF(IF(D13="", "", VLOOKUP(D13,'API Data Dictionary'!C:G,5,FALSE))=0, "", IF(D13="", "", VLOOKUP(D13,'API Data Dictionary'!C:G,5,FALSE)))</f>
        <v>Number of Adult occupants (18 or over)</v>
      </c>
    </row>
    <row r="14" spans="1:9" ht="15">
      <c r="A14" s="97"/>
      <c r="B14" s="228"/>
      <c r="C14" s="97" t="s">
        <v>1204</v>
      </c>
      <c r="D14" s="95" t="str">
        <f t="shared" si="0"/>
        <v>noOfChildOccupants</v>
      </c>
      <c r="E14" s="95" t="str">
        <f>IF(D14="", "", VLOOKUP(D14,'API Data Dictionary'!C:L,10,FALSE))</f>
        <v>X</v>
      </c>
      <c r="F14" s="95" t="str">
        <f>IF(D14="", "", VLOOKUP(D14,'API Data Dictionary'!C:D,2,FALSE))</f>
        <v>integer</v>
      </c>
      <c r="G14" s="95" t="str">
        <f>IF(IF(D14="", "", VLOOKUP(D14,'API Data Dictionary'!C:E,3,FALSE))=0, "", IF(D14="", "", VLOOKUP(D14,'API Data Dictionary'!C:E,3,FALSE)))</f>
        <v/>
      </c>
      <c r="H14" s="95" t="str">
        <f>IF(IF(D14="", "", VLOOKUP(D14,'API Data Dictionary'!C:F,4,FALSE))=0, "", IF(D14="", "", VLOOKUP(D14,'API Data Dictionary'!C:F,4,FALSE)))</f>
        <v/>
      </c>
      <c r="I14" s="95" t="str">
        <f>IF(IF(D14="", "", VLOOKUP(D14,'API Data Dictionary'!C:G,5,FALSE))=0, "", IF(D14="", "", VLOOKUP(D14,'API Data Dictionary'!C:G,5,FALSE)))</f>
        <v>Number of Child Occupants (under 18)</v>
      </c>
    </row>
    <row r="15" spans="1:9" ht="15">
      <c r="A15" s="97"/>
      <c r="B15" s="228" t="s">
        <v>1205</v>
      </c>
      <c r="C15" s="97" t="s">
        <v>1206</v>
      </c>
      <c r="D15" s="95" t="str">
        <f t="shared" si="0"/>
        <v>isAdvanceRent</v>
      </c>
      <c r="E15" s="95" t="s">
        <v>139</v>
      </c>
      <c r="F15" s="95" t="str">
        <f>IF(D15="", "", VLOOKUP(D15,'API Data Dictionary'!C:D,2,FALSE))</f>
        <v>boolean</v>
      </c>
      <c r="G15" s="95" t="str">
        <f>IF(IF(D15="", "", VLOOKUP(D15,'API Data Dictionary'!C:E,3,FALSE))=0, "", IF(D15="", "", VLOOKUP(D15,'API Data Dictionary'!C:E,3,FALSE)))</f>
        <v/>
      </c>
      <c r="H15" s="95" t="str">
        <f>IF(IF(D15="", "", VLOOKUP(D15,'API Data Dictionary'!C:F,4,FALSE))=0, "", IF(D15="", "", VLOOKUP(D15,'API Data Dictionary'!C:F,4,FALSE)))</f>
        <v/>
      </c>
      <c r="I15" s="95" t="str">
        <f>IF(IF(D15="", "", VLOOKUP(D15,'API Data Dictionary'!C:G,5,FALSE))=0, "", IF(D15="", "", VLOOKUP(D15,'API Data Dictionary'!C:G,5,FALSE)))</f>
        <v>Denotes whether rent is paid in advance</v>
      </c>
    </row>
    <row r="16" spans="1:9" ht="15">
      <c r="A16" s="97"/>
      <c r="B16" s="228"/>
      <c r="C16" s="97" t="s">
        <v>1207</v>
      </c>
      <c r="D16" s="95" t="str">
        <f t="shared" si="0"/>
        <v/>
      </c>
      <c r="E16" s="95" t="str">
        <f>IF(D16="", "", VLOOKUP(D16,'API Data Dictionary'!C:L,10,FALSE))</f>
        <v/>
      </c>
      <c r="F16" s="95" t="str">
        <f>IF(D16="", "", VLOOKUP(D16,'API Data Dictionary'!C:D,2,FALSE))</f>
        <v/>
      </c>
      <c r="G16" s="95" t="str">
        <f>IF(IF(D16="", "", VLOOKUP(D16,'API Data Dictionary'!C:E,3,FALSE))=0, "", IF(D16="", "", VLOOKUP(D16,'API Data Dictionary'!C:E,3,FALSE)))</f>
        <v/>
      </c>
      <c r="H16" s="95" t="str">
        <f>IF(IF(D16="", "", VLOOKUP(D16,'API Data Dictionary'!C:F,4,FALSE))=0, "", IF(D16="", "", VLOOKUP(D16,'API Data Dictionary'!C:F,4,FALSE)))</f>
        <v/>
      </c>
      <c r="I16" s="95" t="str">
        <f>IF(IF(D16="", "", VLOOKUP(D16,'API Data Dictionary'!C:G,5,FALSE))=0, "", IF(D16="", "", VLOOKUP(D16,'API Data Dictionary'!C:G,5,FALSE)))</f>
        <v/>
      </c>
    </row>
    <row r="17" spans="1:9" ht="15">
      <c r="A17" s="97"/>
      <c r="B17" s="228" t="s">
        <v>1208</v>
      </c>
      <c r="C17" s="97" t="s">
        <v>1209</v>
      </c>
      <c r="D17" s="95" t="str">
        <f t="shared" si="0"/>
        <v>houseNumber</v>
      </c>
      <c r="E17" s="95" t="str">
        <f>IF(D17="", "", VLOOKUP(D17,'API Data Dictionary'!C:L,10,FALSE))</f>
        <v>X</v>
      </c>
      <c r="F17" s="95" t="str">
        <f>IF(D17="", "", VLOOKUP(D17,'API Data Dictionary'!C:D,2,FALSE))</f>
        <v>string</v>
      </c>
      <c r="G17" s="95">
        <f>IF(IF(D17="", "", VLOOKUP(D17,'API Data Dictionary'!C:E,3,FALSE))=0, "", IF(D17="", "", VLOOKUP(D17,'API Data Dictionary'!C:E,3,FALSE)))</f>
        <v>100</v>
      </c>
      <c r="H17" s="95" t="str">
        <f>IF(IF(D17="", "", VLOOKUP(D17,'API Data Dictionary'!C:F,4,FALSE))=0, "", IF(D17="", "", VLOOKUP(D17,'API Data Dictionary'!C:F,4,FALSE)))</f>
        <v/>
      </c>
      <c r="I17" s="95" t="str">
        <f>IF(IF(D17="", "", VLOOKUP(D17,'API Data Dictionary'!C:G,5,FALSE))=0, "", IF(D17="", "", VLOOKUP(D17,'API Data Dictionary'!C:G,5,FALSE)))</f>
        <v xml:space="preserve">The number of the property </v>
      </c>
    </row>
    <row r="18" spans="1:9" ht="15">
      <c r="A18" s="97"/>
      <c r="B18" s="228" t="s">
        <v>1210</v>
      </c>
      <c r="C18" s="97" t="s">
        <v>1211</v>
      </c>
      <c r="D18" s="95" t="str">
        <f t="shared" si="0"/>
        <v>houseName</v>
      </c>
      <c r="E18" s="95" t="str">
        <f>IF(D18="", "", VLOOKUP(D18,'API Data Dictionary'!C:L,10,FALSE))</f>
        <v>X</v>
      </c>
      <c r="F18" s="95" t="str">
        <f>IF(D18="", "", VLOOKUP(D18,'API Data Dictionary'!C:D,2,FALSE))</f>
        <v>string</v>
      </c>
      <c r="G18" s="95">
        <f>IF(IF(D18="", "", VLOOKUP(D18,'API Data Dictionary'!C:E,3,FALSE))=0, "", IF(D18="", "", VLOOKUP(D18,'API Data Dictionary'!C:E,3,FALSE)))</f>
        <v>100</v>
      </c>
      <c r="H18" s="95" t="str">
        <f>IF(IF(D18="", "", VLOOKUP(D18,'API Data Dictionary'!C:F,4,FALSE))=0, "", IF(D18="", "", VLOOKUP(D18,'API Data Dictionary'!C:F,4,FALSE)))</f>
        <v/>
      </c>
      <c r="I18" s="95" t="str">
        <f>IF(IF(D18="", "", VLOOKUP(D18,'API Data Dictionary'!C:G,5,FALSE))=0, "", IF(D18="", "", VLOOKUP(D18,'API Data Dictionary'!C:G,5,FALSE)))</f>
        <v>The name of the property</v>
      </c>
    </row>
    <row r="19" spans="1:9" ht="15">
      <c r="A19" s="97"/>
      <c r="B19" s="228" t="s">
        <v>1212</v>
      </c>
      <c r="C19" s="97" t="s">
        <v>1213</v>
      </c>
      <c r="D19" s="95" t="str">
        <f t="shared" si="0"/>
        <v>addressLine1</v>
      </c>
      <c r="E19" s="95" t="str">
        <f>IF(D19="", "", VLOOKUP(D19,'API Data Dictionary'!C:L,10,FALSE))</f>
        <v>M</v>
      </c>
      <c r="F19" s="95" t="str">
        <f>IF(D19="", "", VLOOKUP(D19,'API Data Dictionary'!C:D,2,FALSE))</f>
        <v>string</v>
      </c>
      <c r="G19" s="95">
        <f>IF(IF(D19="", "", VLOOKUP(D19,'API Data Dictionary'!C:E,3,FALSE))=0, "", IF(D19="", "", VLOOKUP(D19,'API Data Dictionary'!C:E,3,FALSE)))</f>
        <v>100</v>
      </c>
      <c r="H19" s="95" t="str">
        <f>IF(IF(D19="", "", VLOOKUP(D19,'API Data Dictionary'!C:F,4,FALSE))=0, "", IF(D19="", "", VLOOKUP(D19,'API Data Dictionary'!C:F,4,FALSE)))</f>
        <v/>
      </c>
      <c r="I19" s="95" t="str">
        <f>IF(IF(D19="", "", VLOOKUP(D19,'API Data Dictionary'!C:G,5,FALSE))=0, "", IF(D19="", "", VLOOKUP(D19,'API Data Dictionary'!C:G,5,FALSE)))</f>
        <v>The first line of the property address</v>
      </c>
    </row>
    <row r="20" spans="1:9" ht="15">
      <c r="A20" s="97"/>
      <c r="B20" s="228"/>
      <c r="C20" s="97" t="s">
        <v>1214</v>
      </c>
      <c r="D20" s="95" t="str">
        <f t="shared" si="0"/>
        <v>addressLine2</v>
      </c>
      <c r="E20" s="95" t="str">
        <f>IF(D20="", "", VLOOKUP(D20,'API Data Dictionary'!C:L,10,FALSE))</f>
        <v>x</v>
      </c>
      <c r="F20" s="95" t="str">
        <f>IF(D20="", "", VLOOKUP(D20,'API Data Dictionary'!C:D,2,FALSE))</f>
        <v>string</v>
      </c>
      <c r="G20" s="95">
        <f>IF(IF(D20="", "", VLOOKUP(D20,'API Data Dictionary'!C:E,3,FALSE))=0, "", IF(D20="", "", VLOOKUP(D20,'API Data Dictionary'!C:E,3,FALSE)))</f>
        <v>100</v>
      </c>
      <c r="H20" s="95" t="str">
        <f>IF(IF(D20="", "", VLOOKUP(D20,'API Data Dictionary'!C:F,4,FALSE))=0, "", IF(D20="", "", VLOOKUP(D20,'API Data Dictionary'!C:F,4,FALSE)))</f>
        <v/>
      </c>
      <c r="I20" s="95" t="str">
        <f>IF(IF(D20="", "", VLOOKUP(D20,'API Data Dictionary'!C:G,5,FALSE))=0, "", IF(D20="", "", VLOOKUP(D20,'API Data Dictionary'!C:G,5,FALSE)))</f>
        <v>The second line of the property address</v>
      </c>
    </row>
    <row r="21" spans="1:9" ht="15">
      <c r="A21" s="97"/>
      <c r="B21" s="179" t="s">
        <v>1215</v>
      </c>
      <c r="C21" s="97" t="s">
        <v>1216</v>
      </c>
      <c r="D21" s="95" t="str">
        <f t="shared" si="0"/>
        <v>town</v>
      </c>
      <c r="E21" s="95" t="str">
        <f>IF(D21="", "", VLOOKUP(D21,'API Data Dictionary'!C:L,10,FALSE))</f>
        <v>M</v>
      </c>
      <c r="F21" s="95" t="str">
        <f>IF(D21="", "", VLOOKUP(D21,'API Data Dictionary'!C:D,2,FALSE))</f>
        <v>string</v>
      </c>
      <c r="G21" s="95">
        <f>IF(IF(D21="", "", VLOOKUP(D21,'API Data Dictionary'!C:E,3,FALSE))=0, "", IF(D21="", "", VLOOKUP(D21,'API Data Dictionary'!C:E,3,FALSE)))</f>
        <v>50</v>
      </c>
      <c r="H21" s="95" t="str">
        <f>IF(IF(D21="", "", VLOOKUP(D21,'API Data Dictionary'!C:F,4,FALSE))=0, "", IF(D21="", "", VLOOKUP(D21,'API Data Dictionary'!C:F,4,FALSE)))</f>
        <v/>
      </c>
      <c r="I21" s="95" t="str">
        <f>IF(IF(D21="", "", VLOOKUP(D21,'API Data Dictionary'!C:G,5,FALSE))=0, "", IF(D21="", "", VLOOKUP(D21,'API Data Dictionary'!C:G,5,FALSE)))</f>
        <v>The town in which the property exists</v>
      </c>
    </row>
    <row r="22" spans="1:9" ht="15">
      <c r="A22" s="97"/>
      <c r="B22" s="179" t="s">
        <v>1217</v>
      </c>
      <c r="C22" s="97" t="s">
        <v>1218</v>
      </c>
      <c r="D22" s="95" t="str">
        <f t="shared" si="0"/>
        <v>postcode</v>
      </c>
      <c r="E22" s="95" t="str">
        <f>IF(D22="", "", VLOOKUP(D22,'API Data Dictionary'!C:L,10,FALSE))</f>
        <v>M</v>
      </c>
      <c r="F22" s="95" t="str">
        <f>IF(D22="", "", VLOOKUP(D22,'API Data Dictionary'!C:D,2,FALSE))</f>
        <v>string</v>
      </c>
      <c r="G22" s="95">
        <f>IF(IF(D22="", "", VLOOKUP(D22,'API Data Dictionary'!C:E,3,FALSE))=0, "", IF(D22="", "", VLOOKUP(D22,'API Data Dictionary'!C:E,3,FALSE)))</f>
        <v>50</v>
      </c>
      <c r="H22" s="95" t="str">
        <f>IF(IF(D22="", "", VLOOKUP(D22,'API Data Dictionary'!C:F,4,FALSE))=0, "", IF(D22="", "", VLOOKUP(D22,'API Data Dictionary'!C:F,4,FALSE)))</f>
        <v/>
      </c>
      <c r="I22" s="95" t="str">
        <f>IF(IF(D22="", "", VLOOKUP(D22,'API Data Dictionary'!C:G,5,FALSE))=0, "", IF(D22="", "", VLOOKUP(D22,'API Data Dictionary'!C:G,5,FALSE)))</f>
        <v>the postcode of the property</v>
      </c>
    </row>
    <row r="23" spans="1:9" ht="15">
      <c r="A23" s="175" t="s">
        <v>1196</v>
      </c>
      <c r="B23" s="184" t="s">
        <v>1219</v>
      </c>
      <c r="C23" s="186" t="s">
        <v>1220</v>
      </c>
      <c r="D23" s="95" t="str">
        <f t="shared" si="0"/>
        <v>ukCountryCode</v>
      </c>
      <c r="E23" s="95" t="str">
        <f>IF(D23="", "", VLOOKUP(D23,'API Data Dictionary'!C:L,10,FALSE))</f>
        <v>M</v>
      </c>
      <c r="F23" s="95" t="str">
        <f>IF(D23="", "", VLOOKUP(D23,'API Data Dictionary'!C:D,2,FALSE))</f>
        <v>enum - UK Country List</v>
      </c>
      <c r="G23" s="95" t="str">
        <f>IF(IF(D23="", "", VLOOKUP(D23,'API Data Dictionary'!C:E,3,FALSE))=0, "", IF(D23="", "", VLOOKUP(D23,'API Data Dictionary'!C:E,3,FALSE)))</f>
        <v/>
      </c>
      <c r="H23" s="95" t="str">
        <f>IF(IF(D23="", "", VLOOKUP(D23,'API Data Dictionary'!C:F,4,FALSE))=0, "", IF(D23="", "", VLOOKUP(D23,'API Data Dictionary'!C:F,4,FALSE)))</f>
        <v>Valid Values 1-4 (See enum definition)</v>
      </c>
      <c r="I23" s="95" t="str">
        <f>IF(IF(D23="", "", VLOOKUP(D23,'API Data Dictionary'!C:G,5,FALSE))=0, "", IF(D23="", "", VLOOKUP(D23,'API Data Dictionary'!C:G,5,FALSE)))</f>
        <v xml:space="preserve">The UK country Code </v>
      </c>
    </row>
    <row r="24" spans="1:9" ht="15">
      <c r="A24" s="97"/>
      <c r="B24" s="227"/>
      <c r="C24" s="97" t="s">
        <v>1221</v>
      </c>
      <c r="D24" s="95" t="str">
        <f t="shared" si="0"/>
        <v/>
      </c>
      <c r="E24" s="95" t="str">
        <f>IF(D24="", "", VLOOKUP(D24,'API Data Dictionary'!C:L,10,FALSE))</f>
        <v/>
      </c>
      <c r="F24" s="95" t="str">
        <f>IF(D24="", "", VLOOKUP(D24,'API Data Dictionary'!C:D,2,FALSE))</f>
        <v/>
      </c>
      <c r="G24" s="95" t="str">
        <f>IF(IF(D24="", "", VLOOKUP(D24,'API Data Dictionary'!C:E,3,FALSE))=0, "", IF(D24="", "", VLOOKUP(D24,'API Data Dictionary'!C:E,3,FALSE)))</f>
        <v/>
      </c>
      <c r="H24" s="95" t="str">
        <f>IF(IF(D24="", "", VLOOKUP(D24,'API Data Dictionary'!C:F,4,FALSE))=0, "", IF(D24="", "", VLOOKUP(D24,'API Data Dictionary'!C:F,4,FALSE)))</f>
        <v/>
      </c>
      <c r="I24" s="95" t="str">
        <f>IF(IF(D24="", "", VLOOKUP(D24,'API Data Dictionary'!C:G,5,FALSE))=0, "", IF(D24="", "", VLOOKUP(D24,'API Data Dictionary'!C:G,5,FALSE)))</f>
        <v/>
      </c>
    </row>
    <row r="25" spans="1:9" ht="15">
      <c r="A25" s="97"/>
      <c r="B25" s="228"/>
      <c r="C25" s="97" t="s">
        <v>1222</v>
      </c>
      <c r="D25" s="95" t="str">
        <f t="shared" si="0"/>
        <v/>
      </c>
      <c r="E25" s="95" t="str">
        <f>IF(D25="", "", VLOOKUP(D25,'API Data Dictionary'!C:L,10,FALSE))</f>
        <v/>
      </c>
      <c r="F25" s="95" t="str">
        <f>IF(D25="", "", VLOOKUP(D25,'API Data Dictionary'!C:D,2,FALSE))</f>
        <v/>
      </c>
      <c r="G25" s="95" t="str">
        <f>IF(IF(D25="", "", VLOOKUP(D25,'API Data Dictionary'!C:E,3,FALSE))=0, "", IF(D25="", "", VLOOKUP(D25,'API Data Dictionary'!C:E,3,FALSE)))</f>
        <v/>
      </c>
      <c r="H25" s="95" t="str">
        <f>IF(IF(D25="", "", VLOOKUP(D25,'API Data Dictionary'!C:F,4,FALSE))=0, "", IF(D25="", "", VLOOKUP(D25,'API Data Dictionary'!C:F,4,FALSE)))</f>
        <v/>
      </c>
      <c r="I25" s="95" t="str">
        <f>IF(IF(D25="", "", VLOOKUP(D25,'API Data Dictionary'!C:G,5,FALSE))=0, "", IF(D25="", "", VLOOKUP(D25,'API Data Dictionary'!C:G,5,FALSE)))</f>
        <v/>
      </c>
    </row>
    <row r="26" spans="1:9" ht="15">
      <c r="A26" s="97"/>
      <c r="B26" s="228"/>
      <c r="C26" s="97" t="s">
        <v>1223</v>
      </c>
      <c r="D26" s="95" t="str">
        <f t="shared" si="0"/>
        <v/>
      </c>
      <c r="E26" s="95" t="str">
        <f>IF(D26="", "", VLOOKUP(D26,'API Data Dictionary'!C:L,10,FALSE))</f>
        <v/>
      </c>
      <c r="F26" s="95" t="str">
        <f>IF(D26="", "", VLOOKUP(D26,'API Data Dictionary'!C:D,2,FALSE))</f>
        <v/>
      </c>
      <c r="G26" s="95" t="str">
        <f>IF(IF(D26="", "", VLOOKUP(D26,'API Data Dictionary'!C:E,3,FALSE))=0, "", IF(D26="", "", VLOOKUP(D26,'API Data Dictionary'!C:E,3,FALSE)))</f>
        <v/>
      </c>
      <c r="H26" s="95" t="str">
        <f>IF(IF(D26="", "", VLOOKUP(D26,'API Data Dictionary'!C:F,4,FALSE))=0, "", IF(D26="", "", VLOOKUP(D26,'API Data Dictionary'!C:F,4,FALSE)))</f>
        <v/>
      </c>
      <c r="I26" s="95" t="str">
        <f>IF(IF(D26="", "", VLOOKUP(D26,'API Data Dictionary'!C:G,5,FALSE))=0, "", IF(D26="", "", VLOOKUP(D26,'API Data Dictionary'!C:G,5,FALSE)))</f>
        <v/>
      </c>
    </row>
    <row r="27" spans="1:9" ht="15">
      <c r="A27" s="97"/>
      <c r="B27" s="229" t="s">
        <v>1224</v>
      </c>
      <c r="C27" s="97" t="s">
        <v>1225</v>
      </c>
      <c r="D27" s="95" t="str">
        <f t="shared" si="0"/>
        <v>tenantTypeId</v>
      </c>
      <c r="E27" s="95" t="str">
        <f>IF(D27="", "", VLOOKUP(D27,'API Data Dictionary'!C:L,10,FALSE))</f>
        <v>M</v>
      </c>
      <c r="F27" s="95" t="str">
        <f>IF(D27="", "", VLOOKUP(D27,'API Data Dictionary'!C:D,2,FALSE))</f>
        <v>enum - Tenant Type</v>
      </c>
      <c r="G27" s="95" t="str">
        <f>IF(IF(D27="", "", VLOOKUP(D27,'API Data Dictionary'!C:E,3,FALSE))=0, "", IF(D27="", "", VLOOKUP(D27,'API Data Dictionary'!C:E,3,FALSE)))</f>
        <v/>
      </c>
      <c r="H27" s="95" t="str">
        <f>IF(IF(D27="", "", VLOOKUP(D27,'API Data Dictionary'!C:F,4,FALSE))=0, "", IF(D27="", "", VLOOKUP(D27,'API Data Dictionary'!C:F,4,FALSE)))</f>
        <v>Valid Values 1-4 (See enum definition)</v>
      </c>
      <c r="I27" s="95" t="str">
        <f>IF(IF(D27="", "", VLOOKUP(D27,'API Data Dictionary'!C:G,5,FALSE))=0, "", IF(D27="", "", VLOOKUP(D27,'API Data Dictionary'!C:G,5,FALSE)))</f>
        <v>The Type of the Tenant, e.g. lead or Guarantor</v>
      </c>
    </row>
    <row r="28" spans="1:9" ht="15">
      <c r="A28" s="97"/>
      <c r="B28" s="226" t="s">
        <v>1226</v>
      </c>
      <c r="C28" s="97" t="s">
        <v>1227</v>
      </c>
      <c r="D28" s="95" t="str">
        <f t="shared" si="0"/>
        <v>referenceType</v>
      </c>
      <c r="E28" s="95" t="str">
        <f>IF(D28="", "", VLOOKUP(D28,'API Data Dictionary'!C:L,10,FALSE))</f>
        <v>M</v>
      </c>
      <c r="F28" s="95" t="str">
        <f>IF(D28="", "", VLOOKUP(D28,'API Data Dictionary'!C:D,2,FALSE))</f>
        <v>enum - Reference Type</v>
      </c>
      <c r="G28" s="95" t="str">
        <f>IF(IF(D28="", "", VLOOKUP(D28,'API Data Dictionary'!C:E,3,FALSE))=0, "", IF(D28="", "", VLOOKUP(D28,'API Data Dictionary'!C:E,3,FALSE)))</f>
        <v/>
      </c>
      <c r="H28" s="95" t="str">
        <f>IF(IF(D28="", "", VLOOKUP(D28,'API Data Dictionary'!C:F,4,FALSE))=0, "", IF(D28="", "", VLOOKUP(D28,'API Data Dictionary'!C:F,4,FALSE)))</f>
        <v>Valid Values 1-2 (See enum definition)</v>
      </c>
      <c r="I28" s="95" t="str">
        <f>IF(IF(D28="", "", VLOOKUP(D28,'API Data Dictionary'!C:G,5,FALSE))=0, "", IF(D28="", "", VLOOKUP(D28,'API Data Dictionary'!C:G,5,FALSE)))</f>
        <v>The Type of reference, e.g Full or Express</v>
      </c>
    </row>
    <row r="29" spans="1:9" ht="15">
      <c r="A29" s="185"/>
      <c r="B29" s="184" t="s">
        <v>1228</v>
      </c>
      <c r="C29" s="186" t="s">
        <v>1229</v>
      </c>
      <c r="D29" s="95" t="str">
        <f t="shared" si="0"/>
        <v>rightToRent</v>
      </c>
      <c r="E29" s="95" t="str">
        <f>IF(D29="", "", VLOOKUP(D29,'API Data Dictionary'!C:L,10,FALSE))</f>
        <v>M</v>
      </c>
      <c r="F29" s="95" t="str">
        <f>IF(D29="", "", VLOOKUP(D29,'API Data Dictionary'!C:D,2,FALSE))</f>
        <v>boolean</v>
      </c>
      <c r="G29" s="95" t="str">
        <f>IF(IF(D29="", "", VLOOKUP(D29,'API Data Dictionary'!C:E,3,FALSE))=0, "", IF(D29="", "", VLOOKUP(D29,'API Data Dictionary'!C:E,3,FALSE)))</f>
        <v/>
      </c>
      <c r="H29" s="95" t="str">
        <f>IF(IF(D29="", "", VLOOKUP(D29,'API Data Dictionary'!C:F,4,FALSE))=0, "", IF(D29="", "", VLOOKUP(D29,'API Data Dictionary'!C:F,4,FALSE)))</f>
        <v/>
      </c>
      <c r="I29" s="95" t="str">
        <f>IF(IF(D29="", "", VLOOKUP(D29,'API Data Dictionary'!C:G,5,FALSE))=0, "", IF(D29="", "", VLOOKUP(D29,'API Data Dictionary'!C:G,5,FALSE)))</f>
        <v>Use Right to rent product for this reference</v>
      </c>
    </row>
    <row r="30" spans="1:9" ht="15">
      <c r="A30" s="185"/>
      <c r="B30" s="184" t="s">
        <v>1230</v>
      </c>
      <c r="C30" s="186" t="s">
        <v>1231</v>
      </c>
      <c r="D30" s="95" t="str">
        <f t="shared" si="0"/>
        <v>title</v>
      </c>
      <c r="E30" s="95" t="str">
        <f>IF(D30="", "", VLOOKUP(D30,'API Data Dictionary'!C:L,10,FALSE))</f>
        <v>M</v>
      </c>
      <c r="F30" s="95" t="str">
        <f>IF(D30="", "", VLOOKUP(D30,'API Data Dictionary'!C:D,2,FALSE))</f>
        <v>enum - Title</v>
      </c>
      <c r="G30" s="95" t="str">
        <f>IF(IF(D30="", "", VLOOKUP(D30,'API Data Dictionary'!C:E,3,FALSE))=0, "", IF(D30="", "", VLOOKUP(D30,'API Data Dictionary'!C:E,3,FALSE)))</f>
        <v/>
      </c>
      <c r="H30" s="95" t="str">
        <f>IF(IF(D30="", "", VLOOKUP(D30,'API Data Dictionary'!C:F,4,FALSE))=0, "", IF(D30="", "", VLOOKUP(D30,'API Data Dictionary'!C:F,4,FALSE)))</f>
        <v>Valid Values 1-7 (See enum definition)</v>
      </c>
      <c r="I30" s="95" t="str">
        <f>IF(IF(D30="", "", VLOOKUP(D30,'API Data Dictionary'!C:G,5,FALSE))=0, "", IF(D30="", "", VLOOKUP(D30,'API Data Dictionary'!C:G,5,FALSE)))</f>
        <v>The persons title, e.g. Mr, Mrs, etc.</v>
      </c>
    </row>
    <row r="31" spans="1:9" ht="15">
      <c r="A31" s="97"/>
      <c r="B31" s="227" t="s">
        <v>1232</v>
      </c>
      <c r="C31" s="97" t="s">
        <v>1233</v>
      </c>
      <c r="D31" s="95" t="str">
        <f t="shared" si="0"/>
        <v>otherTitle</v>
      </c>
      <c r="E31" s="95" t="str">
        <f>IF(D31="", "", VLOOKUP(D31,'API Data Dictionary'!C:L,10,FALSE))</f>
        <v>X</v>
      </c>
      <c r="F31" s="95" t="str">
        <f>IF(D31="", "", VLOOKUP(D31,'API Data Dictionary'!C:D,2,FALSE))</f>
        <v>string</v>
      </c>
      <c r="G31" s="95">
        <f>IF(IF(D31="", "", VLOOKUP(D31,'API Data Dictionary'!C:E,3,FALSE))=0, "", IF(D31="", "", VLOOKUP(D31,'API Data Dictionary'!C:E,3,FALSE)))</f>
        <v>100</v>
      </c>
      <c r="H31" s="95" t="str">
        <f>IF(IF(D31="", "", VLOOKUP(D31,'API Data Dictionary'!C:F,4,FALSE))=0, "", IF(D31="", "", VLOOKUP(D31,'API Data Dictionary'!C:F,4,FALSE)))</f>
        <v/>
      </c>
      <c r="I31" s="95" t="str">
        <f>IF(IF(D31="", "", VLOOKUP(D31,'API Data Dictionary'!C:G,5,FALSE))=0, "", IF(D31="", "", VLOOKUP(D31,'API Data Dictionary'!C:G,5,FALSE)))</f>
        <v>If other is chosen for title, this is a text field to enter the specific title</v>
      </c>
    </row>
    <row r="32" spans="1:9" ht="15">
      <c r="A32" s="97"/>
      <c r="B32" s="179" t="s">
        <v>1234</v>
      </c>
      <c r="C32" s="97" t="s">
        <v>1235</v>
      </c>
      <c r="D32" s="95" t="str">
        <f t="shared" si="0"/>
        <v>firstName</v>
      </c>
      <c r="E32" s="95" t="str">
        <f>IF(D32="", "", VLOOKUP(D32,'API Data Dictionary'!C:L,10,FALSE))</f>
        <v>M</v>
      </c>
      <c r="F32" s="95" t="str">
        <f>IF(D32="", "", VLOOKUP(D32,'API Data Dictionary'!C:D,2,FALSE))</f>
        <v>string</v>
      </c>
      <c r="G32" s="95">
        <f>IF(IF(D32="", "", VLOOKUP(D32,'API Data Dictionary'!C:E,3,FALSE))=0, "", IF(D32="", "", VLOOKUP(D32,'API Data Dictionary'!C:E,3,FALSE)))</f>
        <v>100</v>
      </c>
      <c r="H32" s="95" t="str">
        <f>IF(IF(D32="", "", VLOOKUP(D32,'API Data Dictionary'!C:F,4,FALSE))=0, "", IF(D32="", "", VLOOKUP(D32,'API Data Dictionary'!C:F,4,FALSE)))</f>
        <v>pattern: ^[a-zA-Z0-9\-' ]*$</v>
      </c>
      <c r="I32" s="95" t="str">
        <f>IF(IF(D32="", "", VLOOKUP(D32,'API Data Dictionary'!C:G,5,FALSE))=0, "", IF(D32="", "", VLOOKUP(D32,'API Data Dictionary'!C:G,5,FALSE)))</f>
        <v>First name, validated against the RegEx pattern</v>
      </c>
    </row>
    <row r="33" spans="1:9" ht="15">
      <c r="A33" s="97"/>
      <c r="B33" s="228"/>
      <c r="C33" s="97" t="s">
        <v>1236</v>
      </c>
      <c r="D33" s="95" t="str">
        <f t="shared" si="0"/>
        <v>middleName</v>
      </c>
      <c r="E33" s="95" t="str">
        <f>IF(D33="", "", VLOOKUP(D33,'API Data Dictionary'!C:L,10,FALSE))</f>
        <v>X</v>
      </c>
      <c r="F33" s="95" t="str">
        <f>IF(D33="", "", VLOOKUP(D33,'API Data Dictionary'!C:D,2,FALSE))</f>
        <v>string</v>
      </c>
      <c r="G33" s="95">
        <f>IF(IF(D33="", "", VLOOKUP(D33,'API Data Dictionary'!C:E,3,FALSE))=0, "", IF(D33="", "", VLOOKUP(D33,'API Data Dictionary'!C:E,3,FALSE)))</f>
        <v>50</v>
      </c>
      <c r="H33" s="95" t="str">
        <f>IF(IF(D33="", "", VLOOKUP(D33,'API Data Dictionary'!C:F,4,FALSE))=0, "", IF(D33="", "", VLOOKUP(D33,'API Data Dictionary'!C:F,4,FALSE)))</f>
        <v>pattern: ^[a-zA-Z0-9\-' ]*$</v>
      </c>
      <c r="I33" s="95" t="str">
        <f>IF(IF(D33="", "", VLOOKUP(D33,'API Data Dictionary'!C:G,5,FALSE))=0, "", IF(D33="", "", VLOOKUP(D33,'API Data Dictionary'!C:G,5,FALSE)))</f>
        <v>Middle name, validated against the RegEx pattern</v>
      </c>
    </row>
    <row r="34" spans="1:9" ht="15">
      <c r="A34" s="97"/>
      <c r="B34" s="179" t="s">
        <v>1237</v>
      </c>
      <c r="C34" s="97" t="s">
        <v>1238</v>
      </c>
      <c r="D34" s="95" t="str">
        <f t="shared" si="0"/>
        <v>surname</v>
      </c>
      <c r="E34" s="95" t="str">
        <f>IF(D34="", "", VLOOKUP(D34,'API Data Dictionary'!C:L,10,FALSE))</f>
        <v>M</v>
      </c>
      <c r="F34" s="95" t="str">
        <f>IF(D34="", "", VLOOKUP(D34,'API Data Dictionary'!C:D,2,FALSE))</f>
        <v>string</v>
      </c>
      <c r="G34" s="95">
        <f>IF(IF(D34="", "", VLOOKUP(D34,'API Data Dictionary'!C:E,3,FALSE))=0, "", IF(D34="", "", VLOOKUP(D34,'API Data Dictionary'!C:E,3,FALSE)))</f>
        <v>100</v>
      </c>
      <c r="H34" s="95" t="str">
        <f>IF(IF(D34="", "", VLOOKUP(D34,'API Data Dictionary'!C:F,4,FALSE))=0, "", IF(D34="", "", VLOOKUP(D34,'API Data Dictionary'!C:F,4,FALSE)))</f>
        <v>pattern: ^[a-zA-Z0-9\-' ]*$</v>
      </c>
      <c r="I34" s="95" t="str">
        <f>IF(IF(D34="", "", VLOOKUP(D34,'API Data Dictionary'!C:G,5,FALSE))=0, "", IF(D34="", "", VLOOKUP(D34,'API Data Dictionary'!C:G,5,FALSE)))</f>
        <v>Surname name, validated against the RegEx pattern</v>
      </c>
    </row>
    <row r="35" spans="1:9" ht="15">
      <c r="A35" s="97"/>
      <c r="B35" s="179" t="s">
        <v>1239</v>
      </c>
      <c r="C35" s="97" t="s">
        <v>1240</v>
      </c>
      <c r="D35" s="95" t="str">
        <f t="shared" si="0"/>
        <v>shareOfRent</v>
      </c>
      <c r="E35" s="95" t="str">
        <f>IF(D35="", "", VLOOKUP(D35,'API Data Dictionary'!C:L,10,FALSE))</f>
        <v>M</v>
      </c>
      <c r="F35" s="95" t="str">
        <f>IF(D35="", "", VLOOKUP(D35,'API Data Dictionary'!C:D,2,FALSE))</f>
        <v>number (double)</v>
      </c>
      <c r="G35" s="95" t="str">
        <f>IF(IF(D35="", "", VLOOKUP(D35,'API Data Dictionary'!C:E,3,FALSE))=0, "", IF(D35="", "", VLOOKUP(D35,'API Data Dictionary'!C:E,3,FALSE)))</f>
        <v/>
      </c>
      <c r="H35" s="95" t="str">
        <f>IF(IF(D35="", "", VLOOKUP(D35,'API Data Dictionary'!C:F,4,FALSE))=0, "", IF(D35="", "", VLOOKUP(D35,'API Data Dictionary'!C:F,4,FALSE)))</f>
        <v>pattern: ^\d*.\d{0,2}$</v>
      </c>
      <c r="I35" s="95" t="str">
        <f>IF(IF(D35="", "", VLOOKUP(D35,'API Data Dictionary'!C:G,5,FALSE))=0, "", IF(D35="", "", VLOOKUP(D35,'API Data Dictionary'!C:G,5,FALSE)))</f>
        <v>GBP value of the applicants share of the rent</v>
      </c>
    </row>
    <row r="36" spans="1:9" ht="30.75">
      <c r="A36" s="97"/>
      <c r="B36" s="195" t="s">
        <v>1241</v>
      </c>
      <c r="C36" s="97" t="s">
        <v>1242</v>
      </c>
      <c r="D36" s="95" t="str">
        <f t="shared" si="0"/>
        <v>telephoneCountryID</v>
      </c>
      <c r="E36" s="95" t="str">
        <f>IF(D36="", "", VLOOKUP(D36,'API Data Dictionary'!C:L,10,FALSE))</f>
        <v>M</v>
      </c>
      <c r="F36" s="95" t="str">
        <f>IF(D36="", "", VLOOKUP(D36,'API Data Dictionary'!C:D,2,FALSE))</f>
        <v>enum -Country/Location Code</v>
      </c>
      <c r="G36" s="95" t="str">
        <f>IF(IF(D36="", "", VLOOKUP(D36,'API Data Dictionary'!C:E,3,FALSE))=0, "", IF(D36="", "", VLOOKUP(D36,'API Data Dictionary'!C:E,3,FALSE)))</f>
        <v/>
      </c>
      <c r="H36" s="95" t="str">
        <f>IF(IF(D36="", "", VLOOKUP(D36,'API Data Dictionary'!C:F,4,FALSE))=0, "", IF(D36="", "", VLOOKUP(D36,'API Data Dictionary'!C:F,4,FALSE)))</f>
        <v>Valid Values 1-239 (See enum definition)</v>
      </c>
      <c r="I36" s="95" t="str">
        <f>IF(IF(D36="", "", VLOOKUP(D36,'API Data Dictionary'!C:G,5,FALSE))=0, "", IF(D36="", "", VLOOKUP(D36,'API Data Dictionary'!C:G,5,FALSE)))</f>
        <v>The country/location code of the phone number</v>
      </c>
    </row>
    <row r="37" spans="1:9" ht="15">
      <c r="A37" s="185"/>
      <c r="B37" s="184" t="s">
        <v>1243</v>
      </c>
      <c r="C37" s="186" t="s">
        <v>1244</v>
      </c>
      <c r="D37" s="95" t="str">
        <f t="shared" si="0"/>
        <v>contactTelephoneNo</v>
      </c>
      <c r="E37" s="95" t="str">
        <f>IF(D37="", "", VLOOKUP(D37,'API Data Dictionary'!C:L,10,FALSE))</f>
        <v>M</v>
      </c>
      <c r="F37" s="95" t="str">
        <f>IF(D37="", "", VLOOKUP(D37,'API Data Dictionary'!C:D,2,FALSE))</f>
        <v>string</v>
      </c>
      <c r="G37" s="95">
        <f>IF(IF(D37="", "", VLOOKUP(D37,'API Data Dictionary'!C:E,3,FALSE))=0, "", IF(D37="", "", VLOOKUP(D37,'API Data Dictionary'!C:E,3,FALSE)))</f>
        <v>15</v>
      </c>
      <c r="H37" s="95" t="str">
        <f>IF(IF(D37="", "", VLOOKUP(D37,'API Data Dictionary'!C:F,4,FALSE))=0, "", IF(D37="", "", VLOOKUP(D37,'API Data Dictionary'!C:F,4,FALSE)))</f>
        <v>pattern: ^(\d{11})$</v>
      </c>
      <c r="I37" s="95" t="str">
        <f>IF(IF(D37="", "", VLOOKUP(D37,'API Data Dictionary'!C:G,5,FALSE))=0, "", IF(D37="", "", VLOOKUP(D37,'API Data Dictionary'!C:G,5,FALSE)))</f>
        <v xml:space="preserve">The telephone number </v>
      </c>
    </row>
    <row r="38" spans="1:9" ht="15">
      <c r="A38" s="185"/>
      <c r="B38" s="184" t="s">
        <v>1245</v>
      </c>
      <c r="C38" s="186" t="s">
        <v>1246</v>
      </c>
      <c r="D38" s="95" t="str">
        <f t="shared" si="0"/>
        <v>emailAddress</v>
      </c>
      <c r="E38" s="95" t="str">
        <f>IF(D38="", "", VLOOKUP(D38,'API Data Dictionary'!C:L,10,FALSE))</f>
        <v>M</v>
      </c>
      <c r="F38" s="95" t="str">
        <f>IF(D38="", "", VLOOKUP(D38,'API Data Dictionary'!C:D,2,FALSE))</f>
        <v>string ($email)</v>
      </c>
      <c r="G38" s="95">
        <f>IF(IF(D38="", "", VLOOKUP(D38,'API Data Dictionary'!C:E,3,FALSE))=0, "", IF(D38="", "", VLOOKUP(D38,'API Data Dictionary'!C:E,3,FALSE)))</f>
        <v>200</v>
      </c>
      <c r="H38" s="95" t="str">
        <f>IF(IF(D38="", "", VLOOKUP(D38,'API Data Dictionary'!C:F,4,FALSE))=0, "", IF(D38="", "", VLOOKUP(D38,'API Data Dictionary'!C:F,4,FALSE)))</f>
        <v>pattern: ^(?!.*\.\.)(?!.*\\_\\_)(?!.*\-\-)[a-zA-Z0-9][-a-zA-Z0-9._]+[a-zA-Z0-9]@([-a-zA-Z0-9]+.)+[a-zA-Z]{2,5}$</v>
      </c>
      <c r="I38" s="95" t="str">
        <f>IF(IF(D38="", "", VLOOKUP(D38,'API Data Dictionary'!C:G,5,FALSE))=0, "", IF(D38="", "", VLOOKUP(D38,'API Data Dictionary'!C:G,5,FALSE)))</f>
        <v>The email address</v>
      </c>
    </row>
    <row r="39" spans="1:9" ht="15">
      <c r="A39" s="97"/>
      <c r="B39" s="227"/>
      <c r="C39" s="97" t="s">
        <v>1247</v>
      </c>
      <c r="D39" s="95" t="str">
        <f t="shared" si="0"/>
        <v/>
      </c>
      <c r="E39" s="95" t="str">
        <f>IF(D39="", "", VLOOKUP(D39,'API Data Dictionary'!C:L,10,FALSE))</f>
        <v/>
      </c>
      <c r="F39" s="95" t="str">
        <f>IF(D39="", "", VLOOKUP(D39,'API Data Dictionary'!C:D,2,FALSE))</f>
        <v/>
      </c>
      <c r="G39" s="95" t="str">
        <f>IF(IF(D39="", "", VLOOKUP(D39,'API Data Dictionary'!C:E,3,FALSE))=0, "", IF(D39="", "", VLOOKUP(D39,'API Data Dictionary'!C:E,3,FALSE)))</f>
        <v/>
      </c>
      <c r="H39" s="95" t="str">
        <f>IF(IF(D39="", "", VLOOKUP(D39,'API Data Dictionary'!C:F,4,FALSE))=0, "", IF(D39="", "", VLOOKUP(D39,'API Data Dictionary'!C:F,4,FALSE)))</f>
        <v/>
      </c>
      <c r="I39" s="95" t="str">
        <f>IF(IF(D39="", "", VLOOKUP(D39,'API Data Dictionary'!C:G,5,FALSE))=0, "", IF(D39="", "", VLOOKUP(D39,'API Data Dictionary'!C:G,5,FALSE)))</f>
        <v/>
      </c>
    </row>
    <row r="40" spans="1:9" ht="15">
      <c r="A40" s="97"/>
      <c r="B40" s="228"/>
      <c r="C40" s="97" t="s">
        <v>1248</v>
      </c>
      <c r="D40" s="95" t="str">
        <f t="shared" si="0"/>
        <v/>
      </c>
      <c r="E40" s="95" t="str">
        <f>IF(D40="", "", VLOOKUP(D40,'API Data Dictionary'!C:L,10,FALSE))</f>
        <v/>
      </c>
      <c r="F40" s="95" t="str">
        <f>IF(D40="", "", VLOOKUP(D40,'API Data Dictionary'!C:D,2,FALSE))</f>
        <v/>
      </c>
      <c r="G40" s="95" t="str">
        <f>IF(IF(D40="", "", VLOOKUP(D40,'API Data Dictionary'!C:E,3,FALSE))=0, "", IF(D40="", "", VLOOKUP(D40,'API Data Dictionary'!C:E,3,FALSE)))</f>
        <v/>
      </c>
      <c r="H40" s="95" t="str">
        <f>IF(IF(D40="", "", VLOOKUP(D40,'API Data Dictionary'!C:F,4,FALSE))=0, "", IF(D40="", "", VLOOKUP(D40,'API Data Dictionary'!C:F,4,FALSE)))</f>
        <v/>
      </c>
      <c r="I40" s="95" t="str">
        <f>IF(IF(D40="", "", VLOOKUP(D40,'API Data Dictionary'!C:G,5,FALSE))=0, "", IF(D40="", "", VLOOKUP(D40,'API Data Dictionary'!C:G,5,FALSE)))</f>
        <v/>
      </c>
    </row>
    <row r="41" spans="1:9" ht="15">
      <c r="A41" s="97"/>
      <c r="B41" s="228"/>
      <c r="C41" s="97" t="s">
        <v>1249</v>
      </c>
      <c r="D41" s="95" t="str">
        <f t="shared" ref="D41:D55" si="1">IF(OR(ISNUMBER(SEARCH("{", C41)),ISNUMBER(SEARCH("[", C41))), "", IFERROR(MID(C41, SEARCH("""", C41) +1, SEARCH("""", C41, SEARCH("""",C41) +1) - SEARCH("""", C41) -1), ""))</f>
        <v/>
      </c>
      <c r="E41" s="95" t="str">
        <f>IF(D41="", "", VLOOKUP(D41,'API Data Dictionary'!C:L,10,FALSE))</f>
        <v/>
      </c>
      <c r="F41" s="95" t="str">
        <f>IF(D41="", "", VLOOKUP(D41,'API Data Dictionary'!C:D,2,FALSE))</f>
        <v/>
      </c>
      <c r="G41" s="95" t="str">
        <f>IF(IF(D41="", "", VLOOKUP(D41,'API Data Dictionary'!C:E,3,FALSE))=0, "", IF(D41="", "", VLOOKUP(D41,'API Data Dictionary'!C:E,3,FALSE)))</f>
        <v/>
      </c>
      <c r="H41" s="95" t="str">
        <f>IF(IF(D41="", "", VLOOKUP(D41,'API Data Dictionary'!C:F,4,FALSE))=0, "", IF(D41="", "", VLOOKUP(D41,'API Data Dictionary'!C:F,4,FALSE)))</f>
        <v/>
      </c>
      <c r="I41" s="95" t="str">
        <f>IF(IF(D41="", "", VLOOKUP(D41,'API Data Dictionary'!C:G,5,FALSE))=0, "", IF(D41="", "", VLOOKUP(D41,'API Data Dictionary'!C:G,5,FALSE)))</f>
        <v/>
      </c>
    </row>
    <row r="42" spans="1:9" ht="15" hidden="1">
      <c r="A42" s="172"/>
      <c r="B42" s="181"/>
      <c r="C42" s="225" t="s">
        <v>1250</v>
      </c>
      <c r="D42" s="225"/>
      <c r="E42" s="225"/>
      <c r="F42" s="225"/>
      <c r="G42" s="225"/>
      <c r="H42" s="225"/>
      <c r="I42" s="225"/>
    </row>
    <row r="43" spans="1:9" ht="15" hidden="1">
      <c r="A43" s="97"/>
      <c r="B43" s="228"/>
      <c r="C43" s="97" t="s">
        <v>1183</v>
      </c>
      <c r="D43" s="95" t="str">
        <f t="shared" si="1"/>
        <v/>
      </c>
      <c r="E43" s="95" t="str">
        <f>IF(D43="", "", VLOOKUP(D43,'API Data Dictionary'!C:L,10,FALSE))</f>
        <v/>
      </c>
      <c r="F43" s="95" t="str">
        <f>IF(D43="", "", VLOOKUP(D43,'API Data Dictionary'!C:D,2,FALSE))</f>
        <v/>
      </c>
      <c r="G43" s="95" t="str">
        <f>IF(IF(D43="", "", VLOOKUP(D43,'API Data Dictionary'!C:E,3,FALSE))=0, "", IF(D43="", "", VLOOKUP(D43,'API Data Dictionary'!C:E,3,FALSE)))</f>
        <v/>
      </c>
      <c r="H43" s="95" t="str">
        <f>IF(IF(D43="", "", VLOOKUP(D43,'API Data Dictionary'!C:F,4,FALSE))=0, "", IF(D43="", "", VLOOKUP(D43,'API Data Dictionary'!C:F,4,FALSE)))</f>
        <v/>
      </c>
      <c r="I43" s="95" t="str">
        <f>IF(IF(D43="", "", VLOOKUP(D43,'API Data Dictionary'!C:G,5,FALSE))=0, "", IF(D43="", "", VLOOKUP(D43,'API Data Dictionary'!C:G,5,FALSE)))</f>
        <v/>
      </c>
    </row>
    <row r="44" spans="1:9" ht="15" hidden="1">
      <c r="A44" s="97"/>
      <c r="B44" s="228"/>
      <c r="C44" s="97" t="s">
        <v>1251</v>
      </c>
      <c r="D44" s="95" t="str">
        <f t="shared" si="1"/>
        <v>success</v>
      </c>
      <c r="E44" s="95" t="s">
        <v>139</v>
      </c>
      <c r="F44" s="95" t="str">
        <f>IF(D44="", "", VLOOKUP(D44,'API Data Dictionary'!C:D,2,FALSE))</f>
        <v>string - Boolean</v>
      </c>
      <c r="G44" s="95">
        <f>IF(IF(D44="", "", VLOOKUP(D44,'API Data Dictionary'!C:E,3,FALSE))=0, "", IF(D44="", "", VLOOKUP(D44,'API Data Dictionary'!C:E,3,FALSE)))</f>
        <v>100</v>
      </c>
      <c r="H44" s="95" t="str">
        <f>IF(IF(D44="", "", VLOOKUP(D44,'API Data Dictionary'!C:F,4,FALSE))=0, "", IF(D44="", "", VLOOKUP(D44,'API Data Dictionary'!C:F,4,FALSE)))</f>
        <v/>
      </c>
      <c r="I44" s="95" t="str">
        <f>IF(IF(D44="", "", VLOOKUP(D44,'API Data Dictionary'!C:G,5,FALSE))=0, "", IF(D44="", "", VLOOKUP(D44,'API Data Dictionary'!C:G,5,FALSE)))</f>
        <v>Returns true when successful connection</v>
      </c>
    </row>
    <row r="45" spans="1:9" ht="15" hidden="1">
      <c r="A45" s="97"/>
      <c r="B45" s="228"/>
      <c r="C45" s="97" t="s">
        <v>1252</v>
      </c>
      <c r="D45" s="95" t="str">
        <f t="shared" si="1"/>
        <v/>
      </c>
      <c r="E45" s="95" t="str">
        <f>IF(D45="", "", VLOOKUP(D45,'API Data Dictionary'!C:L,10,FALSE))</f>
        <v/>
      </c>
      <c r="F45" s="95" t="str">
        <f>IF(D45="", "", VLOOKUP(D45,'API Data Dictionary'!C:D,2,FALSE))</f>
        <v/>
      </c>
      <c r="G45" s="95" t="str">
        <f>IF(IF(D45="", "", VLOOKUP(D45,'API Data Dictionary'!C:E,3,FALSE))=0, "", IF(D45="", "", VLOOKUP(D45,'API Data Dictionary'!C:E,3,FALSE)))</f>
        <v/>
      </c>
      <c r="H45" s="95" t="str">
        <f>IF(IF(D45="", "", VLOOKUP(D45,'API Data Dictionary'!C:F,4,FALSE))=0, "", IF(D45="", "", VLOOKUP(D45,'API Data Dictionary'!C:F,4,FALSE)))</f>
        <v/>
      </c>
      <c r="I45" s="95" t="str">
        <f>IF(IF(D45="", "", VLOOKUP(D45,'API Data Dictionary'!C:G,5,FALSE))=0, "", IF(D45="", "", VLOOKUP(D45,'API Data Dictionary'!C:G,5,FALSE)))</f>
        <v/>
      </c>
    </row>
    <row r="46" spans="1:9" ht="15" hidden="1">
      <c r="A46" s="97"/>
      <c r="B46" s="228"/>
      <c r="C46" s="97" t="s">
        <v>1253</v>
      </c>
      <c r="D46" s="95" t="str">
        <f t="shared" si="1"/>
        <v>agentCode</v>
      </c>
      <c r="E46" s="95" t="str">
        <f>IF(D46="", "", VLOOKUP(D46,'API Data Dictionary'!C:L,10,FALSE))</f>
        <v>M</v>
      </c>
      <c r="F46" s="95" t="str">
        <f>IF(D46="", "", VLOOKUP(D46,'API Data Dictionary'!C:D,2,FALSE))</f>
        <v>string</v>
      </c>
      <c r="G46" s="95">
        <f>IF(IF(D46="", "", VLOOKUP(D46,'API Data Dictionary'!C:E,3,FALSE))=0, "", IF(D46="", "", VLOOKUP(D46,'API Data Dictionary'!C:E,3,FALSE)))</f>
        <v>50</v>
      </c>
      <c r="H46" s="95" t="str">
        <f>IF(IF(D46="", "", VLOOKUP(D46,'API Data Dictionary'!C:F,4,FALSE))=0, "", IF(D46="", "", VLOOKUP(D46,'API Data Dictionary'!C:F,4,FALSE)))</f>
        <v/>
      </c>
      <c r="I46" s="95" t="str">
        <f>IF(IF(D46="", "", VLOOKUP(D46,'API Data Dictionary'!C:G,5,FALSE))=0, "", IF(D46="", "", VLOOKUP(D46,'API Data Dictionary'!C:G,5,FALSE)))</f>
        <v>AgentCode is the Unique Key provided to the Agent when onboarding as a Barbon Customer.
An AgentID may be linked to many Properties being managed by that Agent and Each property may be linked to 1 or more TenancyID's.</v>
      </c>
    </row>
    <row r="47" spans="1:9" ht="15" hidden="1">
      <c r="A47" s="97"/>
      <c r="B47" s="228"/>
      <c r="C47" s="97" t="s">
        <v>1254</v>
      </c>
      <c r="D47" s="95" t="str">
        <f t="shared" si="1"/>
        <v>propertyTenancyId</v>
      </c>
      <c r="E47" s="95" t="s">
        <v>139</v>
      </c>
      <c r="F47" s="95" t="str">
        <f>IF(D47="", "", VLOOKUP(D47,'API Data Dictionary'!C:D,2,FALSE))</f>
        <v>integer</v>
      </c>
      <c r="G47" s="95" t="str">
        <f>IF(IF(D47="", "", VLOOKUP(D47,'API Data Dictionary'!C:E,3,FALSE))=0, "", IF(D47="", "", VLOOKUP(D47,'API Data Dictionary'!C:E,3,FALSE)))</f>
        <v/>
      </c>
      <c r="H47" s="95" t="str">
        <f>IF(IF(D47="", "", VLOOKUP(D47,'API Data Dictionary'!C:F,4,FALSE))=0, "", IF(D47="", "", VLOOKUP(D47,'API Data Dictionary'!C:F,4,FALSE)))</f>
        <v/>
      </c>
      <c r="I47" s="95" t="str">
        <f>IF(IF(D47="", "", VLOOKUP(D47,'API Data Dictionary'!C:G,5,FALSE))=0, "", IF(D47="", "", VLOOKUP(D47,'API Data Dictionary'!C:G,5,FALSE)))</f>
        <v>The ID of the property tenancy</v>
      </c>
    </row>
    <row r="48" spans="1:9" ht="15" hidden="1">
      <c r="A48" s="97"/>
      <c r="B48" s="228"/>
      <c r="C48" s="97" t="s">
        <v>1255</v>
      </c>
      <c r="D48" s="95" t="str">
        <f t="shared" si="1"/>
        <v/>
      </c>
      <c r="E48" s="95" t="str">
        <f>IF(D48="", "", VLOOKUP(D48,'API Data Dictionary'!C:L,10,FALSE))</f>
        <v/>
      </c>
      <c r="F48" s="95" t="str">
        <f>IF(D48="", "", VLOOKUP(D48,'API Data Dictionary'!C:D,2,FALSE))</f>
        <v/>
      </c>
      <c r="G48" s="95" t="str">
        <f>IF(IF(D48="", "", VLOOKUP(D48,'API Data Dictionary'!C:E,3,FALSE))=0, "", IF(D48="", "", VLOOKUP(D48,'API Data Dictionary'!C:E,3,FALSE)))</f>
        <v/>
      </c>
      <c r="H48" s="95" t="str">
        <f>IF(IF(D48="", "", VLOOKUP(D48,'API Data Dictionary'!C:F,4,FALSE))=0, "", IF(D48="", "", VLOOKUP(D48,'API Data Dictionary'!C:F,4,FALSE)))</f>
        <v/>
      </c>
      <c r="I48" s="95" t="str">
        <f>IF(IF(D48="", "", VLOOKUP(D48,'API Data Dictionary'!C:G,5,FALSE))=0, "", IF(D48="", "", VLOOKUP(D48,'API Data Dictionary'!C:G,5,FALSE)))</f>
        <v/>
      </c>
    </row>
    <row r="49" spans="1:9" ht="15" hidden="1">
      <c r="A49" s="97"/>
      <c r="B49" s="228"/>
      <c r="C49" s="97" t="s">
        <v>1256</v>
      </c>
      <c r="D49" s="95" t="str">
        <f t="shared" si="1"/>
        <v/>
      </c>
      <c r="E49" s="95" t="str">
        <f>IF(D49="", "", VLOOKUP(D49,'API Data Dictionary'!C:L,10,FALSE))</f>
        <v/>
      </c>
      <c r="F49" s="95" t="str">
        <f>IF(D49="", "", VLOOKUP(D49,'API Data Dictionary'!C:D,2,FALSE))</f>
        <v/>
      </c>
      <c r="G49" s="95" t="str">
        <f>IF(IF(D49="", "", VLOOKUP(D49,'API Data Dictionary'!C:E,3,FALSE))=0, "", IF(D49="", "", VLOOKUP(D49,'API Data Dictionary'!C:E,3,FALSE)))</f>
        <v/>
      </c>
      <c r="H49" s="95" t="str">
        <f>IF(IF(D49="", "", VLOOKUP(D49,'API Data Dictionary'!C:F,4,FALSE))=0, "", IF(D49="", "", VLOOKUP(D49,'API Data Dictionary'!C:F,4,FALSE)))</f>
        <v/>
      </c>
      <c r="I49" s="95" t="str">
        <f>IF(IF(D49="", "", VLOOKUP(D49,'API Data Dictionary'!C:G,5,FALSE))=0, "", IF(D49="", "", VLOOKUP(D49,'API Data Dictionary'!C:G,5,FALSE)))</f>
        <v/>
      </c>
    </row>
    <row r="50" spans="1:9" ht="15" hidden="1">
      <c r="A50" s="97"/>
      <c r="B50" s="228"/>
      <c r="C50" s="97" t="s">
        <v>1257</v>
      </c>
      <c r="D50" s="95" t="str">
        <f t="shared" si="1"/>
        <v>applicantID</v>
      </c>
      <c r="E50" s="95" t="s">
        <v>139</v>
      </c>
      <c r="F50" s="95" t="str">
        <f>IF(D50="", "", VLOOKUP(D50,'API Data Dictionary'!C:D,2,FALSE))</f>
        <v>string</v>
      </c>
      <c r="G50" s="95">
        <f>IF(IF(D50="", "", VLOOKUP(D50,'API Data Dictionary'!C:E,3,FALSE))=0, "", IF(D50="", "", VLOOKUP(D50,'API Data Dictionary'!C:E,3,FALSE)))</f>
        <v>50</v>
      </c>
      <c r="H50" s="95" t="str">
        <f>IF(IF(D50="", "", VLOOKUP(D50,'API Data Dictionary'!C:F,4,FALSE))=0, "", IF(D50="", "", VLOOKUP(D50,'API Data Dictionary'!C:F,4,FALSE)))</f>
        <v/>
      </c>
      <c r="I50" s="95" t="str">
        <f>IF(IF(D50="", "", VLOOKUP(D50,'API Data Dictionary'!C:G,5,FALSE))=0, "", IF(D50="", "", VLOOKUP(D50,'API Data Dictionary'!C:G,5,FALSE)))</f>
        <v>ApplicantID is a unique identifier for a person / Company to be referenced. ApplicantID may be linked to one or more TenancyID's executing in parallel.
ApplicantID is created through API Methods:
CreateReferenceWithAllData
CreateReferenceWithInputFromApplicant
CreateCompanyReferenceWithAllData
CreateCompanyReferenceWithInputFromApplicant
AddApplicantToTenancy</v>
      </c>
    </row>
    <row r="51" spans="1:9" ht="15" hidden="1">
      <c r="A51" s="97"/>
      <c r="B51" s="228"/>
      <c r="C51" s="97" t="s">
        <v>1258</v>
      </c>
      <c r="D51" s="95" t="str">
        <f t="shared" si="1"/>
        <v>applicantName</v>
      </c>
      <c r="E51" s="95" t="s">
        <v>139</v>
      </c>
      <c r="F51" s="95" t="s">
        <v>87</v>
      </c>
      <c r="G51" s="95">
        <v>50</v>
      </c>
      <c r="H51" s="95"/>
      <c r="I51" s="95" t="s">
        <v>1259</v>
      </c>
    </row>
    <row r="52" spans="1:9" ht="15" hidden="1">
      <c r="A52" s="97"/>
      <c r="B52" s="228"/>
      <c r="C52" s="97" t="s">
        <v>1260</v>
      </c>
      <c r="D52" s="95" t="str">
        <f t="shared" si="1"/>
        <v/>
      </c>
      <c r="E52" s="95" t="str">
        <f>IF(D52="", "", VLOOKUP(D52,'API Data Dictionary'!C:L,10,FALSE))</f>
        <v/>
      </c>
      <c r="F52" s="95" t="str">
        <f>IF(D52="", "", VLOOKUP(D52,'API Data Dictionary'!C:D,2,FALSE))</f>
        <v/>
      </c>
      <c r="G52" s="95" t="str">
        <f>IF(IF(D52="", "", VLOOKUP(D52,'API Data Dictionary'!C:E,3,FALSE))=0, "", IF(D52="", "", VLOOKUP(D52,'API Data Dictionary'!C:E,3,FALSE)))</f>
        <v/>
      </c>
      <c r="H52" s="95" t="str">
        <f>IF(IF(D52="", "", VLOOKUP(D52,'API Data Dictionary'!C:F,4,FALSE))=0, "", IF(D52="", "", VLOOKUP(D52,'API Data Dictionary'!C:F,4,FALSE)))</f>
        <v/>
      </c>
      <c r="I52" s="95" t="str">
        <f>IF(IF(D52="", "", VLOOKUP(D52,'API Data Dictionary'!C:G,5,FALSE))=0, "", IF(D52="", "", VLOOKUP(D52,'API Data Dictionary'!C:G,5,FALSE)))</f>
        <v/>
      </c>
    </row>
    <row r="53" spans="1:9" ht="15" hidden="1">
      <c r="A53" s="97"/>
      <c r="B53" s="228"/>
      <c r="C53" s="97" t="s">
        <v>1261</v>
      </c>
      <c r="D53" s="95" t="str">
        <f t="shared" si="1"/>
        <v/>
      </c>
      <c r="E53" s="95" t="str">
        <f>IF(D53="", "", VLOOKUP(D53,'API Data Dictionary'!C:L,10,FALSE))</f>
        <v/>
      </c>
      <c r="F53" s="95" t="str">
        <f>IF(D53="", "", VLOOKUP(D53,'API Data Dictionary'!C:D,2,FALSE))</f>
        <v/>
      </c>
      <c r="G53" s="95" t="str">
        <f>IF(IF(D53="", "", VLOOKUP(D53,'API Data Dictionary'!C:E,3,FALSE))=0, "", IF(D53="", "", VLOOKUP(D53,'API Data Dictionary'!C:E,3,FALSE)))</f>
        <v/>
      </c>
      <c r="H53" s="95" t="str">
        <f>IF(IF(D53="", "", VLOOKUP(D53,'API Data Dictionary'!C:F,4,FALSE))=0, "", IF(D53="", "", VLOOKUP(D53,'API Data Dictionary'!C:F,4,FALSE)))</f>
        <v/>
      </c>
      <c r="I53" s="95" t="str">
        <f>IF(IF(D53="", "", VLOOKUP(D53,'API Data Dictionary'!C:G,5,FALSE))=0, "", IF(D53="", "", VLOOKUP(D53,'API Data Dictionary'!C:G,5,FALSE)))</f>
        <v/>
      </c>
    </row>
    <row r="54" spans="1:9" ht="15" hidden="1">
      <c r="A54" s="97"/>
      <c r="B54" s="228"/>
      <c r="C54" s="97" t="s">
        <v>1221</v>
      </c>
      <c r="D54" s="95" t="str">
        <f t="shared" si="1"/>
        <v/>
      </c>
      <c r="E54" s="95" t="str">
        <f>IF(D54="", "", VLOOKUP(D54,'API Data Dictionary'!C:L,10,FALSE))</f>
        <v/>
      </c>
      <c r="F54" s="95" t="str">
        <f>IF(D54="", "", VLOOKUP(D54,'API Data Dictionary'!C:D,2,FALSE))</f>
        <v/>
      </c>
      <c r="G54" s="95" t="str">
        <f>IF(IF(D54="", "", VLOOKUP(D54,'API Data Dictionary'!C:E,3,FALSE))=0, "", IF(D54="", "", VLOOKUP(D54,'API Data Dictionary'!C:E,3,FALSE)))</f>
        <v/>
      </c>
      <c r="H54" s="95" t="str">
        <f>IF(IF(D54="", "", VLOOKUP(D54,'API Data Dictionary'!C:F,4,FALSE))=0, "", IF(D54="", "", VLOOKUP(D54,'API Data Dictionary'!C:F,4,FALSE)))</f>
        <v/>
      </c>
      <c r="I54" s="95" t="str">
        <f>IF(IF(D54="", "", VLOOKUP(D54,'API Data Dictionary'!C:G,5,FALSE))=0, "", IF(D54="", "", VLOOKUP(D54,'API Data Dictionary'!C:G,5,FALSE)))</f>
        <v/>
      </c>
    </row>
    <row r="55" spans="1:9" ht="15" hidden="1">
      <c r="A55" s="97"/>
      <c r="B55" s="228"/>
      <c r="C55" s="97" t="s">
        <v>1262</v>
      </c>
      <c r="D55" s="95" t="str">
        <f t="shared" si="1"/>
        <v>message</v>
      </c>
      <c r="E55" s="95" t="s">
        <v>139</v>
      </c>
      <c r="F55" s="95" t="str">
        <f>IF(D55="", "", VLOOKUP(D55,'API Data Dictionary'!C:D,2,FALSE))</f>
        <v>string</v>
      </c>
      <c r="G55" s="95">
        <f>IF(IF(D55="", "", VLOOKUP(D55,'API Data Dictionary'!C:E,3,FALSE))=0, "", IF(D55="", "", VLOOKUP(D55,'API Data Dictionary'!C:E,3,FALSE)))</f>
        <v>100</v>
      </c>
      <c r="H55" s="95" t="str">
        <f>IF(IF(D55="", "", VLOOKUP(D55,'API Data Dictionary'!C:F,4,FALSE))=0, "", IF(D55="", "", VLOOKUP(D55,'API Data Dictionary'!C:F,4,FALSE)))</f>
        <v/>
      </c>
      <c r="I55" s="95" t="str">
        <f>IF(IF(D55="", "", VLOOKUP(D55,'API Data Dictionary'!C:G,5,FALSE))=0, "", IF(D55="", "", VLOOKUP(D55,'API Data Dictionary'!C:G,5,FALSE)))</f>
        <v>return value, null unless there has been error in connection</v>
      </c>
    </row>
    <row r="56" spans="1:9" ht="15" hidden="1">
      <c r="A56" s="97"/>
      <c r="B56" s="228"/>
      <c r="C56" s="97" t="s">
        <v>1249</v>
      </c>
      <c r="D56" s="95" t="str">
        <f t="shared" ref="D56" si="2">IF(OR(ISNUMBER(SEARCH("{", C56)),ISNUMBER(SEARCH("[", C56))), "", IFERROR(MID(C56, SEARCH("""", C56) +1, SEARCH("""", C56, SEARCH("""",C56) +1) - SEARCH("""", C56) -1), ""))</f>
        <v/>
      </c>
      <c r="E56" s="95" t="str">
        <f>IF(D56="", "", VLOOKUP(D56,'API Data Dictionary'!C:L,10,FALSE))</f>
        <v/>
      </c>
      <c r="F56" s="95" t="str">
        <f>IF(D56="", "", VLOOKUP(D56,'API Data Dictionary'!C:D,2,FALSE))</f>
        <v/>
      </c>
      <c r="G56" s="95" t="str">
        <f>IF(IF(D56="", "", VLOOKUP(D56,'API Data Dictionary'!C:E,3,FALSE))=0, "", IF(D56="", "", VLOOKUP(D56,'API Data Dictionary'!C:E,3,FALSE)))</f>
        <v/>
      </c>
      <c r="H56" s="95" t="str">
        <f>IF(IF(D56="", "", VLOOKUP(D56,'API Data Dictionary'!C:F,4,FALSE))=0, "", IF(D56="", "", VLOOKUP(D56,'API Data Dictionary'!C:F,4,FALSE)))</f>
        <v/>
      </c>
      <c r="I56" s="95" t="str">
        <f>IF(IF(D56="", "", VLOOKUP(D56,'API Data Dictionary'!C:G,5,FALSE))=0, "", IF(D56="", "", VLOOKUP(D56,'API Data Dictionary'!C:G,5,FALSE)))</f>
        <v/>
      </c>
    </row>
    <row r="57" spans="1:9" ht="15" hidden="1">
      <c r="B57" s="230"/>
    </row>
    <row r="58" spans="1:9" ht="15">
      <c r="B58" s="230"/>
    </row>
    <row r="59" spans="1:9" ht="15">
      <c r="A59" s="190" t="s">
        <v>1263</v>
      </c>
      <c r="B59" s="191" t="s">
        <v>1264</v>
      </c>
      <c r="C59" s="190" t="s">
        <v>1265</v>
      </c>
    </row>
    <row r="60" spans="1:9" ht="15">
      <c r="A60" s="27">
        <v>1</v>
      </c>
      <c r="B60" s="26" t="s">
        <v>800</v>
      </c>
      <c r="C60" s="175" t="s">
        <v>1266</v>
      </c>
    </row>
    <row r="61" spans="1:9" ht="15">
      <c r="A61" s="27">
        <v>2</v>
      </c>
      <c r="B61" s="26" t="s">
        <v>801</v>
      </c>
      <c r="C61" s="175" t="s">
        <v>1267</v>
      </c>
    </row>
    <row r="62" spans="1:9" ht="15">
      <c r="A62" s="27">
        <v>3</v>
      </c>
      <c r="B62" s="26" t="s">
        <v>803</v>
      </c>
      <c r="C62" s="175" t="s">
        <v>1268</v>
      </c>
    </row>
    <row r="63" spans="1:9" ht="15">
      <c r="A63" s="28">
        <v>4</v>
      </c>
      <c r="B63" s="29" t="s">
        <v>805</v>
      </c>
      <c r="C63" s="175" t="s">
        <v>1269</v>
      </c>
    </row>
    <row r="64" spans="1:9" ht="15">
      <c r="C64" s="175" t="s">
        <v>1270</v>
      </c>
    </row>
    <row r="65" ht="15"/>
  </sheetData>
  <mergeCells count="2">
    <mergeCell ref="C2:I2"/>
    <mergeCell ref="C42:I42"/>
  </mergeCells>
  <pageMargins left="0.7" right="0.7"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FC867-EC78-4456-A17A-BC1B093EE05B}">
  <sheetPr>
    <tabColor rgb="FF4472C4"/>
  </sheetPr>
  <dimension ref="A1:I233"/>
  <sheetViews>
    <sheetView workbookViewId="0">
      <selection activeCell="B6" sqref="B6"/>
    </sheetView>
  </sheetViews>
  <sheetFormatPr defaultRowHeight="14.45"/>
  <cols>
    <col min="1" max="1" width="24.140625" customWidth="1"/>
    <col min="2" max="2" width="43.140625" customWidth="1"/>
    <col min="3" max="3" width="56.5703125" bestFit="1" customWidth="1"/>
    <col min="4" max="4" width="22.140625" bestFit="1" customWidth="1"/>
    <col min="5" max="5" width="16" bestFit="1" customWidth="1"/>
    <col min="6" max="6" width="28" bestFit="1" customWidth="1"/>
    <col min="7" max="7" width="10.5703125" customWidth="1"/>
    <col min="8" max="8" width="14.42578125" customWidth="1"/>
    <col min="9" max="9" width="205.28515625" bestFit="1" customWidth="1"/>
  </cols>
  <sheetData>
    <row r="1" spans="1:9" ht="43.5">
      <c r="A1" s="96" t="s">
        <v>1271</v>
      </c>
      <c r="B1" s="96" t="s">
        <v>1176</v>
      </c>
      <c r="C1" s="96" t="s">
        <v>1272</v>
      </c>
      <c r="D1" s="96" t="s">
        <v>1178</v>
      </c>
      <c r="E1" s="96" t="s">
        <v>1179</v>
      </c>
      <c r="F1" s="96" t="s">
        <v>1180</v>
      </c>
      <c r="G1" s="96" t="s">
        <v>80</v>
      </c>
      <c r="H1" s="96" t="s">
        <v>81</v>
      </c>
      <c r="I1" s="96" t="s">
        <v>1181</v>
      </c>
    </row>
    <row r="2" spans="1:9">
      <c r="A2" s="135"/>
      <c r="B2" s="135"/>
      <c r="C2" s="135"/>
      <c r="D2" s="135"/>
      <c r="E2" s="135"/>
      <c r="F2" s="135"/>
      <c r="G2" s="135"/>
      <c r="H2" s="135"/>
      <c r="I2" s="135"/>
    </row>
    <row r="3" spans="1:9" s="156" customFormat="1" ht="15" thickBot="1">
      <c r="A3" s="153"/>
      <c r="B3" s="153"/>
      <c r="C3" s="153" t="s">
        <v>1273</v>
      </c>
      <c r="D3" s="154" t="str">
        <f t="shared" ref="D3:D60" si="0">IF(OR(ISNUMBER(SEARCH("{", C3)),ISNUMBER(SEARCH("[", C3))), "", IFERROR(MID(C3, SEARCH("""", C3) +1, SEARCH("""", C3, SEARCH("""",C3) +1) - SEARCH("""", C3) -1), ""))</f>
        <v/>
      </c>
      <c r="E3" s="154" t="str">
        <f>IF(D3="", "", VLOOKUP(D3,'API Data Dictionary'!C:L,10,FALSE))</f>
        <v/>
      </c>
      <c r="F3" s="154" t="str">
        <f>IF(D3="", "", VLOOKUP(D3,'API Data Dictionary'!C:D,2,FALSE))</f>
        <v/>
      </c>
      <c r="G3" s="154" t="str">
        <f>IF(IF(D3="", "", VLOOKUP(D3,'API Data Dictionary'!C:E,3,FALSE))=0, "", IF(D3="", "", VLOOKUP(D3,'API Data Dictionary'!C:E,3,FALSE)))</f>
        <v/>
      </c>
      <c r="H3" s="154" t="str">
        <f>IF(IF(D3="", "", VLOOKUP(D3,'API Data Dictionary'!C:F,4,FALSE))=0, "", IF(D3="", "", VLOOKUP(D3,'API Data Dictionary'!C:F,4,FALSE)))</f>
        <v/>
      </c>
      <c r="I3" s="155" t="str">
        <f>IF(IF(D3="", "", VLOOKUP(D3,'API Data Dictionary'!C:G,5,FALSE))=0, "", IF(D3="", "", VLOOKUP(D3,'API Data Dictionary'!C:G,5,FALSE)))</f>
        <v/>
      </c>
    </row>
    <row r="4" spans="1:9">
      <c r="A4" s="137"/>
      <c r="B4" s="137"/>
      <c r="C4" s="137" t="s">
        <v>1183</v>
      </c>
      <c r="D4" s="138" t="str">
        <f t="shared" si="0"/>
        <v/>
      </c>
      <c r="E4" s="138" t="str">
        <f>IF(D4="", "", VLOOKUP(D4,'API Data Dictionary'!C:L,10,FALSE))</f>
        <v/>
      </c>
      <c r="F4" s="138" t="str">
        <f>IF(D4="", "", VLOOKUP(D4,'API Data Dictionary'!C:D,2,FALSE))</f>
        <v/>
      </c>
      <c r="G4" s="138" t="str">
        <f>IF(IF(D4="", "", VLOOKUP(D4,'API Data Dictionary'!C:E,3,FALSE))=0, "", IF(D4="", "", VLOOKUP(D4,'API Data Dictionary'!C:E,3,FALSE)))</f>
        <v/>
      </c>
      <c r="H4" s="138" t="str">
        <f>IF(IF(D4="", "", VLOOKUP(D4,'API Data Dictionary'!C:F,4,FALSE))=0, "", IF(D4="", "", VLOOKUP(D4,'API Data Dictionary'!C:F,4,FALSE)))</f>
        <v/>
      </c>
      <c r="I4" s="138" t="str">
        <f>IF(IF(D4="", "", VLOOKUP(D4,'API Data Dictionary'!C:G,5,FALSE))=0, "", IF(D4="", "", VLOOKUP(D4,'API Data Dictionary'!C:G,5,FALSE)))</f>
        <v/>
      </c>
    </row>
    <row r="5" spans="1:9" ht="15">
      <c r="A5" s="97"/>
      <c r="B5" s="182" t="s">
        <v>1184</v>
      </c>
      <c r="C5" s="97" t="s">
        <v>1274</v>
      </c>
      <c r="D5" s="95" t="str">
        <f t="shared" si="0"/>
        <v>agentCode</v>
      </c>
      <c r="E5" s="95" t="str">
        <f>IF(D5="", "", VLOOKUP(D5,'API Data Dictionary'!C:L,10,FALSE))</f>
        <v>M</v>
      </c>
      <c r="F5" s="95" t="str">
        <f>IF(D5="", "", VLOOKUP(D5,'API Data Dictionary'!C:D,2,FALSE))</f>
        <v>string</v>
      </c>
      <c r="G5" s="95">
        <f>IF(IF(D5="", "", VLOOKUP(D5,'API Data Dictionary'!C:E,3,FALSE))=0, "", IF(D5="", "", VLOOKUP(D5,'API Data Dictionary'!C:E,3,FALSE)))</f>
        <v>50</v>
      </c>
      <c r="H5" s="95" t="str">
        <f>IF(IF(D5="", "", VLOOKUP(D5,'API Data Dictionary'!C:F,4,FALSE))=0, "", IF(D5="", "", VLOOKUP(D5,'API Data Dictionary'!C:F,4,FALSE)))</f>
        <v/>
      </c>
      <c r="I5" s="95" t="str">
        <f>IF(IF(D5="", "", VLOOKUP(D5,'API Data Dictionary'!C:G,5,FALSE))=0, "", IF(D5="", "", VLOOKUP(D5,'API Data Dictionary'!C:G,5,FALSE)))</f>
        <v>AgentCode is the Unique Key provided to the Agent when onboarding as a Barbon Customer.
An AgentID may be linked to many Properties being managed by that Agent and Each property may be linked to 1 or more TenancyID's.</v>
      </c>
    </row>
    <row r="6" spans="1:9" ht="15">
      <c r="A6" s="97"/>
      <c r="B6" s="183" t="s">
        <v>1275</v>
      </c>
      <c r="C6" s="97" t="s">
        <v>1276</v>
      </c>
      <c r="D6" s="95" t="str">
        <f t="shared" si="0"/>
        <v>propertyTenancyId</v>
      </c>
      <c r="E6" s="95" t="s">
        <v>92</v>
      </c>
      <c r="F6" s="95" t="str">
        <f>IF(D6="", "", VLOOKUP(D6,'API Data Dictionary'!C:D,2,FALSE))</f>
        <v>integer</v>
      </c>
      <c r="G6" s="95" t="str">
        <f>IF(IF(D6="", "", VLOOKUP(D6,'API Data Dictionary'!C:E,3,FALSE))=0, "", IF(D6="", "", VLOOKUP(D6,'API Data Dictionary'!C:E,3,FALSE)))</f>
        <v/>
      </c>
      <c r="H6" s="95" t="str">
        <f>IF(IF(D6="", "", VLOOKUP(D6,'API Data Dictionary'!C:F,4,FALSE))=0, "", IF(D6="", "", VLOOKUP(D6,'API Data Dictionary'!C:F,4,FALSE)))</f>
        <v/>
      </c>
      <c r="I6" s="95" t="str">
        <f>IF(IF(D6="", "", VLOOKUP(D6,'API Data Dictionary'!C:G,5,FALSE))=0, "", IF(D6="", "", VLOOKUP(D6,'API Data Dictionary'!C:G,5,FALSE)))</f>
        <v>The ID of the property tenancy</v>
      </c>
    </row>
    <row r="7" spans="1:9" ht="40.5">
      <c r="A7" s="97"/>
      <c r="B7" s="193" t="s">
        <v>1277</v>
      </c>
      <c r="C7" s="97" t="s">
        <v>1278</v>
      </c>
      <c r="D7" s="95" t="str">
        <f t="shared" si="0"/>
        <v>isSentTenantLink</v>
      </c>
      <c r="E7" s="95" t="s">
        <v>92</v>
      </c>
      <c r="F7" s="95" t="str">
        <f>IF(D7="", "", VLOOKUP(D7,'API Data Dictionary'!C:D,2,FALSE))</f>
        <v>boolean</v>
      </c>
      <c r="G7" s="95" t="str">
        <f>IF(IF(D7="", "", VLOOKUP(D7,'API Data Dictionary'!C:E,3,FALSE))=0, "", IF(D7="", "", VLOOKUP(D7,'API Data Dictionary'!C:E,3,FALSE)))</f>
        <v/>
      </c>
      <c r="H7" s="95" t="str">
        <f>IF(IF(D7="", "", VLOOKUP(D7,'API Data Dictionary'!C:F,4,FALSE))=0, "", IF(D7="", "", VLOOKUP(D7,'API Data Dictionary'!C:F,4,FALSE)))</f>
        <v/>
      </c>
      <c r="I7" s="95" t="str">
        <f>IF(IF(D7="", "", VLOOKUP(D7,'API Data Dictionary'!C:G,5,FALSE))=0, "", IF(D7="", "", VLOOKUP(D7,'API Data Dictionary'!C:G,5,FALSE)))</f>
        <v>Denotes whether the Tentant link is sent</v>
      </c>
    </row>
    <row r="8" spans="1:9" ht="15">
      <c r="A8" s="97"/>
      <c r="B8" s="229"/>
      <c r="C8" s="97" t="s">
        <v>1279</v>
      </c>
      <c r="D8" s="95" t="s">
        <v>470</v>
      </c>
      <c r="E8" s="95" t="s">
        <v>139</v>
      </c>
      <c r="F8" s="95" t="str">
        <f>IF(D8="", "", VLOOKUP(D8,'API Data Dictionary'!C:D,2,FALSE))</f>
        <v>integer</v>
      </c>
      <c r="G8" s="95" t="str">
        <f>IF(IF(D8="", "", VLOOKUP(D8,'API Data Dictionary'!C:E,3,FALSE))=0, "", IF(D8="", "", VLOOKUP(D8,'API Data Dictionary'!C:E,3,FALSE)))</f>
        <v/>
      </c>
      <c r="H8" s="95" t="str">
        <f>IF(IF(D8="", "", VLOOKUP(D8,'API Data Dictionary'!C:F,4,FALSE))=0, "", IF(D8="", "", VLOOKUP(D8,'API Data Dictionary'!C:F,4,FALSE)))</f>
        <v/>
      </c>
      <c r="I8" s="95" t="str">
        <f>IF(IF(D8="", "", VLOOKUP(D8,'API Data Dictionary'!C:G,5,FALSE))=0, "", IF(D8="", "", VLOOKUP(D8,'API Data Dictionary'!C:G,5,FALSE)))</f>
        <v>The ID of the linked applicant</v>
      </c>
    </row>
    <row r="9" spans="1:9" ht="15">
      <c r="A9" s="97"/>
      <c r="B9" s="228" t="s">
        <v>1280</v>
      </c>
      <c r="C9" s="97">
        <v>0</v>
      </c>
      <c r="D9" s="95" t="str">
        <f>IF(OR(ISNUMBER(SEARCH("{", C9)),ISNUMBER(SEARCH("[", C9))), "", IFERROR(MID(C9, SEARCH("""", C9) +1, SEARCH("""", C9, SEARCH("""",C9) +1) - SEARCH("""", C9) -1), ""))</f>
        <v/>
      </c>
      <c r="E9" s="95" t="str">
        <f>IF(D9="", "", VLOOKUP(D9,'API Data Dictionary'!C:L,10,FALSE))</f>
        <v/>
      </c>
      <c r="F9" s="95" t="str">
        <f>IF(D9="", "", VLOOKUP(D9,'API Data Dictionary'!C:D,2,FALSE))</f>
        <v/>
      </c>
      <c r="G9" s="95" t="str">
        <f>IF(IF(D9="", "", VLOOKUP(D9,'API Data Dictionary'!C:E,3,FALSE))=0, "", IF(D9="", "", VLOOKUP(D9,'API Data Dictionary'!C:E,3,FALSE)))</f>
        <v/>
      </c>
      <c r="H9" s="95" t="str">
        <f>IF(IF(D9="", "", VLOOKUP(D9,'API Data Dictionary'!C:F,4,FALSE))=0, "", IF(D9="", "", VLOOKUP(D9,'API Data Dictionary'!C:F,4,FALSE)))</f>
        <v/>
      </c>
      <c r="I9" s="95" t="s">
        <v>1281</v>
      </c>
    </row>
    <row r="10" spans="1:9" ht="15">
      <c r="A10" s="97"/>
      <c r="B10" s="228"/>
      <c r="C10" s="97" t="s">
        <v>1282</v>
      </c>
      <c r="D10" s="95" t="str">
        <f t="shared" si="0"/>
        <v/>
      </c>
      <c r="E10" s="95" t="str">
        <f>IF(D10="", "", VLOOKUP(D10,'API Data Dictionary'!C:L,10,FALSE))</f>
        <v/>
      </c>
      <c r="F10" s="95" t="str">
        <f>IF(D10="", "", VLOOKUP(D10,'API Data Dictionary'!C:D,2,FALSE))</f>
        <v/>
      </c>
      <c r="G10" s="95" t="str">
        <f>IF(IF(D10="", "", VLOOKUP(D10,'API Data Dictionary'!C:E,3,FALSE))=0, "", IF(D10="", "", VLOOKUP(D10,'API Data Dictionary'!C:E,3,FALSE)))</f>
        <v/>
      </c>
      <c r="H10" s="95" t="str">
        <f>IF(IF(D10="", "", VLOOKUP(D10,'API Data Dictionary'!C:F,4,FALSE))=0, "", IF(D10="", "", VLOOKUP(D10,'API Data Dictionary'!C:F,4,FALSE)))</f>
        <v/>
      </c>
      <c r="I10" s="95" t="str">
        <f>IF(IF(D10="", "", VLOOKUP(D10,'API Data Dictionary'!C:G,5,FALSE))=0, "", IF(D10="", "", VLOOKUP(D10,'API Data Dictionary'!C:G,5,FALSE)))</f>
        <v/>
      </c>
    </row>
    <row r="11" spans="1:9" ht="15">
      <c r="A11" s="97"/>
      <c r="B11" s="229"/>
      <c r="C11" s="97" t="s">
        <v>1225</v>
      </c>
      <c r="D11" s="95" t="str">
        <f t="shared" si="0"/>
        <v>tenantTypeId</v>
      </c>
      <c r="E11" s="95" t="str">
        <f>IF(D11="", "", VLOOKUP(D11,'API Data Dictionary'!C:L,10,FALSE))</f>
        <v>M</v>
      </c>
      <c r="F11" s="95" t="str">
        <f>IF(D11="", "", VLOOKUP(D11,'API Data Dictionary'!C:D,2,FALSE))</f>
        <v>enum - Tenant Type</v>
      </c>
      <c r="G11" s="95" t="str">
        <f>IF(IF(D11="", "", VLOOKUP(D11,'API Data Dictionary'!C:E,3,FALSE))=0, "", IF(D11="", "", VLOOKUP(D11,'API Data Dictionary'!C:E,3,FALSE)))</f>
        <v/>
      </c>
      <c r="H11" s="95" t="str">
        <f>IF(IF(D11="", "", VLOOKUP(D11,'API Data Dictionary'!C:F,4,FALSE))=0, "", IF(D11="", "", VLOOKUP(D11,'API Data Dictionary'!C:F,4,FALSE)))</f>
        <v>Valid Values 1-4 (See enum definition)</v>
      </c>
      <c r="I11" s="95" t="str">
        <f>IF(IF(D11="", "", VLOOKUP(D11,'API Data Dictionary'!C:G,5,FALSE))=0, "", IF(D11="", "", VLOOKUP(D11,'API Data Dictionary'!C:G,5,FALSE)))</f>
        <v>The Type of the Tenant, e.g. lead or Guarantor</v>
      </c>
    </row>
    <row r="12" spans="1:9" ht="15">
      <c r="A12" s="97"/>
      <c r="B12" s="229"/>
      <c r="C12" s="97" t="s">
        <v>1227</v>
      </c>
      <c r="D12" s="95" t="str">
        <f t="shared" si="0"/>
        <v>referenceType</v>
      </c>
      <c r="E12" s="95" t="str">
        <f>IF(D12="", "", VLOOKUP(D12,'API Data Dictionary'!C:L,10,FALSE))</f>
        <v>M</v>
      </c>
      <c r="F12" s="95" t="str">
        <f>IF(D12="", "", VLOOKUP(D12,'API Data Dictionary'!C:D,2,FALSE))</f>
        <v>enum - Reference Type</v>
      </c>
      <c r="G12" s="95" t="str">
        <f>IF(IF(D12="", "", VLOOKUP(D12,'API Data Dictionary'!C:E,3,FALSE))=0, "", IF(D12="", "", VLOOKUP(D12,'API Data Dictionary'!C:E,3,FALSE)))</f>
        <v/>
      </c>
      <c r="H12" s="95" t="str">
        <f>IF(IF(D12="", "", VLOOKUP(D12,'API Data Dictionary'!C:F,4,FALSE))=0, "", IF(D12="", "", VLOOKUP(D12,'API Data Dictionary'!C:F,4,FALSE)))</f>
        <v>Valid Values 1-2 (See enum definition)</v>
      </c>
      <c r="I12" s="95" t="str">
        <f>IF(IF(D12="", "", VLOOKUP(D12,'API Data Dictionary'!C:G,5,FALSE))=0, "", IF(D12="", "", VLOOKUP(D12,'API Data Dictionary'!C:G,5,FALSE)))</f>
        <v>The Type of reference, e.g Full or Express</v>
      </c>
    </row>
    <row r="13" spans="1:9" ht="15">
      <c r="A13" s="97"/>
      <c r="B13" s="179" t="s">
        <v>1228</v>
      </c>
      <c r="C13" s="97" t="s">
        <v>1229</v>
      </c>
      <c r="D13" s="95" t="str">
        <f t="shared" si="0"/>
        <v>rightToRent</v>
      </c>
      <c r="E13" s="95" t="str">
        <f>IF(D13="", "", VLOOKUP(D13,'API Data Dictionary'!C:L,10,FALSE))</f>
        <v>M</v>
      </c>
      <c r="F13" s="95" t="str">
        <f>IF(D13="", "", VLOOKUP(D13,'API Data Dictionary'!C:D,2,FALSE))</f>
        <v>boolean</v>
      </c>
      <c r="G13" s="95" t="str">
        <f>IF(IF(D13="", "", VLOOKUP(D13,'API Data Dictionary'!C:E,3,FALSE))=0, "", IF(D13="", "", VLOOKUP(D13,'API Data Dictionary'!C:E,3,FALSE)))</f>
        <v/>
      </c>
      <c r="H13" s="95" t="str">
        <f>IF(IF(D13="", "", VLOOKUP(D13,'API Data Dictionary'!C:F,4,FALSE))=0, "", IF(D13="", "", VLOOKUP(D13,'API Data Dictionary'!C:F,4,FALSE)))</f>
        <v/>
      </c>
      <c r="I13" s="95" t="str">
        <f>IF(IF(D13="", "", VLOOKUP(D13,'API Data Dictionary'!C:G,5,FALSE))=0, "", IF(D13="", "", VLOOKUP(D13,'API Data Dictionary'!C:G,5,FALSE)))</f>
        <v>Use Right to rent product for this reference</v>
      </c>
    </row>
    <row r="14" spans="1:9" ht="15">
      <c r="A14" s="97"/>
      <c r="B14" s="179" t="s">
        <v>1283</v>
      </c>
      <c r="C14" s="97" t="s">
        <v>1231</v>
      </c>
      <c r="D14" s="95" t="str">
        <f t="shared" si="0"/>
        <v>title</v>
      </c>
      <c r="E14" s="95" t="str">
        <f>IF(D14="", "", VLOOKUP(D14,'API Data Dictionary'!C:L,10,FALSE))</f>
        <v>M</v>
      </c>
      <c r="F14" s="95" t="str">
        <f>IF(D14="", "", VLOOKUP(D14,'API Data Dictionary'!C:D,2,FALSE))</f>
        <v>enum - Title</v>
      </c>
      <c r="G14" s="95" t="str">
        <f>IF(IF(D14="", "", VLOOKUP(D14,'API Data Dictionary'!C:E,3,FALSE))=0, "", IF(D14="", "", VLOOKUP(D14,'API Data Dictionary'!C:E,3,FALSE)))</f>
        <v/>
      </c>
      <c r="H14" s="95" t="str">
        <f>IF(IF(D14="", "", VLOOKUP(D14,'API Data Dictionary'!C:F,4,FALSE))=0, "", IF(D14="", "", VLOOKUP(D14,'API Data Dictionary'!C:F,4,FALSE)))</f>
        <v>Valid Values 1-7 (See enum definition)</v>
      </c>
      <c r="I14" s="95" t="str">
        <f>IF(IF(D14="", "", VLOOKUP(D14,'API Data Dictionary'!C:G,5,FALSE))=0, "", IF(D14="", "", VLOOKUP(D14,'API Data Dictionary'!C:G,5,FALSE)))</f>
        <v>The persons title, e.g. Mr, Mrs, etc.</v>
      </c>
    </row>
    <row r="15" spans="1:9" ht="15">
      <c r="A15" s="97"/>
      <c r="B15" s="228"/>
      <c r="C15" s="97" t="s">
        <v>1284</v>
      </c>
      <c r="D15" s="95" t="str">
        <f t="shared" si="0"/>
        <v>otherTitle</v>
      </c>
      <c r="E15" s="95" t="str">
        <f>IF(D15="", "", VLOOKUP(D15,'API Data Dictionary'!C:L,10,FALSE))</f>
        <v>X</v>
      </c>
      <c r="F15" s="95" t="str">
        <f>IF(D15="", "", VLOOKUP(D15,'API Data Dictionary'!C:D,2,FALSE))</f>
        <v>string</v>
      </c>
      <c r="G15" s="95">
        <f>IF(IF(D15="", "", VLOOKUP(D15,'API Data Dictionary'!C:E,3,FALSE))=0, "", IF(D15="", "", VLOOKUP(D15,'API Data Dictionary'!C:E,3,FALSE)))</f>
        <v>100</v>
      </c>
      <c r="H15" s="95" t="str">
        <f>IF(IF(D15="", "", VLOOKUP(D15,'API Data Dictionary'!C:F,4,FALSE))=0, "", IF(D15="", "", VLOOKUP(D15,'API Data Dictionary'!C:F,4,FALSE)))</f>
        <v/>
      </c>
      <c r="I15" s="95" t="str">
        <f>IF(IF(D15="", "", VLOOKUP(D15,'API Data Dictionary'!C:G,5,FALSE))=0, "", IF(D15="", "", VLOOKUP(D15,'API Data Dictionary'!C:G,5,FALSE)))</f>
        <v>If other is chosen for title, this is a text field to enter the specific title</v>
      </c>
    </row>
    <row r="16" spans="1:9" ht="15">
      <c r="A16" s="97"/>
      <c r="B16" s="179" t="s">
        <v>1234</v>
      </c>
      <c r="C16" s="97" t="s">
        <v>1285</v>
      </c>
      <c r="D16" s="95" t="str">
        <f t="shared" si="0"/>
        <v>firstName</v>
      </c>
      <c r="E16" s="95" t="str">
        <f>IF(D16="", "", VLOOKUP(D16,'API Data Dictionary'!C:L,10,FALSE))</f>
        <v>M</v>
      </c>
      <c r="F16" s="95" t="str">
        <f>IF(D16="", "", VLOOKUP(D16,'API Data Dictionary'!C:D,2,FALSE))</f>
        <v>string</v>
      </c>
      <c r="G16" s="95">
        <f>IF(IF(D16="", "", VLOOKUP(D16,'API Data Dictionary'!C:E,3,FALSE))=0, "", IF(D16="", "", VLOOKUP(D16,'API Data Dictionary'!C:E,3,FALSE)))</f>
        <v>100</v>
      </c>
      <c r="H16" s="95" t="str">
        <f>IF(IF(D16="", "", VLOOKUP(D16,'API Data Dictionary'!C:F,4,FALSE))=0, "", IF(D16="", "", VLOOKUP(D16,'API Data Dictionary'!C:F,4,FALSE)))</f>
        <v>pattern: ^[a-zA-Z0-9\-' ]*$</v>
      </c>
      <c r="I16" s="95" t="str">
        <f>IF(IF(D16="", "", VLOOKUP(D16,'API Data Dictionary'!C:G,5,FALSE))=0, "", IF(D16="", "", VLOOKUP(D16,'API Data Dictionary'!C:G,5,FALSE)))</f>
        <v>First name, validated against the RegEx pattern</v>
      </c>
    </row>
    <row r="17" spans="1:9" ht="15">
      <c r="A17" s="97"/>
      <c r="B17" s="228"/>
      <c r="C17" s="97" t="s">
        <v>1286</v>
      </c>
      <c r="D17" s="95" t="str">
        <f t="shared" si="0"/>
        <v>middleName</v>
      </c>
      <c r="E17" s="95" t="str">
        <f>IF(D17="", "", VLOOKUP(D17,'API Data Dictionary'!C:L,10,FALSE))</f>
        <v>X</v>
      </c>
      <c r="F17" s="95" t="str">
        <f>IF(D17="", "", VLOOKUP(D17,'API Data Dictionary'!C:D,2,FALSE))</f>
        <v>string</v>
      </c>
      <c r="G17" s="95">
        <f>IF(IF(D17="", "", VLOOKUP(D17,'API Data Dictionary'!C:E,3,FALSE))=0, "", IF(D17="", "", VLOOKUP(D17,'API Data Dictionary'!C:E,3,FALSE)))</f>
        <v>50</v>
      </c>
      <c r="H17" s="95" t="str">
        <f>IF(IF(D17="", "", VLOOKUP(D17,'API Data Dictionary'!C:F,4,FALSE))=0, "", IF(D17="", "", VLOOKUP(D17,'API Data Dictionary'!C:F,4,FALSE)))</f>
        <v>pattern: ^[a-zA-Z0-9\-' ]*$</v>
      </c>
      <c r="I17" s="95" t="str">
        <f>IF(IF(D17="", "", VLOOKUP(D17,'API Data Dictionary'!C:G,5,FALSE))=0, "", IF(D17="", "", VLOOKUP(D17,'API Data Dictionary'!C:G,5,FALSE)))</f>
        <v>Middle name, validated against the RegEx pattern</v>
      </c>
    </row>
    <row r="18" spans="1:9" ht="15">
      <c r="A18" s="97"/>
      <c r="B18" s="179" t="s">
        <v>1237</v>
      </c>
      <c r="C18" s="97" t="s">
        <v>1287</v>
      </c>
      <c r="D18" s="95" t="str">
        <f t="shared" si="0"/>
        <v>surname</v>
      </c>
      <c r="E18" s="95" t="str">
        <f>IF(D18="", "", VLOOKUP(D18,'API Data Dictionary'!C:L,10,FALSE))</f>
        <v>M</v>
      </c>
      <c r="F18" s="95" t="str">
        <f>IF(D18="", "", VLOOKUP(D18,'API Data Dictionary'!C:D,2,FALSE))</f>
        <v>string</v>
      </c>
      <c r="G18" s="95">
        <f>IF(IF(D18="", "", VLOOKUP(D18,'API Data Dictionary'!C:E,3,FALSE))=0, "", IF(D18="", "", VLOOKUP(D18,'API Data Dictionary'!C:E,3,FALSE)))</f>
        <v>100</v>
      </c>
      <c r="H18" s="95" t="str">
        <f>IF(IF(D18="", "", VLOOKUP(D18,'API Data Dictionary'!C:F,4,FALSE))=0, "", IF(D18="", "", VLOOKUP(D18,'API Data Dictionary'!C:F,4,FALSE)))</f>
        <v>pattern: ^[a-zA-Z0-9\-' ]*$</v>
      </c>
      <c r="I18" s="95" t="str">
        <f>IF(IF(D18="", "", VLOOKUP(D18,'API Data Dictionary'!C:G,5,FALSE))=0, "", IF(D18="", "", VLOOKUP(D18,'API Data Dictionary'!C:G,5,FALSE)))</f>
        <v>Surname name, validated against the RegEx pattern</v>
      </c>
    </row>
    <row r="19" spans="1:9" ht="15">
      <c r="A19" s="97"/>
      <c r="B19" s="179" t="s">
        <v>1239</v>
      </c>
      <c r="C19" s="97" t="s">
        <v>1288</v>
      </c>
      <c r="D19" s="95" t="str">
        <f t="shared" si="0"/>
        <v>shareOfRent</v>
      </c>
      <c r="E19" s="95" t="str">
        <f>IF(D19="", "", VLOOKUP(D19,'API Data Dictionary'!C:L,10,FALSE))</f>
        <v>M</v>
      </c>
      <c r="F19" s="95" t="str">
        <f>IF(D19="", "", VLOOKUP(D19,'API Data Dictionary'!C:D,2,FALSE))</f>
        <v>number (double)</v>
      </c>
      <c r="G19" s="95" t="str">
        <f>IF(IF(D19="", "", VLOOKUP(D19,'API Data Dictionary'!C:E,3,FALSE))=0, "", IF(D19="", "", VLOOKUP(D19,'API Data Dictionary'!C:E,3,FALSE)))</f>
        <v/>
      </c>
      <c r="H19" s="95" t="str">
        <f>IF(IF(D19="", "", VLOOKUP(D19,'API Data Dictionary'!C:F,4,FALSE))=0, "", IF(D19="", "", VLOOKUP(D19,'API Data Dictionary'!C:F,4,FALSE)))</f>
        <v>pattern: ^\d*.\d{0,2}$</v>
      </c>
      <c r="I19" s="95" t="str">
        <f>IF(IF(D19="", "", VLOOKUP(D19,'API Data Dictionary'!C:G,5,FALSE))=0, "", IF(D19="", "", VLOOKUP(D19,'API Data Dictionary'!C:G,5,FALSE)))</f>
        <v>GBP value of the applicants share of the rent</v>
      </c>
    </row>
    <row r="20" spans="1:9" ht="15">
      <c r="A20" s="97"/>
      <c r="B20" s="229"/>
      <c r="C20" s="97" t="s">
        <v>1289</v>
      </c>
      <c r="D20" s="95" t="str">
        <f t="shared" si="0"/>
        <v>telephoneCountryID</v>
      </c>
      <c r="E20" s="95" t="str">
        <f>IF(D20="", "", VLOOKUP(D20,'API Data Dictionary'!C:L,10,FALSE))</f>
        <v>M</v>
      </c>
      <c r="F20" s="95" t="str">
        <f>IF(D20="", "", VLOOKUP(D20,'API Data Dictionary'!C:D,2,FALSE))</f>
        <v>enum -Country/Location Code</v>
      </c>
      <c r="G20" s="95" t="str">
        <f>IF(IF(D20="", "", VLOOKUP(D20,'API Data Dictionary'!C:E,3,FALSE))=0, "", IF(D20="", "", VLOOKUP(D20,'API Data Dictionary'!C:E,3,FALSE)))</f>
        <v/>
      </c>
      <c r="H20" s="95" t="str">
        <f>IF(IF(D20="", "", VLOOKUP(D20,'API Data Dictionary'!C:F,4,FALSE))=0, "", IF(D20="", "", VLOOKUP(D20,'API Data Dictionary'!C:F,4,FALSE)))</f>
        <v>Valid Values 1-239 (See enum definition)</v>
      </c>
      <c r="I20" s="95" t="str">
        <f>IF(IF(D20="", "", VLOOKUP(D20,'API Data Dictionary'!C:G,5,FALSE))=0, "", IF(D20="", "", VLOOKUP(D20,'API Data Dictionary'!C:G,5,FALSE)))</f>
        <v>The country/location code of the phone number</v>
      </c>
    </row>
    <row r="21" spans="1:9" ht="15">
      <c r="A21" s="97"/>
      <c r="B21" s="179" t="s">
        <v>1243</v>
      </c>
      <c r="C21" s="97" t="s">
        <v>1290</v>
      </c>
      <c r="D21" s="95" t="str">
        <f t="shared" si="0"/>
        <v>contactTelephoneNo</v>
      </c>
      <c r="E21" s="95" t="str">
        <f>IF(D21="", "", VLOOKUP(D21,'API Data Dictionary'!C:L,10,FALSE))</f>
        <v>M</v>
      </c>
      <c r="F21" s="95" t="str">
        <f>IF(D21="", "", VLOOKUP(D21,'API Data Dictionary'!C:D,2,FALSE))</f>
        <v>string</v>
      </c>
      <c r="G21" s="95">
        <f>IF(IF(D21="", "", VLOOKUP(D21,'API Data Dictionary'!C:E,3,FALSE))=0, "", IF(D21="", "", VLOOKUP(D21,'API Data Dictionary'!C:E,3,FALSE)))</f>
        <v>15</v>
      </c>
      <c r="H21" s="95" t="str">
        <f>IF(IF(D21="", "", VLOOKUP(D21,'API Data Dictionary'!C:F,4,FALSE))=0, "", IF(D21="", "", VLOOKUP(D21,'API Data Dictionary'!C:F,4,FALSE)))</f>
        <v>pattern: ^(\d{11})$</v>
      </c>
      <c r="I21" s="95" t="str">
        <f>IF(IF(D21="", "", VLOOKUP(D21,'API Data Dictionary'!C:G,5,FALSE))=0, "", IF(D21="", "", VLOOKUP(D21,'API Data Dictionary'!C:G,5,FALSE)))</f>
        <v xml:space="preserve">The telephone number </v>
      </c>
    </row>
    <row r="22" spans="1:9" ht="15">
      <c r="A22" s="97"/>
      <c r="B22" s="179" t="s">
        <v>1245</v>
      </c>
      <c r="C22" s="97" t="s">
        <v>1291</v>
      </c>
      <c r="D22" s="95" t="str">
        <f t="shared" si="0"/>
        <v>emailAddress</v>
      </c>
      <c r="E22" s="95" t="str">
        <f>IF(D22="", "", VLOOKUP(D22,'API Data Dictionary'!C:L,10,FALSE))</f>
        <v>M</v>
      </c>
      <c r="F22" s="95" t="str">
        <f>IF(D22="", "", VLOOKUP(D22,'API Data Dictionary'!C:D,2,FALSE))</f>
        <v>string ($email)</v>
      </c>
      <c r="G22" s="95">
        <f>IF(IF(D22="", "", VLOOKUP(D22,'API Data Dictionary'!C:E,3,FALSE))=0, "", IF(D22="", "", VLOOKUP(D22,'API Data Dictionary'!C:E,3,FALSE)))</f>
        <v>200</v>
      </c>
      <c r="H22" s="95" t="str">
        <f>IF(IF(D22="", "", VLOOKUP(D22,'API Data Dictionary'!C:F,4,FALSE))=0, "", IF(D22="", "", VLOOKUP(D22,'API Data Dictionary'!C:F,4,FALSE)))</f>
        <v>pattern: ^(?!.*\.\.)(?!.*\\_\\_)(?!.*\-\-)[a-zA-Z0-9][-a-zA-Z0-9._]+[a-zA-Z0-9]@([-a-zA-Z0-9]+.)+[a-zA-Z]{2,5}$</v>
      </c>
      <c r="I22" s="95" t="str">
        <f>IF(IF(D22="", "", VLOOKUP(D22,'API Data Dictionary'!C:G,5,FALSE))=0, "", IF(D22="", "", VLOOKUP(D22,'API Data Dictionary'!C:G,5,FALSE)))</f>
        <v>The email address</v>
      </c>
    </row>
    <row r="23" spans="1:9" ht="15">
      <c r="A23" s="97"/>
      <c r="B23" s="228"/>
      <c r="C23" s="97" t="s">
        <v>1292</v>
      </c>
      <c r="D23" s="95" t="str">
        <f t="shared" si="0"/>
        <v/>
      </c>
      <c r="E23" s="95" t="str">
        <f>IF(D23="", "", VLOOKUP(D23,'API Data Dictionary'!C:L,10,FALSE))</f>
        <v/>
      </c>
      <c r="F23" s="95" t="str">
        <f>IF(D23="", "", VLOOKUP(D23,'API Data Dictionary'!C:D,2,FALSE))</f>
        <v/>
      </c>
      <c r="G23" s="95" t="str">
        <f>IF(IF(D23="", "", VLOOKUP(D23,'API Data Dictionary'!C:E,3,FALSE))=0, "", IF(D23="", "", VLOOKUP(D23,'API Data Dictionary'!C:E,3,FALSE)))</f>
        <v/>
      </c>
      <c r="H23" s="95" t="str">
        <f>IF(IF(D23="", "", VLOOKUP(D23,'API Data Dictionary'!C:F,4,FALSE))=0, "", IF(D23="", "", VLOOKUP(D23,'API Data Dictionary'!C:F,4,FALSE)))</f>
        <v/>
      </c>
      <c r="I23" s="95" t="str">
        <f>IF(IF(D23="", "", VLOOKUP(D23,'API Data Dictionary'!C:G,5,FALSE))=0, "", IF(D23="", "", VLOOKUP(D23,'API Data Dictionary'!C:G,5,FALSE)))</f>
        <v/>
      </c>
    </row>
    <row r="24" spans="1:9" ht="15">
      <c r="A24" s="97"/>
      <c r="B24" s="228"/>
      <c r="C24" s="97" t="s">
        <v>1249</v>
      </c>
      <c r="D24" s="95" t="str">
        <f t="shared" si="0"/>
        <v/>
      </c>
      <c r="E24" s="95" t="str">
        <f>IF(D24="", "", VLOOKUP(D24,'API Data Dictionary'!C:L,10,FALSE))</f>
        <v/>
      </c>
      <c r="F24" s="95" t="str">
        <f>IF(D24="", "", VLOOKUP(D24,'API Data Dictionary'!C:D,2,FALSE))</f>
        <v/>
      </c>
      <c r="G24" s="95" t="str">
        <f>IF(IF(D24="", "", VLOOKUP(D24,'API Data Dictionary'!C:E,3,FALSE))=0, "", IF(D24="", "", VLOOKUP(D24,'API Data Dictionary'!C:E,3,FALSE)))</f>
        <v/>
      </c>
      <c r="H24" s="95" t="str">
        <f>IF(IF(D24="", "", VLOOKUP(D24,'API Data Dictionary'!C:F,4,FALSE))=0, "", IF(D24="", "", VLOOKUP(D24,'API Data Dictionary'!C:F,4,FALSE)))</f>
        <v/>
      </c>
      <c r="I24" s="95" t="str">
        <f>IF(IF(D24="", "", VLOOKUP(D24,'API Data Dictionary'!C:G,5,FALSE))=0, "", IF(D24="", "", VLOOKUP(D24,'API Data Dictionary'!C:G,5,FALSE)))</f>
        <v/>
      </c>
    </row>
    <row r="25" spans="1:9" ht="15">
      <c r="B25" s="230"/>
      <c r="D25" s="136" t="str">
        <f t="shared" si="0"/>
        <v/>
      </c>
      <c r="E25" s="136" t="str">
        <f>IF(D25="", "", VLOOKUP(D25,'API Data Dictionary'!C:L,10,FALSE))</f>
        <v/>
      </c>
      <c r="F25" s="136" t="str">
        <f>IF(D25="", "", VLOOKUP(D25,'API Data Dictionary'!C:D,2,FALSE))</f>
        <v/>
      </c>
      <c r="G25" s="136" t="str">
        <f>IF(IF(D25="", "", VLOOKUP(D25,'API Data Dictionary'!C:E,3,FALSE))=0, "", IF(D25="", "", VLOOKUP(D25,'API Data Dictionary'!C:E,3,FALSE)))</f>
        <v/>
      </c>
      <c r="H25" s="136" t="str">
        <f>IF(IF(D25="", "", VLOOKUP(D25,'API Data Dictionary'!C:F,4,FALSE))=0, "", IF(D25="", "", VLOOKUP(D25,'API Data Dictionary'!C:F,4,FALSE)))</f>
        <v/>
      </c>
      <c r="I25" s="136" t="str">
        <f>IF(IF(D25="", "", VLOOKUP(D25,'API Data Dictionary'!C:G,5,FALSE))=0, "", IF(D25="", "", VLOOKUP(D25,'API Data Dictionary'!C:G,5,FALSE)))</f>
        <v/>
      </c>
    </row>
    <row r="26" spans="1:9" s="156" customFormat="1" ht="15" hidden="1" thickBot="1">
      <c r="A26" s="153"/>
      <c r="B26" s="153"/>
      <c r="C26" s="153" t="s">
        <v>1293</v>
      </c>
      <c r="D26" s="154" t="str">
        <f t="shared" si="0"/>
        <v/>
      </c>
      <c r="E26" s="154" t="str">
        <f>IF(D26="", "", VLOOKUP(D26,'API Data Dictionary'!C:L,10,FALSE))</f>
        <v/>
      </c>
      <c r="F26" s="154" t="str">
        <f>IF(D26="", "", VLOOKUP(D26,'API Data Dictionary'!C:D,2,FALSE))</f>
        <v/>
      </c>
      <c r="G26" s="154" t="str">
        <f>IF(IF(D26="", "", VLOOKUP(D26,'API Data Dictionary'!C:E,3,FALSE))=0, "", IF(D26="", "", VLOOKUP(D26,'API Data Dictionary'!C:E,3,FALSE)))</f>
        <v/>
      </c>
      <c r="H26" s="154" t="str">
        <f>IF(IF(D26="", "", VLOOKUP(D26,'API Data Dictionary'!C:F,4,FALSE))=0, "", IF(D26="", "", VLOOKUP(D26,'API Data Dictionary'!C:F,4,FALSE)))</f>
        <v/>
      </c>
      <c r="I26" s="155" t="str">
        <f>IF(IF(D26="", "", VLOOKUP(D26,'API Data Dictionary'!C:G,5,FALSE))=0, "", IF(D26="", "", VLOOKUP(D26,'API Data Dictionary'!C:G,5,FALSE)))</f>
        <v/>
      </c>
    </row>
    <row r="27" spans="1:9" hidden="1">
      <c r="A27" s="137"/>
      <c r="B27" s="137"/>
      <c r="C27" s="137" t="s">
        <v>1183</v>
      </c>
      <c r="D27" s="138" t="str">
        <f t="shared" si="0"/>
        <v/>
      </c>
      <c r="E27" s="138" t="str">
        <f>IF(D27="", "", VLOOKUP(D27,'API Data Dictionary'!C:L,10,FALSE))</f>
        <v/>
      </c>
      <c r="F27" s="138" t="str">
        <f>IF(D27="", "", VLOOKUP(D27,'API Data Dictionary'!C:D,2,FALSE))</f>
        <v/>
      </c>
      <c r="G27" s="138" t="str">
        <f>IF(IF(D27="", "", VLOOKUP(D27,'API Data Dictionary'!C:E,3,FALSE))=0, "", IF(D27="", "", VLOOKUP(D27,'API Data Dictionary'!C:E,3,FALSE)))</f>
        <v/>
      </c>
      <c r="H27" s="138" t="str">
        <f>IF(IF(D27="", "", VLOOKUP(D27,'API Data Dictionary'!C:F,4,FALSE))=0, "", IF(D27="", "", VLOOKUP(D27,'API Data Dictionary'!C:F,4,FALSE)))</f>
        <v/>
      </c>
      <c r="I27" s="138" t="str">
        <f>IF(IF(D27="", "", VLOOKUP(D27,'API Data Dictionary'!C:G,5,FALSE))=0, "", IF(D27="", "", VLOOKUP(D27,'API Data Dictionary'!C:G,5,FALSE)))</f>
        <v/>
      </c>
    </row>
    <row r="28" spans="1:9" hidden="1">
      <c r="A28" s="97"/>
      <c r="B28" s="176" t="s">
        <v>1184</v>
      </c>
      <c r="C28" s="97" t="s">
        <v>1274</v>
      </c>
      <c r="D28" s="95" t="str">
        <f t="shared" si="0"/>
        <v>agentCode</v>
      </c>
      <c r="E28" s="95" t="str">
        <f>IF(D28="", "", VLOOKUP(D28,'API Data Dictionary'!C:L,10,FALSE))</f>
        <v>M</v>
      </c>
      <c r="F28" s="95" t="str">
        <f>IF(D28="", "", VLOOKUP(D28,'API Data Dictionary'!C:D,2,FALSE))</f>
        <v>string</v>
      </c>
      <c r="G28" s="95">
        <f>IF(IF(D28="", "", VLOOKUP(D28,'API Data Dictionary'!C:E,3,FALSE))=0, "", IF(D28="", "", VLOOKUP(D28,'API Data Dictionary'!C:E,3,FALSE)))</f>
        <v>50</v>
      </c>
      <c r="H28" s="95" t="str">
        <f>IF(IF(D28="", "", VLOOKUP(D28,'API Data Dictionary'!C:F,4,FALSE))=0, "", IF(D28="", "", VLOOKUP(D28,'API Data Dictionary'!C:F,4,FALSE)))</f>
        <v/>
      </c>
      <c r="I28" s="95" t="str">
        <f>IF(IF(D28="", "", VLOOKUP(D28,'API Data Dictionary'!C:G,5,FALSE))=0, "", IF(D28="", "", VLOOKUP(D28,'API Data Dictionary'!C:G,5,FALSE)))</f>
        <v>AgentCode is the Unique Key provided to the Agent when onboarding as a Barbon Customer.
An AgentID may be linked to many Properties being managed by that Agent and Each property may be linked to 1 or more TenancyID's.</v>
      </c>
    </row>
    <row r="29" spans="1:9" hidden="1">
      <c r="A29" s="97"/>
      <c r="B29" s="177" t="s">
        <v>1275</v>
      </c>
      <c r="C29" s="97" t="s">
        <v>1276</v>
      </c>
      <c r="D29" s="95" t="str">
        <f t="shared" si="0"/>
        <v>propertyTenancyId</v>
      </c>
      <c r="E29" s="95">
        <f>IF(D29="", "", VLOOKUP(D29,'API Data Dictionary'!C:L,10,FALSE))</f>
        <v>0</v>
      </c>
      <c r="F29" s="95" t="str">
        <f>IF(D29="", "", VLOOKUP(D29,'API Data Dictionary'!C:D,2,FALSE))</f>
        <v>integer</v>
      </c>
      <c r="G29" s="95" t="str">
        <f>IF(IF(D29="", "", VLOOKUP(D29,'API Data Dictionary'!C:E,3,FALSE))=0, "", IF(D29="", "", VLOOKUP(D29,'API Data Dictionary'!C:E,3,FALSE)))</f>
        <v/>
      </c>
      <c r="H29" s="95" t="str">
        <f>IF(IF(D29="", "", VLOOKUP(D29,'API Data Dictionary'!C:F,4,FALSE))=0, "", IF(D29="", "", VLOOKUP(D29,'API Data Dictionary'!C:F,4,FALSE)))</f>
        <v/>
      </c>
      <c r="I29" s="95" t="str">
        <f>IF(IF(D29="", "", VLOOKUP(D29,'API Data Dictionary'!C:G,5,FALSE))=0, "", IF(D29="", "", VLOOKUP(D29,'API Data Dictionary'!C:G,5,FALSE)))</f>
        <v>The ID of the property tenancy</v>
      </c>
    </row>
    <row r="30" spans="1:9" hidden="1">
      <c r="A30" s="97"/>
      <c r="B30" s="97" t="s">
        <v>1294</v>
      </c>
      <c r="C30" s="97" t="s">
        <v>1295</v>
      </c>
      <c r="D30" s="95" t="str">
        <f t="shared" si="0"/>
        <v>isSentTenantLink</v>
      </c>
      <c r="E30" s="95">
        <f>IF(D30="", "", VLOOKUP(D30,'API Data Dictionary'!C:L,10,FALSE))</f>
        <v>0</v>
      </c>
      <c r="F30" s="95" t="str">
        <f>IF(D30="", "", VLOOKUP(D30,'API Data Dictionary'!C:D,2,FALSE))</f>
        <v>boolean</v>
      </c>
      <c r="G30" s="95" t="str">
        <f>IF(IF(D30="", "", VLOOKUP(D30,'API Data Dictionary'!C:E,3,FALSE))=0, "", IF(D30="", "", VLOOKUP(D30,'API Data Dictionary'!C:E,3,FALSE)))</f>
        <v/>
      </c>
      <c r="H30" s="95" t="str">
        <f>IF(IF(D30="", "", VLOOKUP(D30,'API Data Dictionary'!C:F,4,FALSE))=0, "", IF(D30="", "", VLOOKUP(D30,'API Data Dictionary'!C:F,4,FALSE)))</f>
        <v/>
      </c>
      <c r="I30" s="95" t="str">
        <f>IF(IF(D30="", "", VLOOKUP(D30,'API Data Dictionary'!C:G,5,FALSE))=0, "", IF(D30="", "", VLOOKUP(D30,'API Data Dictionary'!C:G,5,FALSE)))</f>
        <v>Denotes whether the Tentant link is sent</v>
      </c>
    </row>
    <row r="31" spans="1:9" hidden="1">
      <c r="A31" s="97"/>
      <c r="B31" s="97"/>
      <c r="C31" s="97" t="s">
        <v>1296</v>
      </c>
      <c r="D31" s="95" t="str">
        <f t="shared" si="0"/>
        <v>linkedApplicantID</v>
      </c>
      <c r="E31" s="95">
        <f>IF(D31="", "", VLOOKUP(D31,'API Data Dictionary'!C:L,10,FALSE))</f>
        <v>0</v>
      </c>
      <c r="F31" s="95" t="str">
        <f>IF(D31="", "", VLOOKUP(D31,'API Data Dictionary'!C:D,2,FALSE))</f>
        <v>integer</v>
      </c>
      <c r="G31" s="95" t="str">
        <f>IF(IF(D31="", "", VLOOKUP(D31,'API Data Dictionary'!C:E,3,FALSE))=0, "", IF(D31="", "", VLOOKUP(D31,'API Data Dictionary'!C:E,3,FALSE)))</f>
        <v/>
      </c>
      <c r="H31" s="95" t="str">
        <f>IF(IF(D31="", "", VLOOKUP(D31,'API Data Dictionary'!C:F,4,FALSE))=0, "", IF(D31="", "", VLOOKUP(D31,'API Data Dictionary'!C:F,4,FALSE)))</f>
        <v/>
      </c>
      <c r="I31" s="95" t="str">
        <f>IF(IF(D31="", "", VLOOKUP(D31,'API Data Dictionary'!C:G,5,FALSE))=0, "", IF(D31="", "", VLOOKUP(D31,'API Data Dictionary'!C:G,5,FALSE)))</f>
        <v>The ID of the linked applicant</v>
      </c>
    </row>
    <row r="32" spans="1:9" hidden="1">
      <c r="A32" s="97"/>
      <c r="B32" s="97" t="s">
        <v>1280</v>
      </c>
      <c r="C32" s="97" t="s">
        <v>1297</v>
      </c>
      <c r="D32" s="95" t="str">
        <f t="shared" si="0"/>
        <v/>
      </c>
      <c r="E32" s="95" t="str">
        <f>IF(D32="", "", VLOOKUP(D32,'API Data Dictionary'!C:L,10,FALSE))</f>
        <v/>
      </c>
      <c r="F32" s="95" t="str">
        <f>IF(D32="", "", VLOOKUP(D32,'API Data Dictionary'!C:D,2,FALSE))</f>
        <v/>
      </c>
      <c r="G32" s="95" t="str">
        <f>IF(IF(D32="", "", VLOOKUP(D32,'API Data Dictionary'!C:E,3,FALSE))=0, "", IF(D32="", "", VLOOKUP(D32,'API Data Dictionary'!C:E,3,FALSE)))</f>
        <v/>
      </c>
      <c r="H32" s="95" t="str">
        <f>IF(IF(D32="", "", VLOOKUP(D32,'API Data Dictionary'!C:F,4,FALSE))=0, "", IF(D32="", "", VLOOKUP(D32,'API Data Dictionary'!C:F,4,FALSE)))</f>
        <v/>
      </c>
      <c r="I32" s="95" t="str">
        <f>IF(IF(D32="", "", VLOOKUP(D32,'API Data Dictionary'!C:G,5,FALSE))=0, "", IF(D32="", "", VLOOKUP(D32,'API Data Dictionary'!C:G,5,FALSE)))</f>
        <v/>
      </c>
    </row>
    <row r="33" spans="1:9" hidden="1">
      <c r="A33" s="97"/>
      <c r="B33" s="97"/>
      <c r="C33" s="97" t="s">
        <v>1282</v>
      </c>
      <c r="D33" s="95" t="str">
        <f t="shared" si="0"/>
        <v/>
      </c>
      <c r="E33" s="95" t="str">
        <f>IF(D33="", "", VLOOKUP(D33,'API Data Dictionary'!C:L,10,FALSE))</f>
        <v/>
      </c>
      <c r="F33" s="95" t="str">
        <f>IF(D33="", "", VLOOKUP(D33,'API Data Dictionary'!C:D,2,FALSE))</f>
        <v/>
      </c>
      <c r="G33" s="95" t="str">
        <f>IF(IF(D33="", "", VLOOKUP(D33,'API Data Dictionary'!C:E,3,FALSE))=0, "", IF(D33="", "", VLOOKUP(D33,'API Data Dictionary'!C:E,3,FALSE)))</f>
        <v/>
      </c>
      <c r="H33" s="95" t="str">
        <f>IF(IF(D33="", "", VLOOKUP(D33,'API Data Dictionary'!C:F,4,FALSE))=0, "", IF(D33="", "", VLOOKUP(D33,'API Data Dictionary'!C:F,4,FALSE)))</f>
        <v/>
      </c>
      <c r="I33" s="95" t="str">
        <f>IF(IF(D33="", "", VLOOKUP(D33,'API Data Dictionary'!C:G,5,FALSE))=0, "", IF(D33="", "", VLOOKUP(D33,'API Data Dictionary'!C:G,5,FALSE)))</f>
        <v/>
      </c>
    </row>
    <row r="34" spans="1:9" hidden="1">
      <c r="A34" s="97"/>
      <c r="B34" s="178"/>
      <c r="C34" s="97" t="s">
        <v>1298</v>
      </c>
      <c r="D34" s="95" t="str">
        <f t="shared" si="0"/>
        <v>tenantTypeId</v>
      </c>
      <c r="E34" s="95" t="str">
        <f>IF(D34="", "", VLOOKUP(D34,'API Data Dictionary'!C:L,10,FALSE))</f>
        <v>M</v>
      </c>
      <c r="F34" s="95" t="str">
        <f>IF(D34="", "", VLOOKUP(D34,'API Data Dictionary'!C:D,2,FALSE))</f>
        <v>enum - Tenant Type</v>
      </c>
      <c r="G34" s="95" t="str">
        <f>IF(IF(D34="", "", VLOOKUP(D34,'API Data Dictionary'!C:E,3,FALSE))=0, "", IF(D34="", "", VLOOKUP(D34,'API Data Dictionary'!C:E,3,FALSE)))</f>
        <v/>
      </c>
      <c r="H34" s="95" t="str">
        <f>IF(IF(D34="", "", VLOOKUP(D34,'API Data Dictionary'!C:F,4,FALSE))=0, "", IF(D34="", "", VLOOKUP(D34,'API Data Dictionary'!C:F,4,FALSE)))</f>
        <v>Valid Values 1-4 (See enum definition)</v>
      </c>
      <c r="I34" s="95" t="str">
        <f>IF(IF(D34="", "", VLOOKUP(D34,'API Data Dictionary'!C:G,5,FALSE))=0, "", IF(D34="", "", VLOOKUP(D34,'API Data Dictionary'!C:G,5,FALSE)))</f>
        <v>The Type of the Tenant, e.g. lead or Guarantor</v>
      </c>
    </row>
    <row r="35" spans="1:9" hidden="1">
      <c r="A35" s="97"/>
      <c r="B35" s="178"/>
      <c r="C35" s="97" t="s">
        <v>1299</v>
      </c>
      <c r="D35" s="95" t="str">
        <f t="shared" si="0"/>
        <v>referenceType</v>
      </c>
      <c r="E35" s="95" t="str">
        <f>IF(D35="", "", VLOOKUP(D35,'API Data Dictionary'!C:L,10,FALSE))</f>
        <v>M</v>
      </c>
      <c r="F35" s="95" t="str">
        <f>IF(D35="", "", VLOOKUP(D35,'API Data Dictionary'!C:D,2,FALSE))</f>
        <v>enum - Reference Type</v>
      </c>
      <c r="G35" s="95" t="str">
        <f>IF(IF(D35="", "", VLOOKUP(D35,'API Data Dictionary'!C:E,3,FALSE))=0, "", IF(D35="", "", VLOOKUP(D35,'API Data Dictionary'!C:E,3,FALSE)))</f>
        <v/>
      </c>
      <c r="H35" s="95" t="str">
        <f>IF(IF(D35="", "", VLOOKUP(D35,'API Data Dictionary'!C:F,4,FALSE))=0, "", IF(D35="", "", VLOOKUP(D35,'API Data Dictionary'!C:F,4,FALSE)))</f>
        <v>Valid Values 1-2 (See enum definition)</v>
      </c>
      <c r="I35" s="95" t="str">
        <f>IF(IF(D35="", "", VLOOKUP(D35,'API Data Dictionary'!C:G,5,FALSE))=0, "", IF(D35="", "", VLOOKUP(D35,'API Data Dictionary'!C:G,5,FALSE)))</f>
        <v>The Type of reference, e.g Full or Express</v>
      </c>
    </row>
    <row r="36" spans="1:9" hidden="1">
      <c r="A36" s="97"/>
      <c r="B36" s="97" t="s">
        <v>1228</v>
      </c>
      <c r="C36" s="97" t="s">
        <v>1300</v>
      </c>
      <c r="D36" s="95" t="str">
        <f t="shared" si="0"/>
        <v>rightToRent</v>
      </c>
      <c r="E36" s="95" t="str">
        <f>IF(D36="", "", VLOOKUP(D36,'API Data Dictionary'!C:L,10,FALSE))</f>
        <v>M</v>
      </c>
      <c r="F36" s="95" t="str">
        <f>IF(D36="", "", VLOOKUP(D36,'API Data Dictionary'!C:D,2,FALSE))</f>
        <v>boolean</v>
      </c>
      <c r="G36" s="95" t="str">
        <f>IF(IF(D36="", "", VLOOKUP(D36,'API Data Dictionary'!C:E,3,FALSE))=0, "", IF(D36="", "", VLOOKUP(D36,'API Data Dictionary'!C:E,3,FALSE)))</f>
        <v/>
      </c>
      <c r="H36" s="95" t="str">
        <f>IF(IF(D36="", "", VLOOKUP(D36,'API Data Dictionary'!C:F,4,FALSE))=0, "", IF(D36="", "", VLOOKUP(D36,'API Data Dictionary'!C:F,4,FALSE)))</f>
        <v/>
      </c>
      <c r="I36" s="95" t="str">
        <f>IF(IF(D36="", "", VLOOKUP(D36,'API Data Dictionary'!C:G,5,FALSE))=0, "", IF(D36="", "", VLOOKUP(D36,'API Data Dictionary'!C:G,5,FALSE)))</f>
        <v>Use Right to rent product for this reference</v>
      </c>
    </row>
    <row r="37" spans="1:9" hidden="1">
      <c r="A37" s="97"/>
      <c r="B37" s="174" t="s">
        <v>1301</v>
      </c>
      <c r="C37" s="97" t="s">
        <v>1302</v>
      </c>
      <c r="D37" s="95" t="str">
        <f t="shared" si="0"/>
        <v>title</v>
      </c>
      <c r="E37" s="95" t="str">
        <f>IF(D37="", "", VLOOKUP(D37,'API Data Dictionary'!C:L,10,FALSE))</f>
        <v>M</v>
      </c>
      <c r="F37" s="95" t="str">
        <f>IF(D37="", "", VLOOKUP(D37,'API Data Dictionary'!C:D,2,FALSE))</f>
        <v>enum - Title</v>
      </c>
      <c r="G37" s="95" t="str">
        <f>IF(IF(D37="", "", VLOOKUP(D37,'API Data Dictionary'!C:E,3,FALSE))=0, "", IF(D37="", "", VLOOKUP(D37,'API Data Dictionary'!C:E,3,FALSE)))</f>
        <v/>
      </c>
      <c r="H37" s="95" t="str">
        <f>IF(IF(D37="", "", VLOOKUP(D37,'API Data Dictionary'!C:F,4,FALSE))=0, "", IF(D37="", "", VLOOKUP(D37,'API Data Dictionary'!C:F,4,FALSE)))</f>
        <v>Valid Values 1-7 (See enum definition)</v>
      </c>
      <c r="I37" s="95" t="str">
        <f>IF(IF(D37="", "", VLOOKUP(D37,'API Data Dictionary'!C:G,5,FALSE))=0, "", IF(D37="", "", VLOOKUP(D37,'API Data Dictionary'!C:G,5,FALSE)))</f>
        <v>The persons title, e.g. Mr, Mrs, etc.</v>
      </c>
    </row>
    <row r="38" spans="1:9" hidden="1">
      <c r="A38" s="97"/>
      <c r="B38" s="97"/>
      <c r="C38" s="97" t="s">
        <v>1303</v>
      </c>
      <c r="D38" s="95" t="str">
        <f t="shared" si="0"/>
        <v>otherTitle</v>
      </c>
      <c r="E38" s="95" t="str">
        <f>IF(D38="", "", VLOOKUP(D38,'API Data Dictionary'!C:L,10,FALSE))</f>
        <v>X</v>
      </c>
      <c r="F38" s="95" t="str">
        <f>IF(D38="", "", VLOOKUP(D38,'API Data Dictionary'!C:D,2,FALSE))</f>
        <v>string</v>
      </c>
      <c r="G38" s="95">
        <f>IF(IF(D38="", "", VLOOKUP(D38,'API Data Dictionary'!C:E,3,FALSE))=0, "", IF(D38="", "", VLOOKUP(D38,'API Data Dictionary'!C:E,3,FALSE)))</f>
        <v>100</v>
      </c>
      <c r="H38" s="95" t="str">
        <f>IF(IF(D38="", "", VLOOKUP(D38,'API Data Dictionary'!C:F,4,FALSE))=0, "", IF(D38="", "", VLOOKUP(D38,'API Data Dictionary'!C:F,4,FALSE)))</f>
        <v/>
      </c>
      <c r="I38" s="95" t="str">
        <f>IF(IF(D38="", "", VLOOKUP(D38,'API Data Dictionary'!C:G,5,FALSE))=0, "", IF(D38="", "", VLOOKUP(D38,'API Data Dictionary'!C:G,5,FALSE)))</f>
        <v>If other is chosen for title, this is a text field to enter the specific title</v>
      </c>
    </row>
    <row r="39" spans="1:9" hidden="1">
      <c r="A39" s="97"/>
      <c r="B39" s="174" t="s">
        <v>1234</v>
      </c>
      <c r="C39" s="97" t="s">
        <v>1304</v>
      </c>
      <c r="D39" s="95" t="str">
        <f t="shared" si="0"/>
        <v>firstName</v>
      </c>
      <c r="E39" s="95" t="str">
        <f>IF(D39="", "", VLOOKUP(D39,'API Data Dictionary'!C:L,10,FALSE))</f>
        <v>M</v>
      </c>
      <c r="F39" s="95" t="str">
        <f>IF(D39="", "", VLOOKUP(D39,'API Data Dictionary'!C:D,2,FALSE))</f>
        <v>string</v>
      </c>
      <c r="G39" s="95">
        <f>IF(IF(D39="", "", VLOOKUP(D39,'API Data Dictionary'!C:E,3,FALSE))=0, "", IF(D39="", "", VLOOKUP(D39,'API Data Dictionary'!C:E,3,FALSE)))</f>
        <v>100</v>
      </c>
      <c r="H39" s="95" t="str">
        <f>IF(IF(D39="", "", VLOOKUP(D39,'API Data Dictionary'!C:F,4,FALSE))=0, "", IF(D39="", "", VLOOKUP(D39,'API Data Dictionary'!C:F,4,FALSE)))</f>
        <v>pattern: ^[a-zA-Z0-9\-' ]*$</v>
      </c>
      <c r="I39" s="95" t="str">
        <f>IF(IF(D39="", "", VLOOKUP(D39,'API Data Dictionary'!C:G,5,FALSE))=0, "", IF(D39="", "", VLOOKUP(D39,'API Data Dictionary'!C:G,5,FALSE)))</f>
        <v>First name, validated against the RegEx pattern</v>
      </c>
    </row>
    <row r="40" spans="1:9" hidden="1">
      <c r="A40" s="97"/>
      <c r="B40" s="97"/>
      <c r="C40" s="97" t="s">
        <v>1305</v>
      </c>
      <c r="D40" s="95" t="str">
        <f t="shared" si="0"/>
        <v>middleName</v>
      </c>
      <c r="E40" s="95" t="str">
        <f>IF(D40="", "", VLOOKUP(D40,'API Data Dictionary'!C:L,10,FALSE))</f>
        <v>X</v>
      </c>
      <c r="F40" s="95" t="str">
        <f>IF(D40="", "", VLOOKUP(D40,'API Data Dictionary'!C:D,2,FALSE))</f>
        <v>string</v>
      </c>
      <c r="G40" s="95">
        <f>IF(IF(D40="", "", VLOOKUP(D40,'API Data Dictionary'!C:E,3,FALSE))=0, "", IF(D40="", "", VLOOKUP(D40,'API Data Dictionary'!C:E,3,FALSE)))</f>
        <v>50</v>
      </c>
      <c r="H40" s="95" t="str">
        <f>IF(IF(D40="", "", VLOOKUP(D40,'API Data Dictionary'!C:F,4,FALSE))=0, "", IF(D40="", "", VLOOKUP(D40,'API Data Dictionary'!C:F,4,FALSE)))</f>
        <v>pattern: ^[a-zA-Z0-9\-' ]*$</v>
      </c>
      <c r="I40" s="95" t="str">
        <f>IF(IF(D40="", "", VLOOKUP(D40,'API Data Dictionary'!C:G,5,FALSE))=0, "", IF(D40="", "", VLOOKUP(D40,'API Data Dictionary'!C:G,5,FALSE)))</f>
        <v>Middle name, validated against the RegEx pattern</v>
      </c>
    </row>
    <row r="41" spans="1:9" hidden="1">
      <c r="A41" s="97"/>
      <c r="B41" s="174" t="s">
        <v>1237</v>
      </c>
      <c r="C41" s="97" t="s">
        <v>1306</v>
      </c>
      <c r="D41" s="95" t="str">
        <f t="shared" si="0"/>
        <v>surname</v>
      </c>
      <c r="E41" s="95" t="str">
        <f>IF(D41="", "", VLOOKUP(D41,'API Data Dictionary'!C:L,10,FALSE))</f>
        <v>M</v>
      </c>
      <c r="F41" s="95" t="str">
        <f>IF(D41="", "", VLOOKUP(D41,'API Data Dictionary'!C:D,2,FALSE))</f>
        <v>string</v>
      </c>
      <c r="G41" s="95">
        <f>IF(IF(D41="", "", VLOOKUP(D41,'API Data Dictionary'!C:E,3,FALSE))=0, "", IF(D41="", "", VLOOKUP(D41,'API Data Dictionary'!C:E,3,FALSE)))</f>
        <v>100</v>
      </c>
      <c r="H41" s="95" t="str">
        <f>IF(IF(D41="", "", VLOOKUP(D41,'API Data Dictionary'!C:F,4,FALSE))=0, "", IF(D41="", "", VLOOKUP(D41,'API Data Dictionary'!C:F,4,FALSE)))</f>
        <v>pattern: ^[a-zA-Z0-9\-' ]*$</v>
      </c>
      <c r="I41" s="95" t="str">
        <f>IF(IF(D41="", "", VLOOKUP(D41,'API Data Dictionary'!C:G,5,FALSE))=0, "", IF(D41="", "", VLOOKUP(D41,'API Data Dictionary'!C:G,5,FALSE)))</f>
        <v>Surname name, validated against the RegEx pattern</v>
      </c>
    </row>
    <row r="42" spans="1:9" hidden="1">
      <c r="A42" s="97"/>
      <c r="B42" s="174" t="s">
        <v>1239</v>
      </c>
      <c r="C42" s="97" t="s">
        <v>1307</v>
      </c>
      <c r="D42" s="95" t="str">
        <f t="shared" si="0"/>
        <v>shareOfRent</v>
      </c>
      <c r="E42" s="95" t="str">
        <f>IF(D42="", "", VLOOKUP(D42,'API Data Dictionary'!C:L,10,FALSE))</f>
        <v>M</v>
      </c>
      <c r="F42" s="95" t="str">
        <f>IF(D42="", "", VLOOKUP(D42,'API Data Dictionary'!C:D,2,FALSE))</f>
        <v>number (double)</v>
      </c>
      <c r="G42" s="95" t="str">
        <f>IF(IF(D42="", "", VLOOKUP(D42,'API Data Dictionary'!C:E,3,FALSE))=0, "", IF(D42="", "", VLOOKUP(D42,'API Data Dictionary'!C:E,3,FALSE)))</f>
        <v/>
      </c>
      <c r="H42" s="95" t="str">
        <f>IF(IF(D42="", "", VLOOKUP(D42,'API Data Dictionary'!C:F,4,FALSE))=0, "", IF(D42="", "", VLOOKUP(D42,'API Data Dictionary'!C:F,4,FALSE)))</f>
        <v>pattern: ^\d*.\d{0,2}$</v>
      </c>
      <c r="I42" s="95" t="str">
        <f>IF(IF(D42="", "", VLOOKUP(D42,'API Data Dictionary'!C:G,5,FALSE))=0, "", IF(D42="", "", VLOOKUP(D42,'API Data Dictionary'!C:G,5,FALSE)))</f>
        <v>GBP value of the applicants share of the rent</v>
      </c>
    </row>
    <row r="43" spans="1:9" hidden="1">
      <c r="A43" s="97"/>
      <c r="B43" s="178"/>
      <c r="C43" s="97" t="s">
        <v>1308</v>
      </c>
      <c r="D43" s="95" t="str">
        <f t="shared" si="0"/>
        <v>telephoneCountryID</v>
      </c>
      <c r="E43" s="95" t="str">
        <f>IF(D43="", "", VLOOKUP(D43,'API Data Dictionary'!C:L,10,FALSE))</f>
        <v>M</v>
      </c>
      <c r="F43" s="95" t="str">
        <f>IF(D43="", "", VLOOKUP(D43,'API Data Dictionary'!C:D,2,FALSE))</f>
        <v>enum -Country/Location Code</v>
      </c>
      <c r="G43" s="95" t="str">
        <f>IF(IF(D43="", "", VLOOKUP(D43,'API Data Dictionary'!C:E,3,FALSE))=0, "", IF(D43="", "", VLOOKUP(D43,'API Data Dictionary'!C:E,3,FALSE)))</f>
        <v/>
      </c>
      <c r="H43" s="95" t="str">
        <f>IF(IF(D43="", "", VLOOKUP(D43,'API Data Dictionary'!C:F,4,FALSE))=0, "", IF(D43="", "", VLOOKUP(D43,'API Data Dictionary'!C:F,4,FALSE)))</f>
        <v>Valid Values 1-239 (See enum definition)</v>
      </c>
      <c r="I43" s="95" t="str">
        <f>IF(IF(D43="", "", VLOOKUP(D43,'API Data Dictionary'!C:G,5,FALSE))=0, "", IF(D43="", "", VLOOKUP(D43,'API Data Dictionary'!C:G,5,FALSE)))</f>
        <v>The country/location code of the phone number</v>
      </c>
    </row>
    <row r="44" spans="1:9" hidden="1">
      <c r="A44" s="97"/>
      <c r="B44" s="174" t="s">
        <v>1243</v>
      </c>
      <c r="C44" s="97" t="s">
        <v>1309</v>
      </c>
      <c r="D44" s="95" t="str">
        <f t="shared" si="0"/>
        <v>contactTelephoneNo</v>
      </c>
      <c r="E44" s="95" t="str">
        <f>IF(D44="", "", VLOOKUP(D44,'API Data Dictionary'!C:L,10,FALSE))</f>
        <v>M</v>
      </c>
      <c r="F44" s="95" t="str">
        <f>IF(D44="", "", VLOOKUP(D44,'API Data Dictionary'!C:D,2,FALSE))</f>
        <v>string</v>
      </c>
      <c r="G44" s="95">
        <f>IF(IF(D44="", "", VLOOKUP(D44,'API Data Dictionary'!C:E,3,FALSE))=0, "", IF(D44="", "", VLOOKUP(D44,'API Data Dictionary'!C:E,3,FALSE)))</f>
        <v>15</v>
      </c>
      <c r="H44" s="95" t="str">
        <f>IF(IF(D44="", "", VLOOKUP(D44,'API Data Dictionary'!C:F,4,FALSE))=0, "", IF(D44="", "", VLOOKUP(D44,'API Data Dictionary'!C:F,4,FALSE)))</f>
        <v>pattern: ^(\d{11})$</v>
      </c>
      <c r="I44" s="95" t="str">
        <f>IF(IF(D44="", "", VLOOKUP(D44,'API Data Dictionary'!C:G,5,FALSE))=0, "", IF(D44="", "", VLOOKUP(D44,'API Data Dictionary'!C:G,5,FALSE)))</f>
        <v xml:space="preserve">The telephone number </v>
      </c>
    </row>
    <row r="45" spans="1:9" ht="15" hidden="1">
      <c r="A45" s="97"/>
      <c r="B45" s="174" t="s">
        <v>1245</v>
      </c>
      <c r="C45" s="97" t="s">
        <v>1310</v>
      </c>
      <c r="D45" s="95" t="str">
        <f t="shared" si="0"/>
        <v>emailAddress</v>
      </c>
      <c r="E45" s="95" t="str">
        <f>IF(D45="", "", VLOOKUP(D45,'API Data Dictionary'!C:L,10,FALSE))</f>
        <v>M</v>
      </c>
      <c r="F45" s="95" t="str">
        <f>IF(D45="", "", VLOOKUP(D45,'API Data Dictionary'!C:D,2,FALSE))</f>
        <v>string ($email)</v>
      </c>
      <c r="G45" s="95">
        <f>IF(IF(D45="", "", VLOOKUP(D45,'API Data Dictionary'!C:E,3,FALSE))=0, "", IF(D45="", "", VLOOKUP(D45,'API Data Dictionary'!C:E,3,FALSE)))</f>
        <v>200</v>
      </c>
      <c r="H45" s="95" t="str">
        <f>IF(IF(D45="", "", VLOOKUP(D45,'API Data Dictionary'!C:F,4,FALSE))=0, "", IF(D45="", "", VLOOKUP(D45,'API Data Dictionary'!C:F,4,FALSE)))</f>
        <v>pattern: ^(?!.*\.\.)(?!.*\\_\\_)(?!.*\-\-)[a-zA-Z0-9][-a-zA-Z0-9._]+[a-zA-Z0-9]@([-a-zA-Z0-9]+.)+[a-zA-Z]{2,5}$</v>
      </c>
      <c r="I45" s="95" t="str">
        <f>IF(IF(D45="", "", VLOOKUP(D45,'API Data Dictionary'!C:G,5,FALSE))=0, "", IF(D45="", "", VLOOKUP(D45,'API Data Dictionary'!C:G,5,FALSE)))</f>
        <v>The email address</v>
      </c>
    </row>
    <row r="46" spans="1:9" ht="15" hidden="1">
      <c r="A46" s="97"/>
      <c r="B46" s="97"/>
      <c r="C46" s="97" t="s">
        <v>1311</v>
      </c>
      <c r="D46" s="95" t="str">
        <f t="shared" si="0"/>
        <v>dateOfBirth</v>
      </c>
      <c r="E46" s="95" t="s">
        <v>139</v>
      </c>
      <c r="F46" s="95" t="str">
        <f>IF(D46="", "", VLOOKUP(D46,'API Data Dictionary'!C:D,2,FALSE))</f>
        <v>string ($date-time)</v>
      </c>
      <c r="G46" s="95" t="str">
        <f>IF(IF(D46="", "", VLOOKUP(D46,'API Data Dictionary'!C:E,3,FALSE))=0, "", IF(D46="", "", VLOOKUP(D46,'API Data Dictionary'!C:E,3,FALSE)))</f>
        <v/>
      </c>
      <c r="H46" s="95" t="str">
        <f>IF(IF(D46="", "", VLOOKUP(D46,'API Data Dictionary'!C:F,4,FALSE))=0, "", IF(D46="", "", VLOOKUP(D46,'API Data Dictionary'!C:F,4,FALSE)))</f>
        <v>DD/MM/YYYY</v>
      </c>
      <c r="I46" s="95" t="str">
        <f>IF(IF(D46="", "", VLOOKUP(D46,'API Data Dictionary'!C:G,5,FALSE))=0, "", IF(D46="", "", VLOOKUP(D46,'API Data Dictionary'!C:G,5,FALSE)))</f>
        <v>The date of birth, formatted DD-MM-YYYY</v>
      </c>
    </row>
    <row r="47" spans="1:9" hidden="1">
      <c r="A47" s="97"/>
      <c r="B47" s="97"/>
      <c r="C47" s="97" t="s">
        <v>1312</v>
      </c>
      <c r="D47" s="95" t="str">
        <f t="shared" si="0"/>
        <v>mobileCountryId</v>
      </c>
      <c r="E47" s="95" t="s">
        <v>139</v>
      </c>
      <c r="F47" s="95" t="str">
        <f>IF(D47="", "", VLOOKUP(D47,'API Data Dictionary'!C:D,2,FALSE))</f>
        <v>enum -Country/Location Code</v>
      </c>
      <c r="G47" s="95" t="str">
        <f>IF(IF(D47="", "", VLOOKUP(D47,'API Data Dictionary'!C:E,3,FALSE))=0, "", IF(D47="", "", VLOOKUP(D47,'API Data Dictionary'!C:E,3,FALSE)))</f>
        <v/>
      </c>
      <c r="H47" s="95" t="str">
        <f>IF(IF(D47="", "", VLOOKUP(D47,'API Data Dictionary'!C:F,4,FALSE))=0, "", IF(D47="", "", VLOOKUP(D47,'API Data Dictionary'!C:F,4,FALSE)))</f>
        <v>Valid Values 1-239 (See enum definition)</v>
      </c>
      <c r="I47" s="95" t="str">
        <f>IF(IF(D47="", "", VLOOKUP(D47,'API Data Dictionary'!C:G,5,FALSE))=0, "", IF(D47="", "", VLOOKUP(D47,'API Data Dictionary'!C:G,5,FALSE)))</f>
        <v>The country/location code of the mobile phone number</v>
      </c>
    </row>
    <row r="48" spans="1:9" hidden="1">
      <c r="A48" s="97"/>
      <c r="B48" s="97"/>
      <c r="C48" s="97" t="s">
        <v>1313</v>
      </c>
      <c r="D48" s="95" t="str">
        <f t="shared" si="0"/>
        <v>mobileNumber</v>
      </c>
      <c r="E48" s="95" t="s">
        <v>139</v>
      </c>
      <c r="F48" s="95" t="str">
        <f>IF(D48="", "", VLOOKUP(D48,'API Data Dictionary'!C:D,2,FALSE))</f>
        <v>string</v>
      </c>
      <c r="G48" s="95">
        <f>IF(IF(D48="", "", VLOOKUP(D48,'API Data Dictionary'!C:E,3,FALSE))=0, "", IF(D48="", "", VLOOKUP(D48,'API Data Dictionary'!C:E,3,FALSE)))</f>
        <v>15</v>
      </c>
      <c r="H48" s="95" t="str">
        <f>IF(IF(D48="", "", VLOOKUP(D48,'API Data Dictionary'!C:F,4,FALSE))=0, "", IF(D48="", "", VLOOKUP(D48,'API Data Dictionary'!C:F,4,FALSE)))</f>
        <v>pattern: ^(\d{11})$</v>
      </c>
      <c r="I48" s="95" t="str">
        <f>IF(IF(D48="", "", VLOOKUP(D48,'API Data Dictionary'!C:G,5,FALSE))=0, "", IF(D48="", "", VLOOKUP(D48,'API Data Dictionary'!C:G,5,FALSE)))</f>
        <v>The mobile phone number</v>
      </c>
    </row>
    <row r="49" spans="1:9" hidden="1">
      <c r="A49" s="97"/>
      <c r="B49" s="97"/>
      <c r="C49" s="97" t="s">
        <v>1314</v>
      </c>
      <c r="D49" s="95" t="str">
        <f t="shared" si="0"/>
        <v>nationality</v>
      </c>
      <c r="E49" s="95" t="s">
        <v>139</v>
      </c>
      <c r="F49" s="95" t="str">
        <f>IF(D49="", "", VLOOKUP(D49,'API Data Dictionary'!C:D,2,FALSE))</f>
        <v>enum - Nationality</v>
      </c>
      <c r="G49" s="95" t="str">
        <f>IF(IF(D49="", "", VLOOKUP(D49,'API Data Dictionary'!C:E,3,FALSE))=0, "", IF(D49="", "", VLOOKUP(D49,'API Data Dictionary'!C:E,3,FALSE)))</f>
        <v/>
      </c>
      <c r="H49" s="95" t="str">
        <f>IF(IF(D49="", "", VLOOKUP(D49,'API Data Dictionary'!C:F,4,FALSE))=0, "", IF(D49="", "", VLOOKUP(D49,'API Data Dictionary'!C:F,4,FALSE)))</f>
        <v>Valid Values 1-231 (See enum definition)</v>
      </c>
      <c r="I49" s="95" t="str">
        <f>IF(IF(D49="", "", VLOOKUP(D49,'API Data Dictionary'!C:G,5,FALSE))=0, "", IF(D49="", "", VLOOKUP(D49,'API Data Dictionary'!C:G,5,FALSE)))</f>
        <v>The nationality, from the nationality enum list</v>
      </c>
    </row>
    <row r="50" spans="1:9" hidden="1">
      <c r="A50" s="97"/>
      <c r="B50" s="97"/>
      <c r="C50" s="97" t="s">
        <v>1315</v>
      </c>
      <c r="D50" s="95" t="str">
        <f t="shared" si="0"/>
        <v>niNumber</v>
      </c>
      <c r="E50" s="95" t="s">
        <v>139</v>
      </c>
      <c r="F50" s="95" t="str">
        <f>IF(D50="", "", VLOOKUP(D50,'API Data Dictionary'!C:D,2,FALSE))</f>
        <v>string</v>
      </c>
      <c r="G50" s="95">
        <f>IF(IF(D50="", "", VLOOKUP(D50,'API Data Dictionary'!C:E,3,FALSE))=0, "", IF(D50="", "", VLOOKUP(D50,'API Data Dictionary'!C:E,3,FALSE)))</f>
        <v>100</v>
      </c>
      <c r="H50" s="95" t="str">
        <f>IF(IF(D50="", "", VLOOKUP(D50,'API Data Dictionary'!C:F,4,FALSE))=0, "", IF(D50="", "", VLOOKUP(D50,'API Data Dictionary'!C:F,4,FALSE)))</f>
        <v>pattern: ^[a-zA-Z]{2}(?:\d){6}[a-zA-Z]{1}$</v>
      </c>
      <c r="I50" s="95" t="str">
        <f>IF(IF(D50="", "", VLOOKUP(D50,'API Data Dictionary'!C:G,5,FALSE))=0, "", IF(D50="", "", VLOOKUP(D50,'API Data Dictionary'!C:G,5,FALSE)))</f>
        <v>NI Number, matched to RegEx pattern</v>
      </c>
    </row>
    <row r="51" spans="1:9" hidden="1">
      <c r="A51" s="97"/>
      <c r="B51" s="97"/>
      <c r="C51" s="97" t="s">
        <v>1316</v>
      </c>
      <c r="D51" s="95" t="str">
        <f t="shared" si="0"/>
        <v>residentStatus</v>
      </c>
      <c r="E51" s="95" t="s">
        <v>139</v>
      </c>
      <c r="F51" s="95" t="str">
        <f>IF(D51="", "", VLOOKUP(D51,'API Data Dictionary'!C:D,2,FALSE))</f>
        <v xml:space="preserve">enum - resident Status	</v>
      </c>
      <c r="G51" s="95" t="str">
        <f>IF(IF(D51="", "", VLOOKUP(D51,'API Data Dictionary'!C:E,3,FALSE))=0, "", IF(D51="", "", VLOOKUP(D51,'API Data Dictionary'!C:E,3,FALSE)))</f>
        <v/>
      </c>
      <c r="H51" s="95" t="str">
        <f>IF(IF(D51="", "", VLOOKUP(D51,'API Data Dictionary'!C:F,4,FALSE))=0, "", IF(D51="", "", VLOOKUP(D51,'API Data Dictionary'!C:F,4,FALSE)))</f>
        <v>Valid Values 1-2 (See enum definition)</v>
      </c>
      <c r="I51" s="95" t="str">
        <f>IF(IF(D51="", "", VLOOKUP(D51,'API Data Dictionary'!C:G,5,FALSE))=0, "", IF(D51="", "", VLOOKUP(D51,'API Data Dictionary'!C:G,5,FALSE)))</f>
        <v>Denotes the resident status e.g. UK resident</v>
      </c>
    </row>
    <row r="52" spans="1:9" hidden="1">
      <c r="A52" s="97"/>
      <c r="B52" s="97"/>
      <c r="C52" s="97" t="s">
        <v>1317</v>
      </c>
      <c r="D52" s="95" t="str">
        <f t="shared" si="0"/>
        <v>additionalInformation</v>
      </c>
      <c r="E52" s="95" t="s">
        <v>139</v>
      </c>
      <c r="F52" s="95" t="str">
        <f>IF(D52="", "", VLOOKUP(D52,'API Data Dictionary'!C:D,2,FALSE))</f>
        <v>string</v>
      </c>
      <c r="G52" s="95">
        <f>IF(IF(D52="", "", VLOOKUP(D52,'API Data Dictionary'!C:E,3,FALSE))=0, "", IF(D52="", "", VLOOKUP(D52,'API Data Dictionary'!C:E,3,FALSE)))</f>
        <v>65535</v>
      </c>
      <c r="H52" s="95" t="str">
        <f>IF(IF(D52="", "", VLOOKUP(D52,'API Data Dictionary'!C:F,4,FALSE))=0, "", IF(D52="", "", VLOOKUP(D52,'API Data Dictionary'!C:F,4,FALSE)))</f>
        <v/>
      </c>
      <c r="I52" s="95" t="str">
        <f>IF(IF(D52="", "", VLOOKUP(D52,'API Data Dictionary'!C:G,5,FALSE))=0, "", IF(D52="", "", VLOOKUP(D52,'API Data Dictionary'!C:G,5,FALSE)))</f>
        <v>Free text field for additional information</v>
      </c>
    </row>
    <row r="53" spans="1:9" hidden="1">
      <c r="A53" s="97"/>
      <c r="B53" s="97"/>
      <c r="C53" s="97" t="s">
        <v>1318</v>
      </c>
      <c r="D53" s="95" t="str">
        <f t="shared" si="0"/>
        <v>isAdvanceRent</v>
      </c>
      <c r="E53" s="95" t="s">
        <v>139</v>
      </c>
      <c r="F53" s="95" t="str">
        <f>IF(D53="", "", VLOOKUP(D53,'API Data Dictionary'!C:D,2,FALSE))</f>
        <v>boolean</v>
      </c>
      <c r="G53" s="95" t="str">
        <f>IF(IF(D53="", "", VLOOKUP(D53,'API Data Dictionary'!C:E,3,FALSE))=0, "", IF(D53="", "", VLOOKUP(D53,'API Data Dictionary'!C:E,3,FALSE)))</f>
        <v/>
      </c>
      <c r="H53" s="95" t="str">
        <f>IF(IF(D53="", "", VLOOKUP(D53,'API Data Dictionary'!C:F,4,FALSE))=0, "", IF(D53="", "", VLOOKUP(D53,'API Data Dictionary'!C:F,4,FALSE)))</f>
        <v/>
      </c>
      <c r="I53" s="95" t="str">
        <f>IF(IF(D53="", "", VLOOKUP(D53,'API Data Dictionary'!C:G,5,FALSE))=0, "", IF(D53="", "", VLOOKUP(D53,'API Data Dictionary'!C:G,5,FALSE)))</f>
        <v>Denotes whether rent is paid in advance</v>
      </c>
    </row>
    <row r="54" spans="1:9" hidden="1">
      <c r="A54" s="97"/>
      <c r="B54" s="97"/>
      <c r="C54" s="97" t="s">
        <v>1319</v>
      </c>
      <c r="D54" s="95" t="str">
        <f t="shared" si="0"/>
        <v/>
      </c>
      <c r="E54" s="95" t="str">
        <f>IF(D54="", "", VLOOKUP(D54,'API Data Dictionary'!C:L,10,FALSE))</f>
        <v/>
      </c>
      <c r="F54" s="95" t="str">
        <f>IF(D54="", "", VLOOKUP(D54,'API Data Dictionary'!C:D,2,FALSE))</f>
        <v/>
      </c>
      <c r="G54" s="95" t="str">
        <f>IF(IF(D54="", "", VLOOKUP(D54,'API Data Dictionary'!C:E,3,FALSE))=0, "", IF(D54="", "", VLOOKUP(D54,'API Data Dictionary'!C:E,3,FALSE)))</f>
        <v/>
      </c>
      <c r="H54" s="95" t="str">
        <f>IF(IF(D54="", "", VLOOKUP(D54,'API Data Dictionary'!C:F,4,FALSE))=0, "", IF(D54="", "", VLOOKUP(D54,'API Data Dictionary'!C:F,4,FALSE)))</f>
        <v/>
      </c>
      <c r="I54" s="95" t="str">
        <f>IF(IF(D54="", "", VLOOKUP(D54,'API Data Dictionary'!C:G,5,FALSE))=0, "", IF(D54="", "", VLOOKUP(D54,'API Data Dictionary'!C:G,5,FALSE)))</f>
        <v/>
      </c>
    </row>
    <row r="55" spans="1:9" hidden="1">
      <c r="A55" s="97"/>
      <c r="B55" s="97"/>
      <c r="C55" s="97" t="s">
        <v>1223</v>
      </c>
      <c r="D55" s="95" t="str">
        <f t="shared" si="0"/>
        <v/>
      </c>
      <c r="E55" s="95" t="str">
        <f>IF(D55="", "", VLOOKUP(D55,'API Data Dictionary'!C:L,10,FALSE))</f>
        <v/>
      </c>
      <c r="F55" s="95" t="str">
        <f>IF(D55="", "", VLOOKUP(D55,'API Data Dictionary'!C:D,2,FALSE))</f>
        <v/>
      </c>
      <c r="G55" s="95" t="str">
        <f>IF(IF(D55="", "", VLOOKUP(D55,'API Data Dictionary'!C:E,3,FALSE))=0, "", IF(D55="", "", VLOOKUP(D55,'API Data Dictionary'!C:E,3,FALSE)))</f>
        <v/>
      </c>
      <c r="H55" s="95" t="str">
        <f>IF(IF(D55="", "", VLOOKUP(D55,'API Data Dictionary'!C:F,4,FALSE))=0, "", IF(D55="", "", VLOOKUP(D55,'API Data Dictionary'!C:F,4,FALSE)))</f>
        <v/>
      </c>
      <c r="I55" s="95" t="str">
        <f>IF(IF(D55="", "", VLOOKUP(D55,'API Data Dictionary'!C:G,5,FALSE))=0, "", IF(D55="", "", VLOOKUP(D55,'API Data Dictionary'!C:G,5,FALSE)))</f>
        <v/>
      </c>
    </row>
    <row r="56" spans="1:9" hidden="1">
      <c r="A56" s="97"/>
      <c r="B56" s="97"/>
      <c r="C56" s="97" t="s">
        <v>1285</v>
      </c>
      <c r="D56" s="95" t="str">
        <f t="shared" si="0"/>
        <v>firstName</v>
      </c>
      <c r="E56" s="95" t="str">
        <f>IF(D56="", "", VLOOKUP(D56,'API Data Dictionary'!C:L,10,FALSE))</f>
        <v>M</v>
      </c>
      <c r="F56" s="95" t="str">
        <f>IF(D56="", "", VLOOKUP(D56,'API Data Dictionary'!C:D,2,FALSE))</f>
        <v>string</v>
      </c>
      <c r="G56" s="95">
        <f>IF(IF(D56="", "", VLOOKUP(D56,'API Data Dictionary'!C:E,3,FALSE))=0, "", IF(D56="", "", VLOOKUP(D56,'API Data Dictionary'!C:E,3,FALSE)))</f>
        <v>100</v>
      </c>
      <c r="H56" s="95" t="str">
        <f>IF(IF(D56="", "", VLOOKUP(D56,'API Data Dictionary'!C:F,4,FALSE))=0, "", IF(D56="", "", VLOOKUP(D56,'API Data Dictionary'!C:F,4,FALSE)))</f>
        <v>pattern: ^[a-zA-Z0-9\-' ]*$</v>
      </c>
      <c r="I56" s="95" t="str">
        <f>IF(IF(D56="", "", VLOOKUP(D56,'API Data Dictionary'!C:G,5,FALSE))=0, "", IF(D56="", "", VLOOKUP(D56,'API Data Dictionary'!C:G,5,FALSE)))</f>
        <v>First name, validated against the RegEx pattern</v>
      </c>
    </row>
    <row r="57" spans="1:9" hidden="1">
      <c r="A57" s="97"/>
      <c r="B57" s="97"/>
      <c r="C57" s="97" t="s">
        <v>1286</v>
      </c>
      <c r="D57" s="95" t="str">
        <f t="shared" si="0"/>
        <v>middleName</v>
      </c>
      <c r="E57" s="95" t="str">
        <f>IF(D57="", "", VLOOKUP(D57,'API Data Dictionary'!C:L,10,FALSE))</f>
        <v>X</v>
      </c>
      <c r="F57" s="95" t="str">
        <f>IF(D57="", "", VLOOKUP(D57,'API Data Dictionary'!C:D,2,FALSE))</f>
        <v>string</v>
      </c>
      <c r="G57" s="95">
        <f>IF(IF(D57="", "", VLOOKUP(D57,'API Data Dictionary'!C:E,3,FALSE))=0, "", IF(D57="", "", VLOOKUP(D57,'API Data Dictionary'!C:E,3,FALSE)))</f>
        <v>50</v>
      </c>
      <c r="H57" s="95" t="str">
        <f>IF(IF(D57="", "", VLOOKUP(D57,'API Data Dictionary'!C:F,4,FALSE))=0, "", IF(D57="", "", VLOOKUP(D57,'API Data Dictionary'!C:F,4,FALSE)))</f>
        <v>pattern: ^[a-zA-Z0-9\-' ]*$</v>
      </c>
      <c r="I57" s="95" t="str">
        <f>IF(IF(D57="", "", VLOOKUP(D57,'API Data Dictionary'!C:G,5,FALSE))=0, "", IF(D57="", "", VLOOKUP(D57,'API Data Dictionary'!C:G,5,FALSE)))</f>
        <v>Middle name, validated against the RegEx pattern</v>
      </c>
    </row>
    <row r="58" spans="1:9" hidden="1">
      <c r="A58" s="97"/>
      <c r="B58" s="97"/>
      <c r="C58" s="97" t="s">
        <v>1320</v>
      </c>
      <c r="D58" s="95" t="str">
        <f t="shared" si="0"/>
        <v>lastName</v>
      </c>
      <c r="E58" s="95" t="s">
        <v>139</v>
      </c>
      <c r="F58" s="95" t="str">
        <f>IF(D58="", "", VLOOKUP(D58,'API Data Dictionary'!C:D,2,FALSE))</f>
        <v>string</v>
      </c>
      <c r="G58" s="95">
        <f>IF(IF(D58="", "", VLOOKUP(D58,'API Data Dictionary'!C:E,3,FALSE))=0, "", IF(D58="", "", VLOOKUP(D58,'API Data Dictionary'!C:E,3,FALSE)))</f>
        <v>100</v>
      </c>
      <c r="H58" s="95" t="str">
        <f>IF(IF(D58="", "", VLOOKUP(D58,'API Data Dictionary'!C:F,4,FALSE))=0, "", IF(D58="", "", VLOOKUP(D58,'API Data Dictionary'!C:F,4,FALSE)))</f>
        <v>pattern: ^[a-zA-Z0-9\-' ]*$</v>
      </c>
      <c r="I58" s="95" t="str">
        <f>IF(IF(D58="", "", VLOOKUP(D58,'API Data Dictionary'!C:G,5,FALSE))=0, "", IF(D58="", "", VLOOKUP(D58,'API Data Dictionary'!C:G,5,FALSE)))</f>
        <v>Surname name, validated against the RegEx pattern</v>
      </c>
    </row>
    <row r="59" spans="1:9" hidden="1">
      <c r="A59" s="97"/>
      <c r="B59" s="97"/>
      <c r="C59" s="97" t="s">
        <v>1321</v>
      </c>
      <c r="D59" s="95" t="str">
        <f t="shared" si="0"/>
        <v>nameChangeDate</v>
      </c>
      <c r="E59" s="95" t="s">
        <v>139</v>
      </c>
      <c r="F59" s="95" t="str">
        <f>IF(D59="", "", VLOOKUP(D59,'API Data Dictionary'!C:D,2,FALSE))</f>
        <v>string ($date-time)</v>
      </c>
      <c r="G59" s="95" t="str">
        <f>IF(IF(D59="", "", VLOOKUP(D59,'API Data Dictionary'!C:E,3,FALSE))=0, "", IF(D59="", "", VLOOKUP(D59,'API Data Dictionary'!C:E,3,FALSE)))</f>
        <v/>
      </c>
      <c r="H59" s="95" t="str">
        <f>IF(IF(D59="", "", VLOOKUP(D59,'API Data Dictionary'!C:F,4,FALSE))=0, "", IF(D59="", "", VLOOKUP(D59,'API Data Dictionary'!C:F,4,FALSE)))</f>
        <v>DD/MM/YYYY</v>
      </c>
      <c r="I59" s="95" t="str">
        <f>IF(IF(D59="", "", VLOOKUP(D59,'API Data Dictionary'!C:G,5,FALSE))=0, "", IF(D59="", "", VLOOKUP(D59,'API Data Dictionary'!C:G,5,FALSE)))</f>
        <v>Date the name was changed, formatted DD/MM/YYYY</v>
      </c>
    </row>
    <row r="60" spans="1:9" hidden="1">
      <c r="A60" s="97"/>
      <c r="B60" s="97"/>
      <c r="C60" s="97" t="s">
        <v>1247</v>
      </c>
      <c r="D60" s="95" t="str">
        <f t="shared" si="0"/>
        <v/>
      </c>
      <c r="E60" s="95" t="str">
        <f>IF(D60="", "", VLOOKUP(D60,'API Data Dictionary'!C:L,10,FALSE))</f>
        <v/>
      </c>
      <c r="F60" s="95" t="str">
        <f>IF(D60="", "", VLOOKUP(D60,'API Data Dictionary'!C:D,2,FALSE))</f>
        <v/>
      </c>
      <c r="G60" s="95" t="str">
        <f>IF(IF(D60="", "", VLOOKUP(D60,'API Data Dictionary'!C:E,3,FALSE))=0, "", IF(D60="", "", VLOOKUP(D60,'API Data Dictionary'!C:E,3,FALSE)))</f>
        <v/>
      </c>
      <c r="H60" s="95" t="str">
        <f>IF(IF(D60="", "", VLOOKUP(D60,'API Data Dictionary'!C:F,4,FALSE))=0, "", IF(D60="", "", VLOOKUP(D60,'API Data Dictionary'!C:F,4,FALSE)))</f>
        <v/>
      </c>
      <c r="I60" s="95" t="str">
        <f>IF(IF(D60="", "", VLOOKUP(D60,'API Data Dictionary'!C:G,5,FALSE))=0, "", IF(D60="", "", VLOOKUP(D60,'API Data Dictionary'!C:G,5,FALSE)))</f>
        <v/>
      </c>
    </row>
    <row r="61" spans="1:9" hidden="1">
      <c r="A61" s="97"/>
      <c r="B61" s="97"/>
      <c r="C61" s="97" t="s">
        <v>1282</v>
      </c>
      <c r="D61" s="95" t="str">
        <f t="shared" ref="D61:D124" si="1">IF(OR(ISNUMBER(SEARCH("{", C61)),ISNUMBER(SEARCH("[", C61))), "", IFERROR(MID(C61, SEARCH("""", C61) +1, SEARCH("""", C61, SEARCH("""",C61) +1) - SEARCH("""", C61) -1), ""))</f>
        <v/>
      </c>
      <c r="E61" s="95" t="str">
        <f>IF(D61="", "", VLOOKUP(D61,'API Data Dictionary'!C:L,10,FALSE))</f>
        <v/>
      </c>
      <c r="F61" s="95" t="str">
        <f>IF(D61="", "", VLOOKUP(D61,'API Data Dictionary'!C:D,2,FALSE))</f>
        <v/>
      </c>
      <c r="G61" s="95" t="str">
        <f>IF(IF(D61="", "", VLOOKUP(D61,'API Data Dictionary'!C:E,3,FALSE))=0, "", IF(D61="", "", VLOOKUP(D61,'API Data Dictionary'!C:E,3,FALSE)))</f>
        <v/>
      </c>
      <c r="H61" s="95" t="str">
        <f>IF(IF(D61="", "", VLOOKUP(D61,'API Data Dictionary'!C:F,4,FALSE))=0, "", IF(D61="", "", VLOOKUP(D61,'API Data Dictionary'!C:F,4,FALSE)))</f>
        <v/>
      </c>
      <c r="I61" s="95" t="str">
        <f>IF(IF(D61="", "", VLOOKUP(D61,'API Data Dictionary'!C:G,5,FALSE))=0, "", IF(D61="", "", VLOOKUP(D61,'API Data Dictionary'!C:G,5,FALSE)))</f>
        <v/>
      </c>
    </row>
    <row r="62" spans="1:9" hidden="1">
      <c r="A62" s="97"/>
      <c r="B62" s="97"/>
      <c r="C62" s="97" t="s">
        <v>1322</v>
      </c>
      <c r="D62" s="95" t="str">
        <f t="shared" si="1"/>
        <v/>
      </c>
      <c r="E62" s="95" t="str">
        <f>IF(D62="", "", VLOOKUP(D62,'API Data Dictionary'!C:L,10,FALSE))</f>
        <v/>
      </c>
      <c r="F62" s="95" t="str">
        <f>IF(D62="", "", VLOOKUP(D62,'API Data Dictionary'!C:D,2,FALSE))</f>
        <v/>
      </c>
      <c r="G62" s="95" t="str">
        <f>IF(IF(D62="", "", VLOOKUP(D62,'API Data Dictionary'!C:E,3,FALSE))=0, "", IF(D62="", "", VLOOKUP(D62,'API Data Dictionary'!C:E,3,FALSE)))</f>
        <v/>
      </c>
      <c r="H62" s="95" t="str">
        <f>IF(IF(D62="", "", VLOOKUP(D62,'API Data Dictionary'!C:F,4,FALSE))=0, "", IF(D62="", "", VLOOKUP(D62,'API Data Dictionary'!C:F,4,FALSE)))</f>
        <v/>
      </c>
      <c r="I62" s="95" t="str">
        <f>IF(IF(D62="", "", VLOOKUP(D62,'API Data Dictionary'!C:G,5,FALSE))=0, "", IF(D62="", "", VLOOKUP(D62,'API Data Dictionary'!C:G,5,FALSE)))</f>
        <v/>
      </c>
    </row>
    <row r="63" spans="1:9" hidden="1">
      <c r="A63" s="97"/>
      <c r="B63" s="97"/>
      <c r="C63" s="97" t="s">
        <v>1223</v>
      </c>
      <c r="D63" s="95" t="str">
        <f t="shared" si="1"/>
        <v/>
      </c>
      <c r="E63" s="95" t="str">
        <f>IF(D63="", "", VLOOKUP(D63,'API Data Dictionary'!C:L,10,FALSE))</f>
        <v/>
      </c>
      <c r="F63" s="95" t="str">
        <f>IF(D63="", "", VLOOKUP(D63,'API Data Dictionary'!C:D,2,FALSE))</f>
        <v/>
      </c>
      <c r="G63" s="95" t="str">
        <f>IF(IF(D63="", "", VLOOKUP(D63,'API Data Dictionary'!C:E,3,FALSE))=0, "", IF(D63="", "", VLOOKUP(D63,'API Data Dictionary'!C:E,3,FALSE)))</f>
        <v/>
      </c>
      <c r="H63" s="95" t="str">
        <f>IF(IF(D63="", "", VLOOKUP(D63,'API Data Dictionary'!C:F,4,FALSE))=0, "", IF(D63="", "", VLOOKUP(D63,'API Data Dictionary'!C:F,4,FALSE)))</f>
        <v/>
      </c>
      <c r="I63" s="95" t="str">
        <f>IF(IF(D63="", "", VLOOKUP(D63,'API Data Dictionary'!C:G,5,FALSE))=0, "", IF(D63="", "", VLOOKUP(D63,'API Data Dictionary'!C:G,5,FALSE)))</f>
        <v/>
      </c>
    </row>
    <row r="64" spans="1:9" hidden="1">
      <c r="A64" s="97"/>
      <c r="B64" s="97"/>
      <c r="C64" s="97" t="s">
        <v>1323</v>
      </c>
      <c r="D64" s="95" t="str">
        <f t="shared" si="1"/>
        <v/>
      </c>
      <c r="E64" s="95" t="str">
        <f>IF(D64="", "", VLOOKUP(D64,'API Data Dictionary'!C:L,10,FALSE))</f>
        <v/>
      </c>
      <c r="F64" s="95" t="str">
        <f>IF(D64="", "", VLOOKUP(D64,'API Data Dictionary'!C:D,2,FALSE))</f>
        <v/>
      </c>
      <c r="G64" s="95" t="str">
        <f>IF(IF(D64="", "", VLOOKUP(D64,'API Data Dictionary'!C:E,3,FALSE))=0, "", IF(D64="", "", VLOOKUP(D64,'API Data Dictionary'!C:E,3,FALSE)))</f>
        <v/>
      </c>
      <c r="H64" s="95" t="str">
        <f>IF(IF(D64="", "", VLOOKUP(D64,'API Data Dictionary'!C:F,4,FALSE))=0, "", IF(D64="", "", VLOOKUP(D64,'API Data Dictionary'!C:F,4,FALSE)))</f>
        <v/>
      </c>
      <c r="I64" s="95" t="str">
        <f>IF(IF(D64="", "", VLOOKUP(D64,'API Data Dictionary'!C:G,5,FALSE))=0, "", IF(D64="", "", VLOOKUP(D64,'API Data Dictionary'!C:G,5,FALSE)))</f>
        <v/>
      </c>
    </row>
    <row r="65" spans="1:9" hidden="1">
      <c r="A65" s="97"/>
      <c r="B65" s="97"/>
      <c r="C65" s="97" t="s">
        <v>1324</v>
      </c>
      <c r="D65" s="95" t="str">
        <f t="shared" si="1"/>
        <v/>
      </c>
      <c r="E65" s="95" t="str">
        <f>IF(D65="", "", VLOOKUP(D65,'API Data Dictionary'!C:L,10,FALSE))</f>
        <v/>
      </c>
      <c r="F65" s="95" t="str">
        <f>IF(D65="", "", VLOOKUP(D65,'API Data Dictionary'!C:D,2,FALSE))</f>
        <v/>
      </c>
      <c r="G65" s="95" t="str">
        <f>IF(IF(D65="", "", VLOOKUP(D65,'API Data Dictionary'!C:E,3,FALSE))=0, "", IF(D65="", "", VLOOKUP(D65,'API Data Dictionary'!C:E,3,FALSE)))</f>
        <v/>
      </c>
      <c r="H65" s="95" t="str">
        <f>IF(IF(D65="", "", VLOOKUP(D65,'API Data Dictionary'!C:F,4,FALSE))=0, "", IF(D65="", "", VLOOKUP(D65,'API Data Dictionary'!C:F,4,FALSE)))</f>
        <v/>
      </c>
      <c r="I65" s="95" t="str">
        <f>IF(IF(D65="", "", VLOOKUP(D65,'API Data Dictionary'!C:G,5,FALSE))=0, "", IF(D65="", "", VLOOKUP(D65,'API Data Dictionary'!C:G,5,FALSE)))</f>
        <v/>
      </c>
    </row>
    <row r="66" spans="1:9" hidden="1">
      <c r="A66" s="97"/>
      <c r="B66" s="97"/>
      <c r="C66" s="97" t="s">
        <v>1325</v>
      </c>
      <c r="D66" s="95" t="str">
        <f t="shared" si="1"/>
        <v>houseNumber</v>
      </c>
      <c r="E66" s="95" t="str">
        <f>IF(D66="", "", VLOOKUP(D66,'API Data Dictionary'!C:L,10,FALSE))</f>
        <v>X</v>
      </c>
      <c r="F66" s="95" t="str">
        <f>IF(D66="", "", VLOOKUP(D66,'API Data Dictionary'!C:D,2,FALSE))</f>
        <v>string</v>
      </c>
      <c r="G66" s="95">
        <f>IF(IF(D66="", "", VLOOKUP(D66,'API Data Dictionary'!C:E,3,FALSE))=0, "", IF(D66="", "", VLOOKUP(D66,'API Data Dictionary'!C:E,3,FALSE)))</f>
        <v>100</v>
      </c>
      <c r="H66" s="95" t="str">
        <f>IF(IF(D66="", "", VLOOKUP(D66,'API Data Dictionary'!C:F,4,FALSE))=0, "", IF(D66="", "", VLOOKUP(D66,'API Data Dictionary'!C:F,4,FALSE)))</f>
        <v/>
      </c>
      <c r="I66" s="95" t="str">
        <f>IF(IF(D66="", "", VLOOKUP(D66,'API Data Dictionary'!C:G,5,FALSE))=0, "", IF(D66="", "", VLOOKUP(D66,'API Data Dictionary'!C:G,5,FALSE)))</f>
        <v xml:space="preserve">The number of the property </v>
      </c>
    </row>
    <row r="67" spans="1:9" hidden="1">
      <c r="A67" s="97"/>
      <c r="B67" s="97"/>
      <c r="C67" s="97" t="s">
        <v>1326</v>
      </c>
      <c r="D67" s="95" t="str">
        <f t="shared" si="1"/>
        <v>houseName</v>
      </c>
      <c r="E67" s="95" t="str">
        <f>IF(D67="", "", VLOOKUP(D67,'API Data Dictionary'!C:L,10,FALSE))</f>
        <v>X</v>
      </c>
      <c r="F67" s="95" t="str">
        <f>IF(D67="", "", VLOOKUP(D67,'API Data Dictionary'!C:D,2,FALSE))</f>
        <v>string</v>
      </c>
      <c r="G67" s="95">
        <f>IF(IF(D67="", "", VLOOKUP(D67,'API Data Dictionary'!C:E,3,FALSE))=0, "", IF(D67="", "", VLOOKUP(D67,'API Data Dictionary'!C:E,3,FALSE)))</f>
        <v>100</v>
      </c>
      <c r="H67" s="95" t="str">
        <f>IF(IF(D67="", "", VLOOKUP(D67,'API Data Dictionary'!C:F,4,FALSE))=0, "", IF(D67="", "", VLOOKUP(D67,'API Data Dictionary'!C:F,4,FALSE)))</f>
        <v/>
      </c>
      <c r="I67" s="95" t="str">
        <f>IF(IF(D67="", "", VLOOKUP(D67,'API Data Dictionary'!C:G,5,FALSE))=0, "", IF(D67="", "", VLOOKUP(D67,'API Data Dictionary'!C:G,5,FALSE)))</f>
        <v>The name of the property</v>
      </c>
    </row>
    <row r="68" spans="1:9" hidden="1">
      <c r="A68" s="97"/>
      <c r="B68" s="97"/>
      <c r="C68" s="97" t="s">
        <v>1327</v>
      </c>
      <c r="D68" s="95" t="str">
        <f t="shared" si="1"/>
        <v>addressLine1</v>
      </c>
      <c r="E68" s="95" t="str">
        <f>IF(D68="", "", VLOOKUP(D68,'API Data Dictionary'!C:L,10,FALSE))</f>
        <v>M</v>
      </c>
      <c r="F68" s="95" t="str">
        <f>IF(D68="", "", VLOOKUP(D68,'API Data Dictionary'!C:D,2,FALSE))</f>
        <v>string</v>
      </c>
      <c r="G68" s="95">
        <f>IF(IF(D68="", "", VLOOKUP(D68,'API Data Dictionary'!C:E,3,FALSE))=0, "", IF(D68="", "", VLOOKUP(D68,'API Data Dictionary'!C:E,3,FALSE)))</f>
        <v>100</v>
      </c>
      <c r="H68" s="95" t="str">
        <f>IF(IF(D68="", "", VLOOKUP(D68,'API Data Dictionary'!C:F,4,FALSE))=0, "", IF(D68="", "", VLOOKUP(D68,'API Data Dictionary'!C:F,4,FALSE)))</f>
        <v/>
      </c>
      <c r="I68" s="95" t="str">
        <f>IF(IF(D68="", "", VLOOKUP(D68,'API Data Dictionary'!C:G,5,FALSE))=0, "", IF(D68="", "", VLOOKUP(D68,'API Data Dictionary'!C:G,5,FALSE)))</f>
        <v>The first line of the property address</v>
      </c>
    </row>
    <row r="69" spans="1:9" hidden="1">
      <c r="A69" s="97"/>
      <c r="B69" s="97"/>
      <c r="C69" s="97" t="s">
        <v>1328</v>
      </c>
      <c r="D69" s="95" t="str">
        <f t="shared" si="1"/>
        <v>addressLine2</v>
      </c>
      <c r="E69" s="95" t="str">
        <f>IF(D69="", "", VLOOKUP(D69,'API Data Dictionary'!C:L,10,FALSE))</f>
        <v>x</v>
      </c>
      <c r="F69" s="95" t="str">
        <f>IF(D69="", "", VLOOKUP(D69,'API Data Dictionary'!C:D,2,FALSE))</f>
        <v>string</v>
      </c>
      <c r="G69" s="95">
        <f>IF(IF(D69="", "", VLOOKUP(D69,'API Data Dictionary'!C:E,3,FALSE))=0, "", IF(D69="", "", VLOOKUP(D69,'API Data Dictionary'!C:E,3,FALSE)))</f>
        <v>100</v>
      </c>
      <c r="H69" s="95" t="str">
        <f>IF(IF(D69="", "", VLOOKUP(D69,'API Data Dictionary'!C:F,4,FALSE))=0, "", IF(D69="", "", VLOOKUP(D69,'API Data Dictionary'!C:F,4,FALSE)))</f>
        <v/>
      </c>
      <c r="I69" s="95" t="str">
        <f>IF(IF(D69="", "", VLOOKUP(D69,'API Data Dictionary'!C:G,5,FALSE))=0, "", IF(D69="", "", VLOOKUP(D69,'API Data Dictionary'!C:G,5,FALSE)))</f>
        <v>The second line of the property address</v>
      </c>
    </row>
    <row r="70" spans="1:9" hidden="1">
      <c r="A70" s="97"/>
      <c r="B70" s="97"/>
      <c r="C70" s="97" t="s">
        <v>1329</v>
      </c>
      <c r="D70" s="95" t="str">
        <f t="shared" si="1"/>
        <v>town</v>
      </c>
      <c r="E70" s="95" t="str">
        <f>IF(D70="", "", VLOOKUP(D70,'API Data Dictionary'!C:L,10,FALSE))</f>
        <v>M</v>
      </c>
      <c r="F70" s="95" t="str">
        <f>IF(D70="", "", VLOOKUP(D70,'API Data Dictionary'!C:D,2,FALSE))</f>
        <v>string</v>
      </c>
      <c r="G70" s="95">
        <f>IF(IF(D70="", "", VLOOKUP(D70,'API Data Dictionary'!C:E,3,FALSE))=0, "", IF(D70="", "", VLOOKUP(D70,'API Data Dictionary'!C:E,3,FALSE)))</f>
        <v>50</v>
      </c>
      <c r="H70" s="95" t="str">
        <f>IF(IF(D70="", "", VLOOKUP(D70,'API Data Dictionary'!C:F,4,FALSE))=0, "", IF(D70="", "", VLOOKUP(D70,'API Data Dictionary'!C:F,4,FALSE)))</f>
        <v/>
      </c>
      <c r="I70" s="95" t="str">
        <f>IF(IF(D70="", "", VLOOKUP(D70,'API Data Dictionary'!C:G,5,FALSE))=0, "", IF(D70="", "", VLOOKUP(D70,'API Data Dictionary'!C:G,5,FALSE)))</f>
        <v>The town in which the property exists</v>
      </c>
    </row>
    <row r="71" spans="1:9" hidden="1">
      <c r="A71" s="97"/>
      <c r="B71" s="97"/>
      <c r="C71" s="97" t="s">
        <v>1330</v>
      </c>
      <c r="D71" s="95" t="str">
        <f t="shared" si="1"/>
        <v>postcode</v>
      </c>
      <c r="E71" s="95" t="str">
        <f>IF(D71="", "", VLOOKUP(D71,'API Data Dictionary'!C:L,10,FALSE))</f>
        <v>M</v>
      </c>
      <c r="F71" s="95" t="str">
        <f>IF(D71="", "", VLOOKUP(D71,'API Data Dictionary'!C:D,2,FALSE))</f>
        <v>string</v>
      </c>
      <c r="G71" s="95">
        <f>IF(IF(D71="", "", VLOOKUP(D71,'API Data Dictionary'!C:E,3,FALSE))=0, "", IF(D71="", "", VLOOKUP(D71,'API Data Dictionary'!C:E,3,FALSE)))</f>
        <v>50</v>
      </c>
      <c r="H71" s="95" t="str">
        <f>IF(IF(D71="", "", VLOOKUP(D71,'API Data Dictionary'!C:F,4,FALSE))=0, "", IF(D71="", "", VLOOKUP(D71,'API Data Dictionary'!C:F,4,FALSE)))</f>
        <v/>
      </c>
      <c r="I71" s="95" t="str">
        <f>IF(IF(D71="", "", VLOOKUP(D71,'API Data Dictionary'!C:G,5,FALSE))=0, "", IF(D71="", "", VLOOKUP(D71,'API Data Dictionary'!C:G,5,FALSE)))</f>
        <v>the postcode of the property</v>
      </c>
    </row>
    <row r="72" spans="1:9" hidden="1">
      <c r="A72" s="97"/>
      <c r="B72" s="97"/>
      <c r="C72" s="97" t="s">
        <v>1331</v>
      </c>
      <c r="D72" s="95" t="str">
        <f t="shared" si="1"/>
        <v>country</v>
      </c>
      <c r="E72" s="95" t="s">
        <v>139</v>
      </c>
      <c r="F72" s="95" t="str">
        <f>IF(D72="", "", VLOOKUP(D72,'API Data Dictionary'!C:D,2,FALSE))</f>
        <v>enum -Country/Location Code</v>
      </c>
      <c r="G72" s="95" t="str">
        <f>IF(IF(D72="", "", VLOOKUP(D72,'API Data Dictionary'!C:E,3,FALSE))=0, "", IF(D72="", "", VLOOKUP(D72,'API Data Dictionary'!C:E,3,FALSE)))</f>
        <v/>
      </c>
      <c r="H72" s="95" t="str">
        <f>IF(IF(D72="", "", VLOOKUP(D72,'API Data Dictionary'!C:F,4,FALSE))=0, "", IF(D72="", "", VLOOKUP(D72,'API Data Dictionary'!C:F,4,FALSE)))</f>
        <v>Valid Values 1-239 (See enum definition)</v>
      </c>
      <c r="I72" s="95" t="str">
        <f>IF(IF(D72="", "", VLOOKUP(D72,'API Data Dictionary'!C:G,5,FALSE))=0, "", IF(D72="", "", VLOOKUP(D72,'API Data Dictionary'!C:G,5,FALSE)))</f>
        <v>The Country code from the enum list, e.g. France</v>
      </c>
    </row>
    <row r="73" spans="1:9" hidden="1">
      <c r="A73" s="97"/>
      <c r="B73" s="97"/>
      <c r="C73" s="97" t="s">
        <v>1332</v>
      </c>
      <c r="D73" s="95" t="str">
        <f t="shared" si="1"/>
        <v>isUKAddress</v>
      </c>
      <c r="E73" s="95" t="s">
        <v>139</v>
      </c>
      <c r="F73" s="95" t="str">
        <f>IF(D73="", "", VLOOKUP(D73,'API Data Dictionary'!C:D,2,FALSE))</f>
        <v>boolean</v>
      </c>
      <c r="G73" s="95" t="str">
        <f>IF(IF(D73="", "", VLOOKUP(D73,'API Data Dictionary'!C:E,3,FALSE))=0, "", IF(D73="", "", VLOOKUP(D73,'API Data Dictionary'!C:E,3,FALSE)))</f>
        <v/>
      </c>
      <c r="H73" s="95" t="str">
        <f>IF(IF(D73="", "", VLOOKUP(D73,'API Data Dictionary'!C:F,4,FALSE))=0, "", IF(D73="", "", VLOOKUP(D73,'API Data Dictionary'!C:F,4,FALSE)))</f>
        <v/>
      </c>
      <c r="I73" s="95" t="str">
        <f>IF(IF(D73="", "", VLOOKUP(D73,'API Data Dictionary'!C:G,5,FALSE))=0, "", IF(D73="", "", VLOOKUP(D73,'API Data Dictionary'!C:G,5,FALSE)))</f>
        <v>Denotes if the address is in the UK</v>
      </c>
    </row>
    <row r="74" spans="1:9" hidden="1">
      <c r="A74" s="97"/>
      <c r="B74" s="97"/>
      <c r="C74" s="97" t="s">
        <v>1333</v>
      </c>
      <c r="D74" s="95" t="str">
        <f t="shared" si="1"/>
        <v>addressTypeId</v>
      </c>
      <c r="E74" s="95" t="s">
        <v>139</v>
      </c>
      <c r="F74" s="95" t="str">
        <f>IF(D74="", "", VLOOKUP(D74,'API Data Dictionary'!C:D,2,FALSE))</f>
        <v>enum - address Type</v>
      </c>
      <c r="G74" s="95" t="str">
        <f>IF(IF(D74="", "", VLOOKUP(D74,'API Data Dictionary'!C:E,3,FALSE))=0, "", IF(D74="", "", VLOOKUP(D74,'API Data Dictionary'!C:E,3,FALSE)))</f>
        <v/>
      </c>
      <c r="H74" s="95" t="str">
        <f>IF(IF(D74="", "", VLOOKUP(D74,'API Data Dictionary'!C:F,4,FALSE))=0, "", IF(D74="", "", VLOOKUP(D74,'API Data Dictionary'!C:F,4,FALSE)))</f>
        <v>Valid Values 1-2 (See enum definition)</v>
      </c>
      <c r="I74" s="95" t="str">
        <f>IF(IF(D74="", "", VLOOKUP(D74,'API Data Dictionary'!C:G,5,FALSE))=0, "", IF(D74="", "", VLOOKUP(D74,'API Data Dictionary'!C:G,5,FALSE)))</f>
        <v>Whether the address is current or previous, chosen from enum list</v>
      </c>
    </row>
    <row r="75" spans="1:9" hidden="1">
      <c r="A75" s="97"/>
      <c r="B75" s="97"/>
      <c r="C75" s="97" t="s">
        <v>1334</v>
      </c>
      <c r="D75" s="95" t="str">
        <f t="shared" si="1"/>
        <v>monthMovedIn</v>
      </c>
      <c r="E75" s="95" t="s">
        <v>139</v>
      </c>
      <c r="F75" s="95" t="str">
        <f>IF(D75="", "", VLOOKUP(D75,'API Data Dictionary'!C:D,2,FALSE))</f>
        <v>enum - month</v>
      </c>
      <c r="G75" s="95" t="str">
        <f>IF(IF(D75="", "", VLOOKUP(D75,'API Data Dictionary'!C:E,3,FALSE))=0, "", IF(D75="", "", VLOOKUP(D75,'API Data Dictionary'!C:E,3,FALSE)))</f>
        <v/>
      </c>
      <c r="H75" s="95" t="str">
        <f>IF(IF(D75="", "", VLOOKUP(D75,'API Data Dictionary'!C:F,4,FALSE))=0, "", IF(D75="", "", VLOOKUP(D75,'API Data Dictionary'!C:F,4,FALSE)))</f>
        <v>Valid Values 1-12 (Jan - Dec)</v>
      </c>
      <c r="I75" s="95" t="str">
        <f>IF(IF(D75="", "", VLOOKUP(D75,'API Data Dictionary'!C:G,5,FALSE))=0, "", IF(D75="", "", VLOOKUP(D75,'API Data Dictionary'!C:G,5,FALSE)))</f>
        <v>Month the property was moved into, chosen from enum list</v>
      </c>
    </row>
    <row r="76" spans="1:9" hidden="1">
      <c r="A76" s="97"/>
      <c r="B76" s="97"/>
      <c r="C76" s="97" t="s">
        <v>1335</v>
      </c>
      <c r="D76" s="95" t="str">
        <f t="shared" si="1"/>
        <v>yearMovedIn</v>
      </c>
      <c r="E76" s="95" t="s">
        <v>139</v>
      </c>
      <c r="F76" s="95" t="str">
        <f>IF(D76="", "", VLOOKUP(D76,'API Data Dictionary'!C:D,2,FALSE))</f>
        <v>integer</v>
      </c>
      <c r="G76" s="95">
        <f>IF(IF(D76="", "", VLOOKUP(D76,'API Data Dictionary'!C:E,3,FALSE))=0, "", IF(D76="", "", VLOOKUP(D76,'API Data Dictionary'!C:E,3,FALSE)))</f>
        <v>4</v>
      </c>
      <c r="H76" s="95" t="str">
        <f>IF(IF(D76="", "", VLOOKUP(D76,'API Data Dictionary'!C:F,4,FALSE))=0, "", IF(D76="", "", VLOOKUP(D76,'API Data Dictionary'!C:F,4,FALSE)))</f>
        <v>Valid Values 1900 - Current Year</v>
      </c>
      <c r="I76" s="95" t="str">
        <f>IF(IF(D76="", "", VLOOKUP(D76,'API Data Dictionary'!C:G,5,FALSE))=0, "", IF(D76="", "", VLOOKUP(D76,'API Data Dictionary'!C:G,5,FALSE)))</f>
        <v>Year the property was moved into, formatted YYYY</v>
      </c>
    </row>
    <row r="77" spans="1:9" hidden="1">
      <c r="A77" s="97"/>
      <c r="B77" s="97"/>
      <c r="C77" s="97" t="s">
        <v>1336</v>
      </c>
      <c r="D77" s="95" t="str">
        <f t="shared" si="1"/>
        <v/>
      </c>
      <c r="E77" s="95" t="str">
        <f>IF(D77="", "", VLOOKUP(D77,'API Data Dictionary'!C:L,10,FALSE))</f>
        <v/>
      </c>
      <c r="F77" s="95" t="str">
        <f>IF(D77="", "", VLOOKUP(D77,'API Data Dictionary'!C:D,2,FALSE))</f>
        <v/>
      </c>
      <c r="G77" s="95" t="str">
        <f>IF(IF(D77="", "", VLOOKUP(D77,'API Data Dictionary'!C:E,3,FALSE))=0, "", IF(D77="", "", VLOOKUP(D77,'API Data Dictionary'!C:E,3,FALSE)))</f>
        <v/>
      </c>
      <c r="H77" s="95" t="str">
        <f>IF(IF(D77="", "", VLOOKUP(D77,'API Data Dictionary'!C:F,4,FALSE))=0, "", IF(D77="", "", VLOOKUP(D77,'API Data Dictionary'!C:F,4,FALSE)))</f>
        <v/>
      </c>
      <c r="I77" s="95" t="str">
        <f>IF(IF(D77="", "", VLOOKUP(D77,'API Data Dictionary'!C:G,5,FALSE))=0, "", IF(D77="", "", VLOOKUP(D77,'API Data Dictionary'!C:G,5,FALSE)))</f>
        <v/>
      </c>
    </row>
    <row r="78" spans="1:9" hidden="1">
      <c r="A78" s="97"/>
      <c r="B78" s="97"/>
      <c r="C78" s="97" t="s">
        <v>1337</v>
      </c>
      <c r="D78" s="95" t="str">
        <f t="shared" si="1"/>
        <v/>
      </c>
      <c r="E78" s="95" t="str">
        <f>IF(D78="", "", VLOOKUP(D78,'API Data Dictionary'!C:L,10,FALSE))</f>
        <v/>
      </c>
      <c r="F78" s="95" t="str">
        <f>IF(D78="", "", VLOOKUP(D78,'API Data Dictionary'!C:D,2,FALSE))</f>
        <v/>
      </c>
      <c r="G78" s="95" t="str">
        <f>IF(IF(D78="", "", VLOOKUP(D78,'API Data Dictionary'!C:E,3,FALSE))=0, "", IF(D78="", "", VLOOKUP(D78,'API Data Dictionary'!C:E,3,FALSE)))</f>
        <v/>
      </c>
      <c r="H78" s="95" t="str">
        <f>IF(IF(D78="", "", VLOOKUP(D78,'API Data Dictionary'!C:F,4,FALSE))=0, "", IF(D78="", "", VLOOKUP(D78,'API Data Dictionary'!C:F,4,FALSE)))</f>
        <v/>
      </c>
      <c r="I78" s="95" t="str">
        <f>IF(IF(D78="", "", VLOOKUP(D78,'API Data Dictionary'!C:G,5,FALSE))=0, "", IF(D78="", "", VLOOKUP(D78,'API Data Dictionary'!C:G,5,FALSE)))</f>
        <v/>
      </c>
    </row>
    <row r="79" spans="1:9" hidden="1">
      <c r="A79" s="97"/>
      <c r="B79" s="97"/>
      <c r="C79" s="97" t="s">
        <v>1338</v>
      </c>
      <c r="D79" s="95" t="str">
        <f t="shared" si="1"/>
        <v/>
      </c>
      <c r="E79" s="95" t="str">
        <f>IF(D79="", "", VLOOKUP(D79,'API Data Dictionary'!C:L,10,FALSE))</f>
        <v/>
      </c>
      <c r="F79" s="95" t="str">
        <f>IF(D79="", "", VLOOKUP(D79,'API Data Dictionary'!C:D,2,FALSE))</f>
        <v/>
      </c>
      <c r="G79" s="95" t="str">
        <f>IF(IF(D79="", "", VLOOKUP(D79,'API Data Dictionary'!C:E,3,FALSE))=0, "", IF(D79="", "", VLOOKUP(D79,'API Data Dictionary'!C:E,3,FALSE)))</f>
        <v/>
      </c>
      <c r="H79" s="95" t="str">
        <f>IF(IF(D79="", "", VLOOKUP(D79,'API Data Dictionary'!C:F,4,FALSE))=0, "", IF(D79="", "", VLOOKUP(D79,'API Data Dictionary'!C:F,4,FALSE)))</f>
        <v/>
      </c>
      <c r="I79" s="95" t="str">
        <f>IF(IF(D79="", "", VLOOKUP(D79,'API Data Dictionary'!C:G,5,FALSE))=0, "", IF(D79="", "", VLOOKUP(D79,'API Data Dictionary'!C:G,5,FALSE)))</f>
        <v/>
      </c>
    </row>
    <row r="80" spans="1:9" hidden="1">
      <c r="A80" s="97"/>
      <c r="B80" s="97"/>
      <c r="C80" s="97" t="s">
        <v>1339</v>
      </c>
      <c r="D80" s="95" t="str">
        <f t="shared" si="1"/>
        <v>currentResidentialStatus</v>
      </c>
      <c r="E80" s="95" t="s">
        <v>139</v>
      </c>
      <c r="F80" s="95" t="str">
        <f>IF(D80="", "", VLOOKUP(D80,'API Data Dictionary'!C:D,2,FALSE))</f>
        <v>enum - residentStatus</v>
      </c>
      <c r="G80" s="95" t="str">
        <f>IF(IF(D80="", "", VLOOKUP(D80,'API Data Dictionary'!C:E,3,FALSE))=0, "", IF(D80="", "", VLOOKUP(D80,'API Data Dictionary'!C:E,3,FALSE)))</f>
        <v/>
      </c>
      <c r="H80" s="95" t="str">
        <f>IF(IF(D80="", "", VLOOKUP(D80,'API Data Dictionary'!C:F,4,FALSE))=0, "", IF(D80="", "", VLOOKUP(D80,'API Data Dictionary'!C:F,4,FALSE)))</f>
        <v>Valid Values 1-3 (See enum definition)</v>
      </c>
      <c r="I80" s="95" t="str">
        <f>IF(IF(D80="", "", VLOOKUP(D80,'API Data Dictionary'!C:G,5,FALSE))=0, "", IF(D80="", "", VLOOKUP(D80,'API Data Dictionary'!C:G,5,FALSE)))</f>
        <v>The current residential status, e.g. UK Resident</v>
      </c>
    </row>
    <row r="81" spans="1:9" hidden="1">
      <c r="A81" s="97"/>
      <c r="B81" s="97"/>
      <c r="C81" s="97" t="s">
        <v>1340</v>
      </c>
      <c r="D81" s="95" t="str">
        <f t="shared" si="1"/>
        <v>currentRentAmount</v>
      </c>
      <c r="E81" s="95" t="s">
        <v>139</v>
      </c>
      <c r="F81" s="95" t="str">
        <f>IF(D81="", "", VLOOKUP(D81,'API Data Dictionary'!C:D,2,FALSE))</f>
        <v>number (double)</v>
      </c>
      <c r="G81" s="95" t="str">
        <f>IF(IF(D81="", "", VLOOKUP(D81,'API Data Dictionary'!C:E,3,FALSE))=0, "", IF(D81="", "", VLOOKUP(D81,'API Data Dictionary'!C:E,3,FALSE)))</f>
        <v/>
      </c>
      <c r="H81" s="95" t="str">
        <f>IF(IF(D81="", "", VLOOKUP(D81,'API Data Dictionary'!C:F,4,FALSE))=0, "", IF(D81="", "", VLOOKUP(D81,'API Data Dictionary'!C:F,4,FALSE)))</f>
        <v>pattern: ^\d*.\d{0,2}$</v>
      </c>
      <c r="I81" s="95" t="str">
        <f>IF(IF(D81="", "", VLOOKUP(D81,'API Data Dictionary'!C:G,5,FALSE))=0, "", IF(D81="", "", VLOOKUP(D81,'API Data Dictionary'!C:G,5,FALSE)))</f>
        <v>The current rent amount in GBP</v>
      </c>
    </row>
    <row r="82" spans="1:9" hidden="1">
      <c r="A82" s="97"/>
      <c r="B82" s="97"/>
      <c r="C82" s="97" t="s">
        <v>1341</v>
      </c>
      <c r="D82" s="95" t="str">
        <f t="shared" si="1"/>
        <v>landlordName</v>
      </c>
      <c r="E82" s="95" t="s">
        <v>139</v>
      </c>
      <c r="F82" s="95" t="str">
        <f>IF(D82="", "", VLOOKUP(D82,'API Data Dictionary'!C:D,2,FALSE))</f>
        <v>string</v>
      </c>
      <c r="G82" s="95">
        <f>IF(IF(D82="", "", VLOOKUP(D82,'API Data Dictionary'!C:E,3,FALSE))=0, "", IF(D82="", "", VLOOKUP(D82,'API Data Dictionary'!C:E,3,FALSE)))</f>
        <v>500</v>
      </c>
      <c r="H82" s="95" t="str">
        <f>IF(IF(D82="", "", VLOOKUP(D82,'API Data Dictionary'!C:F,4,FALSE))=0, "", IF(D82="", "", VLOOKUP(D82,'API Data Dictionary'!C:F,4,FALSE)))</f>
        <v/>
      </c>
      <c r="I82" s="95" t="str">
        <f>IF(IF(D82="", "", VLOOKUP(D82,'API Data Dictionary'!C:G,5,FALSE))=0, "", IF(D82="", "", VLOOKUP(D82,'API Data Dictionary'!C:G,5,FALSE)))</f>
        <v>Full name of the Landlord</v>
      </c>
    </row>
    <row r="83" spans="1:9" hidden="1">
      <c r="A83" s="97"/>
      <c r="B83" s="97"/>
      <c r="C83" s="97" t="s">
        <v>1342</v>
      </c>
      <c r="D83" s="95" t="str">
        <f t="shared" si="1"/>
        <v>landlordContactCountryId</v>
      </c>
      <c r="E83" s="95" t="s">
        <v>139</v>
      </c>
      <c r="F83" s="95" t="str">
        <f>IF(D83="", "", VLOOKUP(D83,'API Data Dictionary'!C:D,2,FALSE))</f>
        <v>enum -Country/Location Code</v>
      </c>
      <c r="G83" s="95" t="str">
        <f>IF(IF(D83="", "", VLOOKUP(D83,'API Data Dictionary'!C:E,3,FALSE))=0, "", IF(D83="", "", VLOOKUP(D83,'API Data Dictionary'!C:E,3,FALSE)))</f>
        <v/>
      </c>
      <c r="H83" s="95" t="str">
        <f>IF(IF(D83="", "", VLOOKUP(D83,'API Data Dictionary'!C:F,4,FALSE))=0, "", IF(D83="", "", VLOOKUP(D83,'API Data Dictionary'!C:F,4,FALSE)))</f>
        <v>Valid Values 1-239 (See enum definition)</v>
      </c>
      <c r="I83" s="95" t="str">
        <f>IF(IF(D83="", "", VLOOKUP(D83,'API Data Dictionary'!C:G,5,FALSE))=0, "", IF(D83="", "", VLOOKUP(D83,'API Data Dictionary'!C:G,5,FALSE)))</f>
        <v>The country/location code of the landlord contact phone number</v>
      </c>
    </row>
    <row r="84" spans="1:9" hidden="1">
      <c r="A84" s="97"/>
      <c r="B84" s="97"/>
      <c r="C84" s="97" t="s">
        <v>1343</v>
      </c>
      <c r="D84" s="95" t="str">
        <f t="shared" si="1"/>
        <v>landlordContactNumber</v>
      </c>
      <c r="E84" s="95" t="s">
        <v>139</v>
      </c>
      <c r="F84" s="95" t="str">
        <f>IF(D84="", "", VLOOKUP(D84,'API Data Dictionary'!C:D,2,FALSE))</f>
        <v>string</v>
      </c>
      <c r="G84" s="95">
        <f>IF(IF(D84="", "", VLOOKUP(D84,'API Data Dictionary'!C:E,3,FALSE))=0, "", IF(D84="", "", VLOOKUP(D84,'API Data Dictionary'!C:E,3,FALSE)))</f>
        <v>15</v>
      </c>
      <c r="H84" s="95" t="str">
        <f>IF(IF(D84="", "", VLOOKUP(D84,'API Data Dictionary'!C:F,4,FALSE))=0, "", IF(D84="", "", VLOOKUP(D84,'API Data Dictionary'!C:F,4,FALSE)))</f>
        <v>pattern: ^(\d{11})$</v>
      </c>
      <c r="I84" s="95" t="str">
        <f>IF(IF(D84="", "", VLOOKUP(D84,'API Data Dictionary'!C:G,5,FALSE))=0, "", IF(D84="", "", VLOOKUP(D84,'API Data Dictionary'!C:G,5,FALSE)))</f>
        <v>The Landlords contact Telephone number</v>
      </c>
    </row>
    <row r="85" spans="1:9" hidden="1">
      <c r="A85" s="97"/>
      <c r="B85" s="97"/>
      <c r="C85" s="97" t="s">
        <v>1344</v>
      </c>
      <c r="D85" s="95" t="str">
        <f t="shared" si="1"/>
        <v>landlordMobileCountryId</v>
      </c>
      <c r="E85" s="95" t="s">
        <v>139</v>
      </c>
      <c r="F85" s="95" t="str">
        <f>IF(D85="", "", VLOOKUP(D85,'API Data Dictionary'!C:D,2,FALSE))</f>
        <v>enum -Country/Location Code</v>
      </c>
      <c r="G85" s="95" t="str">
        <f>IF(IF(D85="", "", VLOOKUP(D85,'API Data Dictionary'!C:E,3,FALSE))=0, "", IF(D85="", "", VLOOKUP(D85,'API Data Dictionary'!C:E,3,FALSE)))</f>
        <v/>
      </c>
      <c r="H85" s="95" t="str">
        <f>IF(IF(D85="", "", VLOOKUP(D85,'API Data Dictionary'!C:F,4,FALSE))=0, "", IF(D85="", "", VLOOKUP(D85,'API Data Dictionary'!C:F,4,FALSE)))</f>
        <v>Valid Values 1-239 (See enum definition)</v>
      </c>
      <c r="I85" s="95" t="str">
        <f>IF(IF(D85="", "", VLOOKUP(D85,'API Data Dictionary'!C:G,5,FALSE))=0, "", IF(D85="", "", VLOOKUP(D85,'API Data Dictionary'!C:G,5,FALSE)))</f>
        <v>The country/location code of the landlord mobile phone number</v>
      </c>
    </row>
    <row r="86" spans="1:9" hidden="1">
      <c r="A86" s="97"/>
      <c r="B86" s="97"/>
      <c r="C86" s="97" t="s">
        <v>1345</v>
      </c>
      <c r="D86" s="95" t="str">
        <f t="shared" si="1"/>
        <v>landlordMobileNumber</v>
      </c>
      <c r="E86" s="95" t="s">
        <v>139</v>
      </c>
      <c r="F86" s="95" t="str">
        <f>IF(D86="", "", VLOOKUP(D86,'API Data Dictionary'!C:D,2,FALSE))</f>
        <v>string</v>
      </c>
      <c r="G86" s="95">
        <f>IF(IF(D86="", "", VLOOKUP(D86,'API Data Dictionary'!C:E,3,FALSE))=0, "", IF(D86="", "", VLOOKUP(D86,'API Data Dictionary'!C:E,3,FALSE)))</f>
        <v>15</v>
      </c>
      <c r="H86" s="95" t="str">
        <f>IF(IF(D86="", "", VLOOKUP(D86,'API Data Dictionary'!C:F,4,FALSE))=0, "", IF(D86="", "", VLOOKUP(D86,'API Data Dictionary'!C:F,4,FALSE)))</f>
        <v>pattern: ^(\d{11})$</v>
      </c>
      <c r="I86" s="95" t="str">
        <f>IF(IF(D86="", "", VLOOKUP(D86,'API Data Dictionary'!C:G,5,FALSE))=0, "", IF(D86="", "", VLOOKUP(D86,'API Data Dictionary'!C:G,5,FALSE)))</f>
        <v>the landlords mobile Telephone number</v>
      </c>
    </row>
    <row r="87" spans="1:9" hidden="1">
      <c r="A87" s="97"/>
      <c r="B87" s="97"/>
      <c r="C87" s="97" t="s">
        <v>1346</v>
      </c>
      <c r="D87" s="95" t="str">
        <f t="shared" si="1"/>
        <v>landlordEmail</v>
      </c>
      <c r="E87" s="95" t="s">
        <v>139</v>
      </c>
      <c r="F87" s="95" t="str">
        <f>IF(D87="", "", VLOOKUP(D87,'API Data Dictionary'!C:D,2,FALSE))</f>
        <v>string ($email)</v>
      </c>
      <c r="G87" s="95">
        <f>IF(IF(D87="", "", VLOOKUP(D87,'API Data Dictionary'!C:E,3,FALSE))=0, "", IF(D87="", "", VLOOKUP(D87,'API Data Dictionary'!C:E,3,FALSE)))</f>
        <v>200</v>
      </c>
      <c r="H87" s="95" t="str">
        <f>IF(IF(D87="", "", VLOOKUP(D87,'API Data Dictionary'!C:F,4,FALSE))=0, "", IF(D87="", "", VLOOKUP(D87,'API Data Dictionary'!C:F,4,FALSE)))</f>
        <v>pattern: ^(?!.*\.\.)(?!.*\\_\\_)(?!.*\-\-)[a-zA-Z0-9][-a-zA-Z0-9._]+[a-zA-Z0-9]@([-a-zA-Z0-9]+.)+[a-zA-Z]{2,5}$</v>
      </c>
      <c r="I87" s="95" t="str">
        <f>IF(IF(D87="", "", VLOOKUP(D87,'API Data Dictionary'!C:G,5,FALSE))=0, "", IF(D87="", "", VLOOKUP(D87,'API Data Dictionary'!C:G,5,FALSE)))</f>
        <v>The landlords email address</v>
      </c>
    </row>
    <row r="88" spans="1:9" hidden="1">
      <c r="A88" s="97"/>
      <c r="B88" s="97"/>
      <c r="C88" s="97" t="s">
        <v>1347</v>
      </c>
      <c r="D88" s="95" t="str">
        <f t="shared" si="1"/>
        <v/>
      </c>
      <c r="E88" s="95" t="str">
        <f>IF(D88="", "", VLOOKUP(D88,'API Data Dictionary'!C:L,10,FALSE))</f>
        <v/>
      </c>
      <c r="F88" s="95" t="str">
        <f>IF(D88="", "", VLOOKUP(D88,'API Data Dictionary'!C:D,2,FALSE))</f>
        <v/>
      </c>
      <c r="G88" s="95" t="str">
        <f>IF(IF(D88="", "", VLOOKUP(D88,'API Data Dictionary'!C:E,3,FALSE))=0, "", IF(D88="", "", VLOOKUP(D88,'API Data Dictionary'!C:E,3,FALSE)))</f>
        <v/>
      </c>
      <c r="H88" s="95" t="str">
        <f>IF(IF(D88="", "", VLOOKUP(D88,'API Data Dictionary'!C:F,4,FALSE))=0, "", IF(D88="", "", VLOOKUP(D88,'API Data Dictionary'!C:F,4,FALSE)))</f>
        <v/>
      </c>
      <c r="I88" s="95" t="str">
        <f>IF(IF(D88="", "", VLOOKUP(D88,'API Data Dictionary'!C:G,5,FALSE))=0, "", IF(D88="", "", VLOOKUP(D88,'API Data Dictionary'!C:G,5,FALSE)))</f>
        <v/>
      </c>
    </row>
    <row r="89" spans="1:9" hidden="1">
      <c r="A89" s="97"/>
      <c r="B89" s="97"/>
      <c r="C89" s="97" t="s">
        <v>1325</v>
      </c>
      <c r="D89" s="95" t="str">
        <f t="shared" si="1"/>
        <v>houseNumber</v>
      </c>
      <c r="E89" s="95" t="str">
        <f>IF(D89="", "", VLOOKUP(D89,'API Data Dictionary'!C:L,10,FALSE))</f>
        <v>X</v>
      </c>
      <c r="F89" s="95" t="str">
        <f>IF(D89="", "", VLOOKUP(D89,'API Data Dictionary'!C:D,2,FALSE))</f>
        <v>string</v>
      </c>
      <c r="G89" s="95">
        <f>IF(IF(D89="", "", VLOOKUP(D89,'API Data Dictionary'!C:E,3,FALSE))=0, "", IF(D89="", "", VLOOKUP(D89,'API Data Dictionary'!C:E,3,FALSE)))</f>
        <v>100</v>
      </c>
      <c r="H89" s="95" t="str">
        <f>IF(IF(D89="", "", VLOOKUP(D89,'API Data Dictionary'!C:F,4,FALSE))=0, "", IF(D89="", "", VLOOKUP(D89,'API Data Dictionary'!C:F,4,FALSE)))</f>
        <v/>
      </c>
      <c r="I89" s="95" t="str">
        <f>IF(IF(D89="", "", VLOOKUP(D89,'API Data Dictionary'!C:G,5,FALSE))=0, "", IF(D89="", "", VLOOKUP(D89,'API Data Dictionary'!C:G,5,FALSE)))</f>
        <v xml:space="preserve">The number of the property </v>
      </c>
    </row>
    <row r="90" spans="1:9" hidden="1">
      <c r="A90" s="97"/>
      <c r="B90" s="97"/>
      <c r="C90" s="97" t="s">
        <v>1326</v>
      </c>
      <c r="D90" s="95" t="str">
        <f t="shared" si="1"/>
        <v>houseName</v>
      </c>
      <c r="E90" s="95" t="str">
        <f>IF(D90="", "", VLOOKUP(D90,'API Data Dictionary'!C:L,10,FALSE))</f>
        <v>X</v>
      </c>
      <c r="F90" s="95" t="str">
        <f>IF(D90="", "", VLOOKUP(D90,'API Data Dictionary'!C:D,2,FALSE))</f>
        <v>string</v>
      </c>
      <c r="G90" s="95">
        <f>IF(IF(D90="", "", VLOOKUP(D90,'API Data Dictionary'!C:E,3,FALSE))=0, "", IF(D90="", "", VLOOKUP(D90,'API Data Dictionary'!C:E,3,FALSE)))</f>
        <v>100</v>
      </c>
      <c r="H90" s="95" t="str">
        <f>IF(IF(D90="", "", VLOOKUP(D90,'API Data Dictionary'!C:F,4,FALSE))=0, "", IF(D90="", "", VLOOKUP(D90,'API Data Dictionary'!C:F,4,FALSE)))</f>
        <v/>
      </c>
      <c r="I90" s="95" t="str">
        <f>IF(IF(D90="", "", VLOOKUP(D90,'API Data Dictionary'!C:G,5,FALSE))=0, "", IF(D90="", "", VLOOKUP(D90,'API Data Dictionary'!C:G,5,FALSE)))</f>
        <v>The name of the property</v>
      </c>
    </row>
    <row r="91" spans="1:9" hidden="1">
      <c r="A91" s="97"/>
      <c r="B91" s="97"/>
      <c r="C91" s="97" t="s">
        <v>1327</v>
      </c>
      <c r="D91" s="95" t="str">
        <f t="shared" si="1"/>
        <v>addressLine1</v>
      </c>
      <c r="E91" s="95" t="str">
        <f>IF(D91="", "", VLOOKUP(D91,'API Data Dictionary'!C:L,10,FALSE))</f>
        <v>M</v>
      </c>
      <c r="F91" s="95" t="str">
        <f>IF(D91="", "", VLOOKUP(D91,'API Data Dictionary'!C:D,2,FALSE))</f>
        <v>string</v>
      </c>
      <c r="G91" s="95">
        <f>IF(IF(D91="", "", VLOOKUP(D91,'API Data Dictionary'!C:E,3,FALSE))=0, "", IF(D91="", "", VLOOKUP(D91,'API Data Dictionary'!C:E,3,FALSE)))</f>
        <v>100</v>
      </c>
      <c r="H91" s="95" t="str">
        <f>IF(IF(D91="", "", VLOOKUP(D91,'API Data Dictionary'!C:F,4,FALSE))=0, "", IF(D91="", "", VLOOKUP(D91,'API Data Dictionary'!C:F,4,FALSE)))</f>
        <v/>
      </c>
      <c r="I91" s="95" t="str">
        <f>IF(IF(D91="", "", VLOOKUP(D91,'API Data Dictionary'!C:G,5,FALSE))=0, "", IF(D91="", "", VLOOKUP(D91,'API Data Dictionary'!C:G,5,FALSE)))</f>
        <v>The first line of the property address</v>
      </c>
    </row>
    <row r="92" spans="1:9" hidden="1">
      <c r="A92" s="97"/>
      <c r="B92" s="97"/>
      <c r="C92" s="97" t="s">
        <v>1328</v>
      </c>
      <c r="D92" s="95" t="str">
        <f t="shared" si="1"/>
        <v>addressLine2</v>
      </c>
      <c r="E92" s="95" t="s">
        <v>139</v>
      </c>
      <c r="F92" s="95" t="str">
        <f>IF(D92="", "", VLOOKUP(D92,'API Data Dictionary'!C:D,2,FALSE))</f>
        <v>string</v>
      </c>
      <c r="G92" s="95">
        <f>IF(IF(D92="", "", VLOOKUP(D92,'API Data Dictionary'!C:E,3,FALSE))=0, "", IF(D92="", "", VLOOKUP(D92,'API Data Dictionary'!C:E,3,FALSE)))</f>
        <v>100</v>
      </c>
      <c r="H92" s="95" t="str">
        <f>IF(IF(D92="", "", VLOOKUP(D92,'API Data Dictionary'!C:F,4,FALSE))=0, "", IF(D92="", "", VLOOKUP(D92,'API Data Dictionary'!C:F,4,FALSE)))</f>
        <v/>
      </c>
      <c r="I92" s="95" t="str">
        <f>IF(IF(D92="", "", VLOOKUP(D92,'API Data Dictionary'!C:G,5,FALSE))=0, "", IF(D92="", "", VLOOKUP(D92,'API Data Dictionary'!C:G,5,FALSE)))</f>
        <v>The second line of the property address</v>
      </c>
    </row>
    <row r="93" spans="1:9" hidden="1">
      <c r="A93" s="97"/>
      <c r="B93" s="97"/>
      <c r="C93" s="97" t="s">
        <v>1329</v>
      </c>
      <c r="D93" s="95" t="str">
        <f t="shared" si="1"/>
        <v>town</v>
      </c>
      <c r="E93" s="95" t="str">
        <f>IF(D93="", "", VLOOKUP(D93,'API Data Dictionary'!C:L,10,FALSE))</f>
        <v>M</v>
      </c>
      <c r="F93" s="95" t="str">
        <f>IF(D93="", "", VLOOKUP(D93,'API Data Dictionary'!C:D,2,FALSE))</f>
        <v>string</v>
      </c>
      <c r="G93" s="95">
        <f>IF(IF(D93="", "", VLOOKUP(D93,'API Data Dictionary'!C:E,3,FALSE))=0, "", IF(D93="", "", VLOOKUP(D93,'API Data Dictionary'!C:E,3,FALSE)))</f>
        <v>50</v>
      </c>
      <c r="H93" s="95" t="str">
        <f>IF(IF(D93="", "", VLOOKUP(D93,'API Data Dictionary'!C:F,4,FALSE))=0, "", IF(D93="", "", VLOOKUP(D93,'API Data Dictionary'!C:F,4,FALSE)))</f>
        <v/>
      </c>
      <c r="I93" s="95" t="str">
        <f>IF(IF(D93="", "", VLOOKUP(D93,'API Data Dictionary'!C:G,5,FALSE))=0, "", IF(D93="", "", VLOOKUP(D93,'API Data Dictionary'!C:G,5,FALSE)))</f>
        <v>The town in which the property exists</v>
      </c>
    </row>
    <row r="94" spans="1:9" hidden="1">
      <c r="A94" s="97"/>
      <c r="B94" s="97"/>
      <c r="C94" s="97" t="s">
        <v>1331</v>
      </c>
      <c r="D94" s="95" t="str">
        <f t="shared" si="1"/>
        <v>country</v>
      </c>
      <c r="E94" s="95" t="s">
        <v>139</v>
      </c>
      <c r="F94" s="95" t="str">
        <f>IF(D94="", "", VLOOKUP(D94,'API Data Dictionary'!C:D,2,FALSE))</f>
        <v>enum -Country/Location Code</v>
      </c>
      <c r="G94" s="95" t="str">
        <f>IF(IF(D94="", "", VLOOKUP(D94,'API Data Dictionary'!C:E,3,FALSE))=0, "", IF(D94="", "", VLOOKUP(D94,'API Data Dictionary'!C:E,3,FALSE)))</f>
        <v/>
      </c>
      <c r="H94" s="95" t="str">
        <f>IF(IF(D94="", "", VLOOKUP(D94,'API Data Dictionary'!C:F,4,FALSE))=0, "", IF(D94="", "", VLOOKUP(D94,'API Data Dictionary'!C:F,4,FALSE)))</f>
        <v>Valid Values 1-239 (See enum definition)</v>
      </c>
      <c r="I94" s="95" t="str">
        <f>IF(IF(D94="", "", VLOOKUP(D94,'API Data Dictionary'!C:G,5,FALSE))=0, "", IF(D94="", "", VLOOKUP(D94,'API Data Dictionary'!C:G,5,FALSE)))</f>
        <v>The Country code from the enum list, e.g. France</v>
      </c>
    </row>
    <row r="95" spans="1:9" hidden="1">
      <c r="A95" s="97"/>
      <c r="B95" s="97"/>
      <c r="C95" s="97" t="s">
        <v>1348</v>
      </c>
      <c r="D95" s="95" t="str">
        <f t="shared" si="1"/>
        <v>postcode</v>
      </c>
      <c r="E95" s="95" t="str">
        <f>IF(D95="", "", VLOOKUP(D95,'API Data Dictionary'!C:L,10,FALSE))</f>
        <v>M</v>
      </c>
      <c r="F95" s="95" t="str">
        <f>IF(D95="", "", VLOOKUP(D95,'API Data Dictionary'!C:D,2,FALSE))</f>
        <v>string</v>
      </c>
      <c r="G95" s="95">
        <f>IF(IF(D95="", "", VLOOKUP(D95,'API Data Dictionary'!C:E,3,FALSE))=0, "", IF(D95="", "", VLOOKUP(D95,'API Data Dictionary'!C:E,3,FALSE)))</f>
        <v>50</v>
      </c>
      <c r="H95" s="95" t="str">
        <f>IF(IF(D95="", "", VLOOKUP(D95,'API Data Dictionary'!C:F,4,FALSE))=0, "", IF(D95="", "", VLOOKUP(D95,'API Data Dictionary'!C:F,4,FALSE)))</f>
        <v/>
      </c>
      <c r="I95" s="95" t="str">
        <f>IF(IF(D95="", "", VLOOKUP(D95,'API Data Dictionary'!C:G,5,FALSE))=0, "", IF(D95="", "", VLOOKUP(D95,'API Data Dictionary'!C:G,5,FALSE)))</f>
        <v>the postcode of the property</v>
      </c>
    </row>
    <row r="96" spans="1:9" hidden="1">
      <c r="A96" s="97"/>
      <c r="B96" s="97"/>
      <c r="C96" s="97" t="s">
        <v>1336</v>
      </c>
      <c r="D96" s="95" t="str">
        <f t="shared" si="1"/>
        <v/>
      </c>
      <c r="E96" s="95" t="str">
        <f>IF(D96="", "", VLOOKUP(D96,'API Data Dictionary'!C:L,10,FALSE))</f>
        <v/>
      </c>
      <c r="F96" s="95" t="str">
        <f>IF(D96="", "", VLOOKUP(D96,'API Data Dictionary'!C:D,2,FALSE))</f>
        <v/>
      </c>
      <c r="G96" s="95" t="str">
        <f>IF(IF(D96="", "", VLOOKUP(D96,'API Data Dictionary'!C:E,3,FALSE))=0, "", IF(D96="", "", VLOOKUP(D96,'API Data Dictionary'!C:E,3,FALSE)))</f>
        <v/>
      </c>
      <c r="H96" s="95" t="str">
        <f>IF(IF(D96="", "", VLOOKUP(D96,'API Data Dictionary'!C:F,4,FALSE))=0, "", IF(D96="", "", VLOOKUP(D96,'API Data Dictionary'!C:F,4,FALSE)))</f>
        <v/>
      </c>
      <c r="I96" s="95" t="str">
        <f>IF(IF(D96="", "", VLOOKUP(D96,'API Data Dictionary'!C:G,5,FALSE))=0, "", IF(D96="", "", VLOOKUP(D96,'API Data Dictionary'!C:G,5,FALSE)))</f>
        <v/>
      </c>
    </row>
    <row r="97" spans="1:9" hidden="1">
      <c r="A97" s="97"/>
      <c r="B97" s="97"/>
      <c r="C97" s="97" t="s">
        <v>1349</v>
      </c>
      <c r="D97" s="95" t="str">
        <f t="shared" si="1"/>
        <v/>
      </c>
      <c r="E97" s="95" t="str">
        <f>IF(D97="", "", VLOOKUP(D97,'API Data Dictionary'!C:L,10,FALSE))</f>
        <v/>
      </c>
      <c r="F97" s="95" t="str">
        <f>IF(D97="", "", VLOOKUP(D97,'API Data Dictionary'!C:D,2,FALSE))</f>
        <v/>
      </c>
      <c r="G97" s="95" t="str">
        <f>IF(IF(D97="", "", VLOOKUP(D97,'API Data Dictionary'!C:E,3,FALSE))=0, "", IF(D97="", "", VLOOKUP(D97,'API Data Dictionary'!C:E,3,FALSE)))</f>
        <v/>
      </c>
      <c r="H97" s="95" t="str">
        <f>IF(IF(D97="", "", VLOOKUP(D97,'API Data Dictionary'!C:F,4,FALSE))=0, "", IF(D97="", "", VLOOKUP(D97,'API Data Dictionary'!C:F,4,FALSE)))</f>
        <v/>
      </c>
      <c r="I97" s="95" t="str">
        <f>IF(IF(D97="", "", VLOOKUP(D97,'API Data Dictionary'!C:G,5,FALSE))=0, "", IF(D97="", "", VLOOKUP(D97,'API Data Dictionary'!C:G,5,FALSE)))</f>
        <v/>
      </c>
    </row>
    <row r="98" spans="1:9" hidden="1">
      <c r="A98" s="97"/>
      <c r="B98" s="97"/>
      <c r="C98" s="97" t="s">
        <v>1350</v>
      </c>
      <c r="D98" s="95" t="str">
        <f t="shared" si="1"/>
        <v/>
      </c>
      <c r="E98" s="95" t="str">
        <f>IF(D98="", "", VLOOKUP(D98,'API Data Dictionary'!C:L,10,FALSE))</f>
        <v/>
      </c>
      <c r="F98" s="95" t="str">
        <f>IF(D98="", "", VLOOKUP(D98,'API Data Dictionary'!C:D,2,FALSE))</f>
        <v/>
      </c>
      <c r="G98" s="95" t="str">
        <f>IF(IF(D98="", "", VLOOKUP(D98,'API Data Dictionary'!C:E,3,FALSE))=0, "", IF(D98="", "", VLOOKUP(D98,'API Data Dictionary'!C:E,3,FALSE)))</f>
        <v/>
      </c>
      <c r="H98" s="95" t="str">
        <f>IF(IF(D98="", "", VLOOKUP(D98,'API Data Dictionary'!C:F,4,FALSE))=0, "", IF(D98="", "", VLOOKUP(D98,'API Data Dictionary'!C:F,4,FALSE)))</f>
        <v/>
      </c>
      <c r="I98" s="95" t="str">
        <f>IF(IF(D98="", "", VLOOKUP(D98,'API Data Dictionary'!C:G,5,FALSE))=0, "", IF(D98="", "", VLOOKUP(D98,'API Data Dictionary'!C:G,5,FALSE)))</f>
        <v/>
      </c>
    </row>
    <row r="99" spans="1:9" hidden="1">
      <c r="A99" s="97"/>
      <c r="B99" s="97"/>
      <c r="C99" s="97" t="s">
        <v>1351</v>
      </c>
      <c r="D99" s="95" t="str">
        <f t="shared" si="1"/>
        <v>submittedisAdverseCredit</v>
      </c>
      <c r="E99" s="95">
        <f>IF(D99="", "", VLOOKUP(D99,'API Data Dictionary'!C:L,10,FALSE))</f>
        <v>0</v>
      </c>
      <c r="F99" s="95" t="str">
        <f>IF(D99="", "", VLOOKUP(D99,'API Data Dictionary'!C:D,2,FALSE))</f>
        <v>boolean</v>
      </c>
      <c r="G99" s="95" t="str">
        <f>IF(IF(D99="", "", VLOOKUP(D99,'API Data Dictionary'!C:E,3,FALSE))=0, "", IF(D99="", "", VLOOKUP(D99,'API Data Dictionary'!C:E,3,FALSE)))</f>
        <v/>
      </c>
      <c r="H99" s="95" t="str">
        <f>IF(IF(D99="", "", VLOOKUP(D99,'API Data Dictionary'!C:F,4,FALSE))=0, "", IF(D99="", "", VLOOKUP(D99,'API Data Dictionary'!C:F,4,FALSE)))</f>
        <v/>
      </c>
      <c r="I99" s="95" t="str">
        <f>IF(IF(D99="", "", VLOOKUP(D99,'API Data Dictionary'!C:G,5,FALSE))=0, "", IF(D99="", "", VLOOKUP(D99,'API Data Dictionary'!C:G,5,FALSE)))</f>
        <v>Boolean for is adverse credit</v>
      </c>
    </row>
    <row r="100" spans="1:9" hidden="1">
      <c r="A100" s="97"/>
      <c r="B100" s="97"/>
      <c r="C100" s="97" t="s">
        <v>1352</v>
      </c>
      <c r="D100" s="95" t="str">
        <f t="shared" si="1"/>
        <v>submittedisCCJ</v>
      </c>
      <c r="E100" s="95">
        <f>IF(D100="", "", VLOOKUP(D100,'API Data Dictionary'!C:L,10,FALSE))</f>
        <v>0</v>
      </c>
      <c r="F100" s="95" t="str">
        <f>IF(D100="", "", VLOOKUP(D100,'API Data Dictionary'!C:D,2,FALSE))</f>
        <v>boolean</v>
      </c>
      <c r="G100" s="95" t="str">
        <f>IF(IF(D100="", "", VLOOKUP(D100,'API Data Dictionary'!C:E,3,FALSE))=0, "", IF(D100="", "", VLOOKUP(D100,'API Data Dictionary'!C:E,3,FALSE)))</f>
        <v/>
      </c>
      <c r="H100" s="95" t="str">
        <f>IF(IF(D100="", "", VLOOKUP(D100,'API Data Dictionary'!C:F,4,FALSE))=0, "", IF(D100="", "", VLOOKUP(D100,'API Data Dictionary'!C:F,4,FALSE)))</f>
        <v/>
      </c>
      <c r="I100" s="95" t="str">
        <f>IF(IF(D100="", "", VLOOKUP(D100,'API Data Dictionary'!C:G,5,FALSE))=0, "", IF(D100="", "", VLOOKUP(D100,'API Data Dictionary'!C:G,5,FALSE)))</f>
        <v>Boolean for is County court judgment</v>
      </c>
    </row>
    <row r="101" spans="1:9" hidden="1">
      <c r="A101" s="97"/>
      <c r="B101" s="97"/>
      <c r="C101" s="97" t="s">
        <v>1353</v>
      </c>
      <c r="D101" s="95" t="str">
        <f t="shared" si="1"/>
        <v>submittedisBankruptcy</v>
      </c>
      <c r="E101" s="95">
        <f>IF(D101="", "", VLOOKUP(D101,'API Data Dictionary'!C:L,10,FALSE))</f>
        <v>0</v>
      </c>
      <c r="F101" s="95" t="str">
        <f>IF(D101="", "", VLOOKUP(D101,'API Data Dictionary'!C:D,2,FALSE))</f>
        <v>boolean</v>
      </c>
      <c r="G101" s="95" t="str">
        <f>IF(IF(D101="", "", VLOOKUP(D101,'API Data Dictionary'!C:E,3,FALSE))=0, "", IF(D101="", "", VLOOKUP(D101,'API Data Dictionary'!C:E,3,FALSE)))</f>
        <v/>
      </c>
      <c r="H101" s="95" t="str">
        <f>IF(IF(D101="", "", VLOOKUP(D101,'API Data Dictionary'!C:F,4,FALSE))=0, "", IF(D101="", "", VLOOKUP(D101,'API Data Dictionary'!C:F,4,FALSE)))</f>
        <v/>
      </c>
      <c r="I101" s="95" t="str">
        <f>IF(IF(D101="", "", VLOOKUP(D101,'API Data Dictionary'!C:G,5,FALSE))=0, "", IF(D101="", "", VLOOKUP(D101,'API Data Dictionary'!C:G,5,FALSE)))</f>
        <v>Boolean for is bankruptcy</v>
      </c>
    </row>
    <row r="102" spans="1:9" hidden="1">
      <c r="A102" s="97"/>
      <c r="B102" s="97"/>
      <c r="C102" s="97" t="s">
        <v>1354</v>
      </c>
      <c r="D102" s="95" t="str">
        <f t="shared" si="1"/>
        <v>submittedisInsolvency</v>
      </c>
      <c r="E102" s="95">
        <f>IF(D102="", "", VLOOKUP(D102,'API Data Dictionary'!C:L,10,FALSE))</f>
        <v>0</v>
      </c>
      <c r="F102" s="95" t="str">
        <f>IF(D102="", "", VLOOKUP(D102,'API Data Dictionary'!C:D,2,FALSE))</f>
        <v>boolean</v>
      </c>
      <c r="G102" s="95" t="str">
        <f>IF(IF(D102="", "", VLOOKUP(D102,'API Data Dictionary'!C:E,3,FALSE))=0, "", IF(D102="", "", VLOOKUP(D102,'API Data Dictionary'!C:E,3,FALSE)))</f>
        <v/>
      </c>
      <c r="H102" s="95" t="str">
        <f>IF(IF(D102="", "", VLOOKUP(D102,'API Data Dictionary'!C:F,4,FALSE))=0, "", IF(D102="", "", VLOOKUP(D102,'API Data Dictionary'!C:F,4,FALSE)))</f>
        <v/>
      </c>
      <c r="I102" s="95" t="str">
        <f>IF(IF(D102="", "", VLOOKUP(D102,'API Data Dictionary'!C:G,5,FALSE))=0, "", IF(D102="", "", VLOOKUP(D102,'API Data Dictionary'!C:G,5,FALSE)))</f>
        <v>Boolean for is Insolvency</v>
      </c>
    </row>
    <row r="103" spans="1:9" hidden="1">
      <c r="A103" s="97"/>
      <c r="B103" s="97"/>
      <c r="C103" s="97" t="s">
        <v>1355</v>
      </c>
      <c r="D103" s="95" t="str">
        <f t="shared" si="1"/>
        <v>submittedisOtherAdverseCredit</v>
      </c>
      <c r="E103" s="95">
        <f>IF(D103="", "", VLOOKUP(D103,'API Data Dictionary'!C:L,10,FALSE))</f>
        <v>0</v>
      </c>
      <c r="F103" s="95" t="str">
        <f>IF(D103="", "", VLOOKUP(D103,'API Data Dictionary'!C:D,2,FALSE))</f>
        <v>boolean</v>
      </c>
      <c r="G103" s="95" t="str">
        <f>IF(IF(D103="", "", VLOOKUP(D103,'API Data Dictionary'!C:E,3,FALSE))=0, "", IF(D103="", "", VLOOKUP(D103,'API Data Dictionary'!C:E,3,FALSE)))</f>
        <v/>
      </c>
      <c r="H103" s="95" t="str">
        <f>IF(IF(D103="", "", VLOOKUP(D103,'API Data Dictionary'!C:F,4,FALSE))=0, "", IF(D103="", "", VLOOKUP(D103,'API Data Dictionary'!C:F,4,FALSE)))</f>
        <v/>
      </c>
      <c r="I103" s="95" t="str">
        <f>IF(IF(D103="", "", VLOOKUP(D103,'API Data Dictionary'!C:G,5,FALSE))=0, "", IF(D103="", "", VLOOKUP(D103,'API Data Dictionary'!C:G,5,FALSE)))</f>
        <v>Boolean for is other Adverse credit</v>
      </c>
    </row>
    <row r="104" spans="1:9" hidden="1">
      <c r="A104" s="97"/>
      <c r="B104" s="97"/>
      <c r="C104" s="97" t="s">
        <v>1356</v>
      </c>
      <c r="D104" s="95" t="str">
        <f t="shared" si="1"/>
        <v>submittedOtherAdverseCreditDesc</v>
      </c>
      <c r="E104" s="95">
        <f>IF(D104="", "", VLOOKUP(D104,'API Data Dictionary'!C:L,10,FALSE))</f>
        <v>0</v>
      </c>
      <c r="F104" s="95" t="str">
        <f>IF(D104="", "", VLOOKUP(D104,'API Data Dictionary'!C:D,2,FALSE))</f>
        <v>string</v>
      </c>
      <c r="G104" s="95">
        <f>IF(IF(D104="", "", VLOOKUP(D104,'API Data Dictionary'!C:E,3,FALSE))=0, "", IF(D104="", "", VLOOKUP(D104,'API Data Dictionary'!C:E,3,FALSE)))</f>
        <v>1000</v>
      </c>
      <c r="H104" s="95" t="str">
        <f>IF(IF(D104="", "", VLOOKUP(D104,'API Data Dictionary'!C:F,4,FALSE))=0, "", IF(D104="", "", VLOOKUP(D104,'API Data Dictionary'!C:F,4,FALSE)))</f>
        <v/>
      </c>
      <c r="I104" s="95" t="str">
        <f>IF(IF(D104="", "", VLOOKUP(D104,'API Data Dictionary'!C:G,5,FALSE))=0, "", IF(D104="", "", VLOOKUP(D104,'API Data Dictionary'!C:G,5,FALSE)))</f>
        <v>If submittedisOtherAdverseCredit is True, the free text field for adverse credit</v>
      </c>
    </row>
    <row r="105" spans="1:9" hidden="1">
      <c r="A105" s="97"/>
      <c r="B105" s="97"/>
      <c r="C105" s="97" t="s">
        <v>1260</v>
      </c>
      <c r="D105" s="95" t="str">
        <f t="shared" si="1"/>
        <v/>
      </c>
      <c r="E105" s="95" t="str">
        <f>IF(D105="", "", VLOOKUP(D105,'API Data Dictionary'!C:L,10,FALSE))</f>
        <v/>
      </c>
      <c r="F105" s="95" t="str">
        <f>IF(D105="", "", VLOOKUP(D105,'API Data Dictionary'!C:D,2,FALSE))</f>
        <v/>
      </c>
      <c r="G105" s="95" t="str">
        <f>IF(IF(D105="", "", VLOOKUP(D105,'API Data Dictionary'!C:E,3,FALSE))=0, "", IF(D105="", "", VLOOKUP(D105,'API Data Dictionary'!C:E,3,FALSE)))</f>
        <v/>
      </c>
      <c r="H105" s="95" t="str">
        <f>IF(IF(D105="", "", VLOOKUP(D105,'API Data Dictionary'!C:F,4,FALSE))=0, "", IF(D105="", "", VLOOKUP(D105,'API Data Dictionary'!C:F,4,FALSE)))</f>
        <v/>
      </c>
      <c r="I105" s="95" t="str">
        <f>IF(IF(D105="", "", VLOOKUP(D105,'API Data Dictionary'!C:G,5,FALSE))=0, "", IF(D105="", "", VLOOKUP(D105,'API Data Dictionary'!C:G,5,FALSE)))</f>
        <v/>
      </c>
    </row>
    <row r="106" spans="1:9" hidden="1">
      <c r="A106" s="97"/>
      <c r="B106" s="97"/>
      <c r="C106" s="97" t="s">
        <v>1247</v>
      </c>
      <c r="D106" s="95" t="str">
        <f t="shared" si="1"/>
        <v/>
      </c>
      <c r="E106" s="95" t="str">
        <f>IF(D106="", "", VLOOKUP(D106,'API Data Dictionary'!C:L,10,FALSE))</f>
        <v/>
      </c>
      <c r="F106" s="95" t="str">
        <f>IF(D106="", "", VLOOKUP(D106,'API Data Dictionary'!C:D,2,FALSE))</f>
        <v/>
      </c>
      <c r="G106" s="95" t="str">
        <f>IF(IF(D106="", "", VLOOKUP(D106,'API Data Dictionary'!C:E,3,FALSE))=0, "", IF(D106="", "", VLOOKUP(D106,'API Data Dictionary'!C:E,3,FALSE)))</f>
        <v/>
      </c>
      <c r="H106" s="95" t="str">
        <f>IF(IF(D106="", "", VLOOKUP(D106,'API Data Dictionary'!C:F,4,FALSE))=0, "", IF(D106="", "", VLOOKUP(D106,'API Data Dictionary'!C:F,4,FALSE)))</f>
        <v/>
      </c>
      <c r="I106" s="95" t="str">
        <f>IF(IF(D106="", "", VLOOKUP(D106,'API Data Dictionary'!C:G,5,FALSE))=0, "", IF(D106="", "", VLOOKUP(D106,'API Data Dictionary'!C:G,5,FALSE)))</f>
        <v/>
      </c>
    </row>
    <row r="107" spans="1:9" hidden="1">
      <c r="A107" s="97"/>
      <c r="B107" s="97"/>
      <c r="C107" s="97" t="s">
        <v>1282</v>
      </c>
      <c r="D107" s="95" t="str">
        <f t="shared" si="1"/>
        <v/>
      </c>
      <c r="E107" s="95" t="str">
        <f>IF(D107="", "", VLOOKUP(D107,'API Data Dictionary'!C:L,10,FALSE))</f>
        <v/>
      </c>
      <c r="F107" s="95" t="str">
        <f>IF(D107="", "", VLOOKUP(D107,'API Data Dictionary'!C:D,2,FALSE))</f>
        <v/>
      </c>
      <c r="G107" s="95" t="str">
        <f>IF(IF(D107="", "", VLOOKUP(D107,'API Data Dictionary'!C:E,3,FALSE))=0, "", IF(D107="", "", VLOOKUP(D107,'API Data Dictionary'!C:E,3,FALSE)))</f>
        <v/>
      </c>
      <c r="H107" s="95" t="str">
        <f>IF(IF(D107="", "", VLOOKUP(D107,'API Data Dictionary'!C:F,4,FALSE))=0, "", IF(D107="", "", VLOOKUP(D107,'API Data Dictionary'!C:F,4,FALSE)))</f>
        <v/>
      </c>
      <c r="I107" s="95" t="str">
        <f>IF(IF(D107="", "", VLOOKUP(D107,'API Data Dictionary'!C:G,5,FALSE))=0, "", IF(D107="", "", VLOOKUP(D107,'API Data Dictionary'!C:G,5,FALSE)))</f>
        <v/>
      </c>
    </row>
    <row r="108" spans="1:9" hidden="1">
      <c r="A108" s="97"/>
      <c r="B108" s="97"/>
      <c r="C108" s="97" t="s">
        <v>1357</v>
      </c>
      <c r="D108" s="95" t="str">
        <f t="shared" si="1"/>
        <v/>
      </c>
      <c r="E108" s="95" t="str">
        <f>IF(D108="", "", VLOOKUP(D108,'API Data Dictionary'!C:L,10,FALSE))</f>
        <v/>
      </c>
      <c r="F108" s="95" t="str">
        <f>IF(D108="", "", VLOOKUP(D108,'API Data Dictionary'!C:D,2,FALSE))</f>
        <v/>
      </c>
      <c r="G108" s="95" t="str">
        <f>IF(IF(D108="", "", VLOOKUP(D108,'API Data Dictionary'!C:E,3,FALSE))=0, "", IF(D108="", "", VLOOKUP(D108,'API Data Dictionary'!C:E,3,FALSE)))</f>
        <v/>
      </c>
      <c r="H108" s="95" t="str">
        <f>IF(IF(D108="", "", VLOOKUP(D108,'API Data Dictionary'!C:F,4,FALSE))=0, "", IF(D108="", "", VLOOKUP(D108,'API Data Dictionary'!C:F,4,FALSE)))</f>
        <v/>
      </c>
      <c r="I108" s="95" t="str">
        <f>IF(IF(D108="", "", VLOOKUP(D108,'API Data Dictionary'!C:G,5,FALSE))=0, "", IF(D108="", "", VLOOKUP(D108,'API Data Dictionary'!C:G,5,FALSE)))</f>
        <v/>
      </c>
    </row>
    <row r="109" spans="1:9" hidden="1">
      <c r="A109" s="97"/>
      <c r="B109" s="97"/>
      <c r="C109" s="97" t="s">
        <v>1223</v>
      </c>
      <c r="D109" s="95" t="str">
        <f t="shared" si="1"/>
        <v/>
      </c>
      <c r="E109" s="95" t="str">
        <f>IF(D109="", "", VLOOKUP(D109,'API Data Dictionary'!C:L,10,FALSE))</f>
        <v/>
      </c>
      <c r="F109" s="95" t="str">
        <f>IF(D109="", "", VLOOKUP(D109,'API Data Dictionary'!C:D,2,FALSE))</f>
        <v/>
      </c>
      <c r="G109" s="95" t="str">
        <f>IF(IF(D109="", "", VLOOKUP(D109,'API Data Dictionary'!C:E,3,FALSE))=0, "", IF(D109="", "", VLOOKUP(D109,'API Data Dictionary'!C:E,3,FALSE)))</f>
        <v/>
      </c>
      <c r="H109" s="95" t="str">
        <f>IF(IF(D109="", "", VLOOKUP(D109,'API Data Dictionary'!C:F,4,FALSE))=0, "", IF(D109="", "", VLOOKUP(D109,'API Data Dictionary'!C:F,4,FALSE)))</f>
        <v/>
      </c>
      <c r="I109" s="95" t="str">
        <f>IF(IF(D109="", "", VLOOKUP(D109,'API Data Dictionary'!C:G,5,FALSE))=0, "", IF(D109="", "", VLOOKUP(D109,'API Data Dictionary'!C:G,5,FALSE)))</f>
        <v/>
      </c>
    </row>
    <row r="110" spans="1:9" hidden="1">
      <c r="A110" s="97"/>
      <c r="B110" s="97"/>
      <c r="C110" s="97" t="s">
        <v>1358</v>
      </c>
      <c r="D110" s="95" t="str">
        <f t="shared" si="1"/>
        <v>incomeTypeID</v>
      </c>
      <c r="E110" s="95">
        <f>IF(D110="", "", VLOOKUP(D110,'API Data Dictionary'!C:L,10,FALSE))</f>
        <v>0</v>
      </c>
      <c r="F110" s="95" t="str">
        <f>IF(D110="", "", VLOOKUP(D110,'API Data Dictionary'!C:D,2,FALSE))</f>
        <v>enum - Income Type</v>
      </c>
      <c r="G110" s="95" t="str">
        <f>IF(IF(D110="", "", VLOOKUP(D110,'API Data Dictionary'!C:E,3,FALSE))=0, "", IF(D110="", "", VLOOKUP(D110,'API Data Dictionary'!C:E,3,FALSE)))</f>
        <v/>
      </c>
      <c r="H110" s="95" t="str">
        <f>IF(IF(D110="", "", VLOOKUP(D110,'API Data Dictionary'!C:F,4,FALSE))=0, "", IF(D110="", "", VLOOKUP(D110,'API Data Dictionary'!C:F,4,FALSE)))</f>
        <v>Valid Values 1,2,3,5,6,7,8 (See enum definition)</v>
      </c>
      <c r="I110" s="95" t="str">
        <f>IF(IF(D110="", "", VLOOKUP(D110,'API Data Dictionary'!C:G,5,FALSE))=0, "", IF(D110="", "", VLOOKUP(D110,'API Data Dictionary'!C:G,5,FALSE)))</f>
        <v>The Income Type, e.g savings or employed</v>
      </c>
    </row>
    <row r="111" spans="1:9" hidden="1">
      <c r="A111" s="97"/>
      <c r="B111" s="97"/>
      <c r="C111" s="97" t="s">
        <v>1359</v>
      </c>
      <c r="D111" s="95" t="str">
        <f t="shared" si="1"/>
        <v>incomeTermID</v>
      </c>
      <c r="E111" s="95">
        <f>IF(D111="", "", VLOOKUP(D111,'API Data Dictionary'!C:L,10,FALSE))</f>
        <v>0</v>
      </c>
      <c r="F111" s="95" t="str">
        <f>IF(D111="", "", VLOOKUP(D111,'API Data Dictionary'!C:D,2,FALSE))</f>
        <v>enum - Income Term</v>
      </c>
      <c r="G111" s="95" t="str">
        <f>IF(IF(D111="", "", VLOOKUP(D111,'API Data Dictionary'!C:E,3,FALSE))=0, "", IF(D111="", "", VLOOKUP(D111,'API Data Dictionary'!C:E,3,FALSE)))</f>
        <v/>
      </c>
      <c r="H111" s="95" t="str">
        <f>IF(IF(D111="", "", VLOOKUP(D111,'API Data Dictionary'!C:F,4,FALSE))=0, "", IF(D111="", "", VLOOKUP(D111,'API Data Dictionary'!C:F,4,FALSE)))</f>
        <v>Valid Values 1-4 (See enum definition)</v>
      </c>
      <c r="I111" s="95" t="str">
        <f>IF(IF(D111="", "", VLOOKUP(D111,'API Data Dictionary'!C:G,5,FALSE))=0, "", IF(D111="", "", VLOOKUP(D111,'API Data Dictionary'!C:G,5,FALSE)))</f>
        <v>Income term, e.g monthly or weekly</v>
      </c>
    </row>
    <row r="112" spans="1:9" hidden="1">
      <c r="A112" s="97"/>
      <c r="B112" s="97"/>
      <c r="C112" s="97" t="s">
        <v>1360</v>
      </c>
      <c r="D112" s="95" t="str">
        <f t="shared" si="1"/>
        <v/>
      </c>
      <c r="E112" s="95" t="str">
        <f>IF(D112="", "", VLOOKUP(D112,'API Data Dictionary'!C:L,10,FALSE))</f>
        <v/>
      </c>
      <c r="F112" s="95" t="str">
        <f>IF(D112="", "", VLOOKUP(D112,'API Data Dictionary'!C:D,2,FALSE))</f>
        <v/>
      </c>
      <c r="G112" s="95" t="str">
        <f>IF(IF(D112="", "", VLOOKUP(D112,'API Data Dictionary'!C:E,3,FALSE))=0, "", IF(D112="", "", VLOOKUP(D112,'API Data Dictionary'!C:E,3,FALSE)))</f>
        <v/>
      </c>
      <c r="H112" s="95" t="str">
        <f>IF(IF(D112="", "", VLOOKUP(D112,'API Data Dictionary'!C:F,4,FALSE))=0, "", IF(D112="", "", VLOOKUP(D112,'API Data Dictionary'!C:F,4,FALSE)))</f>
        <v/>
      </c>
      <c r="I112" s="95" t="str">
        <f>IF(IF(D112="", "", VLOOKUP(D112,'API Data Dictionary'!C:G,5,FALSE))=0, "", IF(D112="", "", VLOOKUP(D112,'API Data Dictionary'!C:G,5,FALSE)))</f>
        <v/>
      </c>
    </row>
    <row r="113" spans="1:9" hidden="1">
      <c r="A113" s="97"/>
      <c r="B113" s="97"/>
      <c r="C113" s="97" t="s">
        <v>1361</v>
      </c>
      <c r="D113" s="95" t="str">
        <f t="shared" si="1"/>
        <v>countryOfEmployment</v>
      </c>
      <c r="E113" s="95">
        <f>IF(D113="", "", VLOOKUP(D113,'API Data Dictionary'!C:L,10,FALSE))</f>
        <v>0</v>
      </c>
      <c r="F113" s="95" t="str">
        <f>IF(D113="", "", VLOOKUP(D113,'API Data Dictionary'!C:D,2,FALSE))</f>
        <v>enum -Country/Location Code</v>
      </c>
      <c r="G113" s="95" t="str">
        <f>IF(IF(D113="", "", VLOOKUP(D113,'API Data Dictionary'!C:E,3,FALSE))=0, "", IF(D113="", "", VLOOKUP(D113,'API Data Dictionary'!C:E,3,FALSE)))</f>
        <v/>
      </c>
      <c r="H113" s="95" t="str">
        <f>IF(IF(D113="", "", VLOOKUP(D113,'API Data Dictionary'!C:F,4,FALSE))=0, "", IF(D113="", "", VLOOKUP(D113,'API Data Dictionary'!C:F,4,FALSE)))</f>
        <v>Valid Values 1-239 (See enum definition)</v>
      </c>
      <c r="I113" s="95" t="str">
        <f>IF(IF(D113="", "", VLOOKUP(D113,'API Data Dictionary'!C:G,5,FALSE))=0, "", IF(D113="", "", VLOOKUP(D113,'API Data Dictionary'!C:G,5,FALSE)))</f>
        <v>The Country of employment, from the enum list, e.g. France</v>
      </c>
    </row>
    <row r="114" spans="1:9" hidden="1">
      <c r="A114" s="97"/>
      <c r="B114" s="97"/>
      <c r="C114" s="97" t="s">
        <v>1362</v>
      </c>
      <c r="D114" s="95" t="str">
        <f t="shared" si="1"/>
        <v>employersName</v>
      </c>
      <c r="E114" s="95">
        <f>IF(D114="", "", VLOOKUP(D114,'API Data Dictionary'!C:L,10,FALSE))</f>
        <v>0</v>
      </c>
      <c r="F114" s="95" t="str">
        <f>IF(D114="", "", VLOOKUP(D114,'API Data Dictionary'!C:D,2,FALSE))</f>
        <v>string</v>
      </c>
      <c r="G114" s="95">
        <f>IF(IF(D114="", "", VLOOKUP(D114,'API Data Dictionary'!C:E,3,FALSE))=0, "", IF(D114="", "", VLOOKUP(D114,'API Data Dictionary'!C:E,3,FALSE)))</f>
        <v>100</v>
      </c>
      <c r="H114" s="95" t="str">
        <f>IF(IF(D114="", "", VLOOKUP(D114,'API Data Dictionary'!C:F,4,FALSE))=0, "", IF(D114="", "", VLOOKUP(D114,'API Data Dictionary'!C:F,4,FALSE)))</f>
        <v>pattern: ^[a-zA-Z0-9\-' ]*$</v>
      </c>
      <c r="I114" s="95" t="str">
        <f>IF(IF(D114="", "", VLOOKUP(D114,'API Data Dictionary'!C:G,5,FALSE))=0, "", IF(D114="", "", VLOOKUP(D114,'API Data Dictionary'!C:G,5,FALSE)))</f>
        <v>Name of the company the person is employed by</v>
      </c>
    </row>
    <row r="115" spans="1:9" hidden="1">
      <c r="A115" s="97"/>
      <c r="B115" s="97"/>
      <c r="C115" s="97" t="s">
        <v>1363</v>
      </c>
      <c r="D115" s="95" t="str">
        <f t="shared" si="1"/>
        <v>jobTitle</v>
      </c>
      <c r="E115" s="95">
        <f>IF(D115="", "", VLOOKUP(D115,'API Data Dictionary'!C:L,10,FALSE))</f>
        <v>0</v>
      </c>
      <c r="F115" s="95" t="str">
        <f>IF(D115="", "", VLOOKUP(D115,'API Data Dictionary'!C:D,2,FALSE))</f>
        <v>string</v>
      </c>
      <c r="G115" s="95">
        <f>IF(IF(D115="", "", VLOOKUP(D115,'API Data Dictionary'!C:E,3,FALSE))=0, "", IF(D115="", "", VLOOKUP(D115,'API Data Dictionary'!C:E,3,FALSE)))</f>
        <v>100</v>
      </c>
      <c r="H115" s="95" t="str">
        <f>IF(IF(D115="", "", VLOOKUP(D115,'API Data Dictionary'!C:F,4,FALSE))=0, "", IF(D115="", "", VLOOKUP(D115,'API Data Dictionary'!C:F,4,FALSE)))</f>
        <v>pattern: ^[A-Za-z ']+$</v>
      </c>
      <c r="I115" s="95" t="str">
        <f>IF(IF(D115="", "", VLOOKUP(D115,'API Data Dictionary'!C:G,5,FALSE))=0, "", IF(D115="", "", VLOOKUP(D115,'API Data Dictionary'!C:G,5,FALSE)))</f>
        <v>Job title at the company the person is employed by</v>
      </c>
    </row>
    <row r="116" spans="1:9" hidden="1">
      <c r="A116" s="97"/>
      <c r="B116" s="97"/>
      <c r="C116" s="97" t="s">
        <v>1364</v>
      </c>
      <c r="D116" s="95" t="str">
        <f t="shared" si="1"/>
        <v>startDateofEmployment</v>
      </c>
      <c r="E116" s="95">
        <f>IF(D116="", "", VLOOKUP(D116,'API Data Dictionary'!C:L,10,FALSE))</f>
        <v>0</v>
      </c>
      <c r="F116" s="95" t="str">
        <f>IF(D116="", "", VLOOKUP(D116,'API Data Dictionary'!C:D,2,FALSE))</f>
        <v>string ($date-time)</v>
      </c>
      <c r="G116" s="95" t="str">
        <f>IF(IF(D116="", "", VLOOKUP(D116,'API Data Dictionary'!C:E,3,FALSE))=0, "", IF(D116="", "", VLOOKUP(D116,'API Data Dictionary'!C:E,3,FALSE)))</f>
        <v/>
      </c>
      <c r="H116" s="95" t="str">
        <f>IF(IF(D116="", "", VLOOKUP(D116,'API Data Dictionary'!C:F,4,FALSE))=0, "", IF(D116="", "", VLOOKUP(D116,'API Data Dictionary'!C:F,4,FALSE)))</f>
        <v xml:space="preserve"> DD/MM/YYYY</v>
      </c>
      <c r="I116" s="95" t="str">
        <f>IF(IF(D116="", "", VLOOKUP(D116,'API Data Dictionary'!C:G,5,FALSE))=0, "", IF(D116="", "", VLOOKUP(D116,'API Data Dictionary'!C:G,5,FALSE)))</f>
        <v>Start date of employment, formatted DD/MM/YYYY</v>
      </c>
    </row>
    <row r="117" spans="1:9" hidden="1">
      <c r="A117" s="97"/>
      <c r="B117" s="97"/>
      <c r="C117" s="97" t="s">
        <v>1365</v>
      </c>
      <c r="D117" s="95" t="str">
        <f t="shared" si="1"/>
        <v>employmentGrossAnnualIncome</v>
      </c>
      <c r="E117" s="95">
        <f>IF(D117="", "", VLOOKUP(D117,'API Data Dictionary'!C:L,10,FALSE))</f>
        <v>0</v>
      </c>
      <c r="F117" s="95" t="str">
        <f>IF(D117="", "", VLOOKUP(D117,'API Data Dictionary'!C:D,2,FALSE))</f>
        <v>number (double)</v>
      </c>
      <c r="G117" s="95" t="str">
        <f>IF(IF(D117="", "", VLOOKUP(D117,'API Data Dictionary'!C:E,3,FALSE))=0, "", IF(D117="", "", VLOOKUP(D117,'API Data Dictionary'!C:E,3,FALSE)))</f>
        <v/>
      </c>
      <c r="H117" s="95" t="str">
        <f>IF(IF(D117="", "", VLOOKUP(D117,'API Data Dictionary'!C:F,4,FALSE))=0, "", IF(D117="", "", VLOOKUP(D117,'API Data Dictionary'!C:F,4,FALSE)))</f>
        <v>pattern: ^\d*.\d{0,2}$</v>
      </c>
      <c r="I117" s="95" t="str">
        <f>IF(IF(D117="", "", VLOOKUP(D117,'API Data Dictionary'!C:G,5,FALSE))=0, "", IF(D117="", "", VLOOKUP(D117,'API Data Dictionary'!C:G,5,FALSE)))</f>
        <v>Gross annual income in GBP</v>
      </c>
    </row>
    <row r="118" spans="1:9" hidden="1">
      <c r="A118" s="97"/>
      <c r="B118" s="97"/>
      <c r="C118" s="97" t="s">
        <v>1366</v>
      </c>
      <c r="D118" s="95" t="str">
        <f t="shared" si="1"/>
        <v>employmentBonuses</v>
      </c>
      <c r="E118" s="95">
        <f>IF(D118="", "", VLOOKUP(D118,'API Data Dictionary'!C:L,10,FALSE))</f>
        <v>0</v>
      </c>
      <c r="F118" s="95" t="str">
        <f>IF(D118="", "", VLOOKUP(D118,'API Data Dictionary'!C:D,2,FALSE))</f>
        <v>boolean</v>
      </c>
      <c r="G118" s="95" t="str">
        <f>IF(IF(D118="", "", VLOOKUP(D118,'API Data Dictionary'!C:E,3,FALSE))=0, "", IF(D118="", "", VLOOKUP(D118,'API Data Dictionary'!C:E,3,FALSE)))</f>
        <v/>
      </c>
      <c r="H118" s="95" t="str">
        <f>IF(IF(D118="", "", VLOOKUP(D118,'API Data Dictionary'!C:F,4,FALSE))=0, "", IF(D118="", "", VLOOKUP(D118,'API Data Dictionary'!C:F,4,FALSE)))</f>
        <v/>
      </c>
      <c r="I118" s="95" t="str">
        <f>IF(IF(D118="", "", VLOOKUP(D118,'API Data Dictionary'!C:G,5,FALSE))=0, "", IF(D118="", "", VLOOKUP(D118,'API Data Dictionary'!C:G,5,FALSE)))</f>
        <v>Denotes if bonuses are recieved from the company the person is employed by</v>
      </c>
    </row>
    <row r="119" spans="1:9" hidden="1">
      <c r="A119" s="97"/>
      <c r="B119" s="97"/>
      <c r="C119" s="97" t="s">
        <v>1367</v>
      </c>
      <c r="D119" s="95" t="str">
        <f t="shared" si="1"/>
        <v>employmentOvertimeReceived</v>
      </c>
      <c r="E119" s="95">
        <f>IF(D119="", "", VLOOKUP(D119,'API Data Dictionary'!C:L,10,FALSE))</f>
        <v>0</v>
      </c>
      <c r="F119" s="95" t="str">
        <f>IF(D119="", "", VLOOKUP(D119,'API Data Dictionary'!C:D,2,FALSE))</f>
        <v>boolean</v>
      </c>
      <c r="G119" s="95" t="str">
        <f>IF(IF(D119="", "", VLOOKUP(D119,'API Data Dictionary'!C:E,3,FALSE))=0, "", IF(D119="", "", VLOOKUP(D119,'API Data Dictionary'!C:E,3,FALSE)))</f>
        <v/>
      </c>
      <c r="H119" s="95" t="str">
        <f>IF(IF(D119="", "", VLOOKUP(D119,'API Data Dictionary'!C:F,4,FALSE))=0, "", IF(D119="", "", VLOOKUP(D119,'API Data Dictionary'!C:F,4,FALSE)))</f>
        <v/>
      </c>
      <c r="I119" s="95" t="str">
        <f>IF(IF(D119="", "", VLOOKUP(D119,'API Data Dictionary'!C:G,5,FALSE))=0, "", IF(D119="", "", VLOOKUP(D119,'API Data Dictionary'!C:G,5,FALSE)))</f>
        <v>Denotes if overtime is recieved from the company the person is employed by</v>
      </c>
    </row>
    <row r="120" spans="1:9" hidden="1">
      <c r="A120" s="97"/>
      <c r="B120" s="97"/>
      <c r="C120" s="97" t="s">
        <v>1368</v>
      </c>
      <c r="D120" s="95" t="str">
        <f t="shared" si="1"/>
        <v>employmentBonusTerm</v>
      </c>
      <c r="E120" s="95">
        <f>IF(D120="", "", VLOOKUP(D120,'API Data Dictionary'!C:L,10,FALSE))</f>
        <v>0</v>
      </c>
      <c r="F120" s="95" t="str">
        <f>IF(D120="", "", VLOOKUP(D120,'API Data Dictionary'!C:D,2,FALSE))</f>
        <v>enum - Income Term</v>
      </c>
      <c r="G120" s="95" t="str">
        <f>IF(IF(D120="", "", VLOOKUP(D120,'API Data Dictionary'!C:E,3,FALSE))=0, "", IF(D120="", "", VLOOKUP(D120,'API Data Dictionary'!C:E,3,FALSE)))</f>
        <v/>
      </c>
      <c r="H120" s="95" t="str">
        <f>IF(IF(D120="", "", VLOOKUP(D120,'API Data Dictionary'!C:F,4,FALSE))=0, "", IF(D120="", "", VLOOKUP(D120,'API Data Dictionary'!C:F,4,FALSE)))</f>
        <v>Valid Values 1-4 (See enum definition)</v>
      </c>
      <c r="I120" s="95" t="str">
        <f>IF(IF(D120="", "", VLOOKUP(D120,'API Data Dictionary'!C:G,5,FALSE))=0, "", IF(D120="", "", VLOOKUP(D120,'API Data Dictionary'!C:G,5,FALSE)))</f>
        <v>Income term, e.g monthly or weekly</v>
      </c>
    </row>
    <row r="121" spans="1:9" hidden="1">
      <c r="A121" s="97"/>
      <c r="B121" s="97"/>
      <c r="C121" s="97" t="s">
        <v>1369</v>
      </c>
      <c r="D121" s="95" t="str">
        <f t="shared" si="1"/>
        <v>employmentAvgBonusIncome</v>
      </c>
      <c r="E121" s="95">
        <f>IF(D121="", "", VLOOKUP(D121,'API Data Dictionary'!C:L,10,FALSE))</f>
        <v>0</v>
      </c>
      <c r="F121" s="95" t="str">
        <f>IF(D121="", "", VLOOKUP(D121,'API Data Dictionary'!C:D,2,FALSE))</f>
        <v>number (double)</v>
      </c>
      <c r="G121" s="95" t="str">
        <f>IF(IF(D121="", "", VLOOKUP(D121,'API Data Dictionary'!C:E,3,FALSE))=0, "", IF(D121="", "", VLOOKUP(D121,'API Data Dictionary'!C:E,3,FALSE)))</f>
        <v/>
      </c>
      <c r="H121" s="95" t="str">
        <f>IF(IF(D121="", "", VLOOKUP(D121,'API Data Dictionary'!C:F,4,FALSE))=0, "", IF(D121="", "", VLOOKUP(D121,'API Data Dictionary'!C:F,4,FALSE)))</f>
        <v>pattern: ^\d*.\d{0,2}$</v>
      </c>
      <c r="I121" s="95" t="str">
        <f>IF(IF(D121="", "", VLOOKUP(D121,'API Data Dictionary'!C:G,5,FALSE))=0, "", IF(D121="", "", VLOOKUP(D121,'API Data Dictionary'!C:G,5,FALSE)))</f>
        <v>Average bonus income in GBP</v>
      </c>
    </row>
    <row r="122" spans="1:9" hidden="1">
      <c r="A122" s="97"/>
      <c r="B122" s="97"/>
      <c r="C122" s="97" t="s">
        <v>1370</v>
      </c>
      <c r="D122" s="95" t="str">
        <f t="shared" si="1"/>
        <v>employmentOvertimeTerm</v>
      </c>
      <c r="E122" s="95">
        <f>IF(D122="", "", VLOOKUP(D122,'API Data Dictionary'!C:L,10,FALSE))</f>
        <v>0</v>
      </c>
      <c r="F122" s="95" t="str">
        <f>IF(D122="", "", VLOOKUP(D122,'API Data Dictionary'!C:D,2,FALSE))</f>
        <v>enum - Income Term</v>
      </c>
      <c r="G122" s="95" t="str">
        <f>IF(IF(D122="", "", VLOOKUP(D122,'API Data Dictionary'!C:E,3,FALSE))=0, "", IF(D122="", "", VLOOKUP(D122,'API Data Dictionary'!C:E,3,FALSE)))</f>
        <v/>
      </c>
      <c r="H122" s="95" t="str">
        <f>IF(IF(D122="", "", VLOOKUP(D122,'API Data Dictionary'!C:F,4,FALSE))=0, "", IF(D122="", "", VLOOKUP(D122,'API Data Dictionary'!C:F,4,FALSE)))</f>
        <v>Valid Values 1-4 (See enum definition)</v>
      </c>
      <c r="I122" s="95" t="str">
        <f>IF(IF(D122="", "", VLOOKUP(D122,'API Data Dictionary'!C:G,5,FALSE))=0, "", IF(D122="", "", VLOOKUP(D122,'API Data Dictionary'!C:G,5,FALSE)))</f>
        <v>Income term, e.g monthly or weekly</v>
      </c>
    </row>
    <row r="123" spans="1:9" hidden="1">
      <c r="A123" s="97"/>
      <c r="B123" s="97"/>
      <c r="C123" s="97" t="s">
        <v>1371</v>
      </c>
      <c r="D123" s="95" t="str">
        <f t="shared" si="1"/>
        <v>employmentOvertimeAvgIncome</v>
      </c>
      <c r="E123" s="95">
        <f>IF(D123="", "", VLOOKUP(D123,'API Data Dictionary'!C:L,10,FALSE))</f>
        <v>0</v>
      </c>
      <c r="F123" s="95" t="str">
        <f>IF(D123="", "", VLOOKUP(D123,'API Data Dictionary'!C:D,2,FALSE))</f>
        <v>number (double)</v>
      </c>
      <c r="G123" s="95" t="str">
        <f>IF(IF(D123="", "", VLOOKUP(D123,'API Data Dictionary'!C:E,3,FALSE))=0, "", IF(D123="", "", VLOOKUP(D123,'API Data Dictionary'!C:E,3,FALSE)))</f>
        <v/>
      </c>
      <c r="H123" s="95" t="str">
        <f>IF(IF(D123="", "", VLOOKUP(D123,'API Data Dictionary'!C:F,4,FALSE))=0, "", IF(D123="", "", VLOOKUP(D123,'API Data Dictionary'!C:F,4,FALSE)))</f>
        <v>pattern: ^\d*.\d{0,2}$</v>
      </c>
      <c r="I123" s="95" t="str">
        <f>IF(IF(D123="", "", VLOOKUP(D123,'API Data Dictionary'!C:G,5,FALSE))=0, "", IF(D123="", "", VLOOKUP(D123,'API Data Dictionary'!C:G,5,FALSE)))</f>
        <v>Average overtime income in GBP</v>
      </c>
    </row>
    <row r="124" spans="1:9" hidden="1">
      <c r="A124" s="97"/>
      <c r="B124" s="97"/>
      <c r="C124" s="97" t="s">
        <v>1372</v>
      </c>
      <c r="D124" s="95" t="str">
        <f t="shared" si="1"/>
        <v>employmentEmployeeNumber</v>
      </c>
      <c r="E124" s="95">
        <f>IF(D124="", "", VLOOKUP(D124,'API Data Dictionary'!C:L,10,FALSE))</f>
        <v>0</v>
      </c>
      <c r="F124" s="95" t="str">
        <f>IF(D124="", "", VLOOKUP(D124,'API Data Dictionary'!C:D,2,FALSE))</f>
        <v>string</v>
      </c>
      <c r="G124" s="95">
        <f>IF(IF(D124="", "", VLOOKUP(D124,'API Data Dictionary'!C:E,3,FALSE))=0, "", IF(D124="", "", VLOOKUP(D124,'API Data Dictionary'!C:E,3,FALSE)))</f>
        <v>100</v>
      </c>
      <c r="H124" s="95" t="str">
        <f>IF(IF(D124="", "", VLOOKUP(D124,'API Data Dictionary'!C:F,4,FALSE))=0, "", IF(D124="", "", VLOOKUP(D124,'API Data Dictionary'!C:F,4,FALSE)))</f>
        <v/>
      </c>
      <c r="I124" s="95" t="str">
        <f>IF(IF(D124="", "", VLOOKUP(D124,'API Data Dictionary'!C:G,5,FALSE))=0, "", IF(D124="", "", VLOOKUP(D124,'API Data Dictionary'!C:G,5,FALSE)))</f>
        <v>Employee number from the company the person is employed by</v>
      </c>
    </row>
    <row r="125" spans="1:9" hidden="1">
      <c r="A125" s="97"/>
      <c r="B125" s="97"/>
      <c r="C125" s="97" t="s">
        <v>1373</v>
      </c>
      <c r="D125" s="95" t="str">
        <f t="shared" ref="D125:D175" si="2">IF(OR(ISNUMBER(SEARCH("{", C125)),ISNUMBER(SEARCH("[", C125))), "", IFERROR(MID(C125, SEARCH("""", C125) +1, SEARCH("""", C125, SEARCH("""",C125) +1) - SEARCH("""", C125) -1), ""))</f>
        <v>paymentScheduleId</v>
      </c>
      <c r="E125" s="95">
        <f>IF(D125="", "", VLOOKUP(D125,'API Data Dictionary'!C:L,10,FALSE))</f>
        <v>0</v>
      </c>
      <c r="F125" s="95" t="str">
        <f>IF(D125="", "", VLOOKUP(D125,'API Data Dictionary'!C:D,2,FALSE))</f>
        <v>enum - Income Term</v>
      </c>
      <c r="G125" s="95" t="str">
        <f>IF(IF(D125="", "", VLOOKUP(D125,'API Data Dictionary'!C:E,3,FALSE))=0, "", IF(D125="", "", VLOOKUP(D125,'API Data Dictionary'!C:E,3,FALSE)))</f>
        <v/>
      </c>
      <c r="H125" s="95" t="str">
        <f>IF(IF(D125="", "", VLOOKUP(D125,'API Data Dictionary'!C:F,4,FALSE))=0, "", IF(D125="", "", VLOOKUP(D125,'API Data Dictionary'!C:F,4,FALSE)))</f>
        <v>Valid Values 1-4 (See enum definition)</v>
      </c>
      <c r="I125" s="95" t="str">
        <f>IF(IF(D125="", "", VLOOKUP(D125,'API Data Dictionary'!C:G,5,FALSE))=0, "", IF(D125="", "", VLOOKUP(D125,'API Data Dictionary'!C:G,5,FALSE)))</f>
        <v xml:space="preserve">The schedule of the payments </v>
      </c>
    </row>
    <row r="126" spans="1:9" hidden="1">
      <c r="A126" s="97"/>
      <c r="B126" s="97"/>
      <c r="C126" s="97" t="s">
        <v>1374</v>
      </c>
      <c r="D126" s="95" t="str">
        <f t="shared" si="2"/>
        <v>employmentRefereeName</v>
      </c>
      <c r="E126" s="95">
        <f>IF(D126="", "", VLOOKUP(D126,'API Data Dictionary'!C:L,10,FALSE))</f>
        <v>0</v>
      </c>
      <c r="F126" s="95" t="str">
        <f>IF(D126="", "", VLOOKUP(D126,'API Data Dictionary'!C:D,2,FALSE))</f>
        <v>string</v>
      </c>
      <c r="G126" s="95">
        <f>IF(IF(D126="", "", VLOOKUP(D126,'API Data Dictionary'!C:E,3,FALSE))=0, "", IF(D126="", "", VLOOKUP(D126,'API Data Dictionary'!C:E,3,FALSE)))</f>
        <v>100</v>
      </c>
      <c r="H126" s="95" t="str">
        <f>IF(IF(D126="", "", VLOOKUP(D126,'API Data Dictionary'!C:F,4,FALSE))=0, "", IF(D126="", "", VLOOKUP(D126,'API Data Dictionary'!C:F,4,FALSE)))</f>
        <v/>
      </c>
      <c r="I126" s="95" t="str">
        <f>IF(IF(D126="", "", VLOOKUP(D126,'API Data Dictionary'!C:G,5,FALSE))=0, "", IF(D126="", "", VLOOKUP(D126,'API Data Dictionary'!C:G,5,FALSE)))</f>
        <v>The fulll name of the employment referee</v>
      </c>
    </row>
    <row r="127" spans="1:9" hidden="1">
      <c r="A127" s="97"/>
      <c r="B127" s="97"/>
      <c r="C127" s="97" t="s">
        <v>1375</v>
      </c>
      <c r="D127" s="95" t="str">
        <f t="shared" si="2"/>
        <v>employmentRefereeContactCountryID</v>
      </c>
      <c r="E127" s="95">
        <f>IF(D127="", "", VLOOKUP(D127,'API Data Dictionary'!C:L,10,FALSE))</f>
        <v>0</v>
      </c>
      <c r="F127" s="95" t="str">
        <f>IF(D127="", "", VLOOKUP(D127,'API Data Dictionary'!C:D,2,FALSE))</f>
        <v>enum -Country/Location Code</v>
      </c>
      <c r="G127" s="95" t="str">
        <f>IF(IF(D127="", "", VLOOKUP(D127,'API Data Dictionary'!C:E,3,FALSE))=0, "", IF(D127="", "", VLOOKUP(D127,'API Data Dictionary'!C:E,3,FALSE)))</f>
        <v/>
      </c>
      <c r="H127" s="95" t="str">
        <f>IF(IF(D127="", "", VLOOKUP(D127,'API Data Dictionary'!C:F,4,FALSE))=0, "", IF(D127="", "", VLOOKUP(D127,'API Data Dictionary'!C:F,4,FALSE)))</f>
        <v>Valid Values 1-239 (See enum definition)</v>
      </c>
      <c r="I127" s="95" t="str">
        <f>IF(IF(D127="", "", VLOOKUP(D127,'API Data Dictionary'!C:G,5,FALSE))=0, "", IF(D127="", "", VLOOKUP(D127,'API Data Dictionary'!C:G,5,FALSE)))</f>
        <v>The country/location code of the employment referee contact phone number</v>
      </c>
    </row>
    <row r="128" spans="1:9" hidden="1">
      <c r="A128" s="97"/>
      <c r="B128" s="97"/>
      <c r="C128" s="97" t="s">
        <v>1376</v>
      </c>
      <c r="D128" s="95" t="str">
        <f t="shared" si="2"/>
        <v>employmentRefereeContactNumber</v>
      </c>
      <c r="E128" s="95">
        <f>IF(D128="", "", VLOOKUP(D128,'API Data Dictionary'!C:L,10,FALSE))</f>
        <v>0</v>
      </c>
      <c r="F128" s="95" t="str">
        <f>IF(D128="", "", VLOOKUP(D128,'API Data Dictionary'!C:D,2,FALSE))</f>
        <v>string</v>
      </c>
      <c r="G128" s="95">
        <f>IF(IF(D128="", "", VLOOKUP(D128,'API Data Dictionary'!C:E,3,FALSE))=0, "", IF(D128="", "", VLOOKUP(D128,'API Data Dictionary'!C:E,3,FALSE)))</f>
        <v>15</v>
      </c>
      <c r="H128" s="95" t="str">
        <f>IF(IF(D128="", "", VLOOKUP(D128,'API Data Dictionary'!C:F,4,FALSE))=0, "", IF(D128="", "", VLOOKUP(D128,'API Data Dictionary'!C:F,4,FALSE)))</f>
        <v>pattern: ^(\d{11})$</v>
      </c>
      <c r="I128" s="95" t="str">
        <f>IF(IF(D128="", "", VLOOKUP(D128,'API Data Dictionary'!C:G,5,FALSE))=0, "", IF(D128="", "", VLOOKUP(D128,'API Data Dictionary'!C:G,5,FALSE)))</f>
        <v>The emplyment referee contact phone number</v>
      </c>
    </row>
    <row r="129" spans="1:9" hidden="1">
      <c r="A129" s="97"/>
      <c r="B129" s="97"/>
      <c r="C129" s="97" t="s">
        <v>1377</v>
      </c>
      <c r="D129" s="95" t="str">
        <f t="shared" si="2"/>
        <v>employmentRefereeMobileCountryID</v>
      </c>
      <c r="E129" s="95">
        <f>IF(D129="", "", VLOOKUP(D129,'API Data Dictionary'!C:L,10,FALSE))</f>
        <v>0</v>
      </c>
      <c r="F129" s="95" t="str">
        <f>IF(D129="", "", VLOOKUP(D129,'API Data Dictionary'!C:D,2,FALSE))</f>
        <v>enum -Country/Location Code</v>
      </c>
      <c r="G129" s="95" t="str">
        <f>IF(IF(D129="", "", VLOOKUP(D129,'API Data Dictionary'!C:E,3,FALSE))=0, "", IF(D129="", "", VLOOKUP(D129,'API Data Dictionary'!C:E,3,FALSE)))</f>
        <v/>
      </c>
      <c r="H129" s="95" t="str">
        <f>IF(IF(D129="", "", VLOOKUP(D129,'API Data Dictionary'!C:F,4,FALSE))=0, "", IF(D129="", "", VLOOKUP(D129,'API Data Dictionary'!C:F,4,FALSE)))</f>
        <v>Valid Values 1-239 (See enum definition)</v>
      </c>
      <c r="I129" s="95" t="str">
        <f>IF(IF(D129="", "", VLOOKUP(D129,'API Data Dictionary'!C:G,5,FALSE))=0, "", IF(D129="", "", VLOOKUP(D129,'API Data Dictionary'!C:G,5,FALSE)))</f>
        <v>The country/location code of the employment referee mobile phone number</v>
      </c>
    </row>
    <row r="130" spans="1:9" hidden="1">
      <c r="A130" s="97"/>
      <c r="B130" s="97"/>
      <c r="C130" s="97" t="s">
        <v>1378</v>
      </c>
      <c r="D130" s="95" t="str">
        <f t="shared" si="2"/>
        <v>employmentRefereeMobileNumber</v>
      </c>
      <c r="E130" s="95">
        <f>IF(D130="", "", VLOOKUP(D130,'API Data Dictionary'!C:L,10,FALSE))</f>
        <v>0</v>
      </c>
      <c r="F130" s="95" t="str">
        <f>IF(D130="", "", VLOOKUP(D130,'API Data Dictionary'!C:D,2,FALSE))</f>
        <v>string</v>
      </c>
      <c r="G130" s="95">
        <f>IF(IF(D130="", "", VLOOKUP(D130,'API Data Dictionary'!C:E,3,FALSE))=0, "", IF(D130="", "", VLOOKUP(D130,'API Data Dictionary'!C:E,3,FALSE)))</f>
        <v>15</v>
      </c>
      <c r="H130" s="95" t="str">
        <f>IF(IF(D130="", "", VLOOKUP(D130,'API Data Dictionary'!C:F,4,FALSE))=0, "", IF(D130="", "", VLOOKUP(D130,'API Data Dictionary'!C:F,4,FALSE)))</f>
        <v>pattern: ^(\d{11})$</v>
      </c>
      <c r="I130" s="95" t="str">
        <f>IF(IF(D130="", "", VLOOKUP(D130,'API Data Dictionary'!C:G,5,FALSE))=0, "", IF(D130="", "", VLOOKUP(D130,'API Data Dictionary'!C:G,5,FALSE)))</f>
        <v>The employment referee mobile phone number</v>
      </c>
    </row>
    <row r="131" spans="1:9" hidden="1">
      <c r="A131" s="97"/>
      <c r="B131" s="97"/>
      <c r="C131" s="97" t="s">
        <v>1379</v>
      </c>
      <c r="D131" s="95" t="str">
        <f t="shared" si="2"/>
        <v>employmentRefereeEmail</v>
      </c>
      <c r="E131" s="95">
        <f>IF(D131="", "", VLOOKUP(D131,'API Data Dictionary'!C:L,10,FALSE))</f>
        <v>0</v>
      </c>
      <c r="F131" s="95" t="str">
        <f>IF(D131="", "", VLOOKUP(D131,'API Data Dictionary'!C:D,2,FALSE))</f>
        <v>string ($email)</v>
      </c>
      <c r="G131" s="95">
        <f>IF(IF(D131="", "", VLOOKUP(D131,'API Data Dictionary'!C:E,3,FALSE))=0, "", IF(D131="", "", VLOOKUP(D131,'API Data Dictionary'!C:E,3,FALSE)))</f>
        <v>200</v>
      </c>
      <c r="H131" s="95" t="str">
        <f>IF(IF(D131="", "", VLOOKUP(D131,'API Data Dictionary'!C:F,4,FALSE))=0, "", IF(D131="", "", VLOOKUP(D131,'API Data Dictionary'!C:F,4,FALSE)))</f>
        <v>pattern: ^(?!.*\.\.)(?!.*\\_\\_)(?!.*\-\-)[a-zA-Z0-9][-a-zA-Z0-9._]+[a-zA-Z0-9]@([-a-zA-Z0-9]+.)+[a-zA-Z]{2,5}$</v>
      </c>
      <c r="I131" s="95" t="str">
        <f>IF(IF(D131="", "", VLOOKUP(D131,'API Data Dictionary'!C:G,5,FALSE))=0, "", IF(D131="", "", VLOOKUP(D131,'API Data Dictionary'!C:G,5,FALSE)))</f>
        <v>The email address of the referee</v>
      </c>
    </row>
    <row r="132" spans="1:9" hidden="1">
      <c r="A132" s="97"/>
      <c r="B132" s="97"/>
      <c r="C132" s="97" t="s">
        <v>1380</v>
      </c>
      <c r="D132" s="95" t="str">
        <f t="shared" si="2"/>
        <v>employmentRefereePosition</v>
      </c>
      <c r="E132" s="95">
        <f>IF(D132="", "", VLOOKUP(D132,'API Data Dictionary'!C:L,10,FALSE))</f>
        <v>0</v>
      </c>
      <c r="F132" s="95" t="str">
        <f>IF(D132="", "", VLOOKUP(D132,'API Data Dictionary'!C:D,2,FALSE))</f>
        <v>string</v>
      </c>
      <c r="G132" s="95">
        <f>IF(IF(D132="", "", VLOOKUP(D132,'API Data Dictionary'!C:E,3,FALSE))=0, "", IF(D132="", "", VLOOKUP(D132,'API Data Dictionary'!C:E,3,FALSE)))</f>
        <v>100</v>
      </c>
      <c r="H132" s="95" t="str">
        <f>IF(IF(D132="", "", VLOOKUP(D132,'API Data Dictionary'!C:F,4,FALSE))=0, "", IF(D132="", "", VLOOKUP(D132,'API Data Dictionary'!C:F,4,FALSE)))</f>
        <v/>
      </c>
      <c r="I132" s="95" t="str">
        <f>IF(IF(D132="", "", VLOOKUP(D132,'API Data Dictionary'!C:G,5,FALSE))=0, "", IF(D132="", "", VLOOKUP(D132,'API Data Dictionary'!C:G,5,FALSE)))</f>
        <v>The position of the employment referee in the company</v>
      </c>
    </row>
    <row r="133" spans="1:9" hidden="1">
      <c r="A133" s="97"/>
      <c r="B133" s="97"/>
      <c r="C133" s="97" t="s">
        <v>1381</v>
      </c>
      <c r="D133" s="95" t="str">
        <f t="shared" si="2"/>
        <v>addressLine1</v>
      </c>
      <c r="E133" s="95" t="str">
        <f>IF(D133="", "", VLOOKUP(D133,'API Data Dictionary'!C:L,10,FALSE))</f>
        <v>M</v>
      </c>
      <c r="F133" s="95" t="str">
        <f>IF(D133="", "", VLOOKUP(D133,'API Data Dictionary'!C:D,2,FALSE))</f>
        <v>string</v>
      </c>
      <c r="G133" s="95">
        <f>IF(IF(D133="", "", VLOOKUP(D133,'API Data Dictionary'!C:E,3,FALSE))=0, "", IF(D133="", "", VLOOKUP(D133,'API Data Dictionary'!C:E,3,FALSE)))</f>
        <v>100</v>
      </c>
      <c r="H133" s="95" t="str">
        <f>IF(IF(D133="", "", VLOOKUP(D133,'API Data Dictionary'!C:F,4,FALSE))=0, "", IF(D133="", "", VLOOKUP(D133,'API Data Dictionary'!C:F,4,FALSE)))</f>
        <v/>
      </c>
      <c r="I133" s="95" t="str">
        <f>IF(IF(D133="", "", VLOOKUP(D133,'API Data Dictionary'!C:G,5,FALSE))=0, "", IF(D133="", "", VLOOKUP(D133,'API Data Dictionary'!C:G,5,FALSE)))</f>
        <v>The first line of the property address</v>
      </c>
    </row>
    <row r="134" spans="1:9" hidden="1">
      <c r="A134" s="97"/>
      <c r="B134" s="97"/>
      <c r="C134" s="97" t="s">
        <v>1382</v>
      </c>
      <c r="D134" s="95" t="str">
        <f t="shared" si="2"/>
        <v>addressLine2</v>
      </c>
      <c r="E134" s="95" t="str">
        <f>IF(D134="", "", VLOOKUP(D134,'API Data Dictionary'!C:L,10,FALSE))</f>
        <v>x</v>
      </c>
      <c r="F134" s="95" t="str">
        <f>IF(D134="", "", VLOOKUP(D134,'API Data Dictionary'!C:D,2,FALSE))</f>
        <v>string</v>
      </c>
      <c r="G134" s="95">
        <f>IF(IF(D134="", "", VLOOKUP(D134,'API Data Dictionary'!C:E,3,FALSE))=0, "", IF(D134="", "", VLOOKUP(D134,'API Data Dictionary'!C:E,3,FALSE)))</f>
        <v>100</v>
      </c>
      <c r="H134" s="95" t="str">
        <f>IF(IF(D134="", "", VLOOKUP(D134,'API Data Dictionary'!C:F,4,FALSE))=0, "", IF(D134="", "", VLOOKUP(D134,'API Data Dictionary'!C:F,4,FALSE)))</f>
        <v/>
      </c>
      <c r="I134" s="95" t="str">
        <f>IF(IF(D134="", "", VLOOKUP(D134,'API Data Dictionary'!C:G,5,FALSE))=0, "", IF(D134="", "", VLOOKUP(D134,'API Data Dictionary'!C:G,5,FALSE)))</f>
        <v>The second line of the property address</v>
      </c>
    </row>
    <row r="135" spans="1:9" hidden="1">
      <c r="A135" s="97"/>
      <c r="B135" s="97"/>
      <c r="C135" s="97" t="s">
        <v>1383</v>
      </c>
      <c r="D135" s="95" t="str">
        <f t="shared" si="2"/>
        <v>city</v>
      </c>
      <c r="E135" s="95">
        <f>IF(D135="", "", VLOOKUP(D135,'API Data Dictionary'!C:L,10,FALSE))</f>
        <v>0</v>
      </c>
      <c r="F135" s="95" t="str">
        <f>IF(D135="", "", VLOOKUP(D135,'API Data Dictionary'!C:D,2,FALSE))</f>
        <v>string</v>
      </c>
      <c r="G135" s="95">
        <f>IF(IF(D135="", "", VLOOKUP(D135,'API Data Dictionary'!C:E,3,FALSE))=0, "", IF(D135="", "", VLOOKUP(D135,'API Data Dictionary'!C:E,3,FALSE)))</f>
        <v>100</v>
      </c>
      <c r="H135" s="95" t="str">
        <f>IF(IF(D135="", "", VLOOKUP(D135,'API Data Dictionary'!C:F,4,FALSE))=0, "", IF(D135="", "", VLOOKUP(D135,'API Data Dictionary'!C:F,4,FALSE)))</f>
        <v/>
      </c>
      <c r="I135" s="95" t="str">
        <f>IF(IF(D135="", "", VLOOKUP(D135,'API Data Dictionary'!C:G,5,FALSE))=0, "", IF(D135="", "", VLOOKUP(D135,'API Data Dictionary'!C:G,5,FALSE)))</f>
        <v>The town in which the property exists</v>
      </c>
    </row>
    <row r="136" spans="1:9" hidden="1">
      <c r="A136" s="97"/>
      <c r="B136" s="97"/>
      <c r="C136" s="97" t="s">
        <v>1384</v>
      </c>
      <c r="D136" s="95" t="str">
        <f t="shared" si="2"/>
        <v>postCode</v>
      </c>
      <c r="E136" s="95" t="str">
        <f>IF(D136="", "", VLOOKUP(D136,'API Data Dictionary'!C:L,10,FALSE))</f>
        <v>M</v>
      </c>
      <c r="F136" s="95" t="str">
        <f>IF(D136="", "", VLOOKUP(D136,'API Data Dictionary'!C:D,2,FALSE))</f>
        <v>string</v>
      </c>
      <c r="G136" s="95">
        <f>IF(IF(D136="", "", VLOOKUP(D136,'API Data Dictionary'!C:E,3,FALSE))=0, "", IF(D136="", "", VLOOKUP(D136,'API Data Dictionary'!C:E,3,FALSE)))</f>
        <v>50</v>
      </c>
      <c r="H136" s="95" t="str">
        <f>IF(IF(D136="", "", VLOOKUP(D136,'API Data Dictionary'!C:F,4,FALSE))=0, "", IF(D136="", "", VLOOKUP(D136,'API Data Dictionary'!C:F,4,FALSE)))</f>
        <v/>
      </c>
      <c r="I136" s="95" t="str">
        <f>IF(IF(D136="", "", VLOOKUP(D136,'API Data Dictionary'!C:G,5,FALSE))=0, "", IF(D136="", "", VLOOKUP(D136,'API Data Dictionary'!C:G,5,FALSE)))</f>
        <v>the postcode of the property</v>
      </c>
    </row>
    <row r="137" spans="1:9" hidden="1">
      <c r="A137" s="97"/>
      <c r="B137" s="97"/>
      <c r="C137" s="97" t="s">
        <v>1385</v>
      </c>
      <c r="D137" s="95" t="str">
        <f t="shared" si="2"/>
        <v>employmentTypeId</v>
      </c>
      <c r="E137" s="95">
        <f>IF(D137="", "", VLOOKUP(D137,'API Data Dictionary'!C:L,10,FALSE))</f>
        <v>0</v>
      </c>
      <c r="F137" s="95" t="str">
        <f>IF(D137="", "", VLOOKUP(D137,'API Data Dictionary'!C:D,2,FALSE))</f>
        <v xml:space="preserve">enum - employmentTypeId	</v>
      </c>
      <c r="G137" s="95" t="str">
        <f>IF(IF(D137="", "", VLOOKUP(D137,'API Data Dictionary'!C:E,3,FALSE))=0, "", IF(D137="", "", VLOOKUP(D137,'API Data Dictionary'!C:E,3,FALSE)))</f>
        <v/>
      </c>
      <c r="H137" s="95" t="str">
        <f>IF(IF(D137="", "", VLOOKUP(D137,'API Data Dictionary'!C:F,4,FALSE))=0, "", IF(D137="", "", VLOOKUP(D137,'API Data Dictionary'!C:F,4,FALSE)))</f>
        <v>Valid Values 1-4 (See enum definition)</v>
      </c>
      <c r="I137" s="95" t="str">
        <f>IF(IF(D137="", "", VLOOKUP(D137,'API Data Dictionary'!C:G,5,FALSE))=0, "", IF(D137="", "", VLOOKUP(D137,'API Data Dictionary'!C:G,5,FALSE)))</f>
        <v>Employment Type from the enum lists, e.g. permenant full time</v>
      </c>
    </row>
    <row r="138" spans="1:9" hidden="1">
      <c r="A138" s="97"/>
      <c r="B138" s="97"/>
      <c r="C138" s="97" t="s">
        <v>1386</v>
      </c>
      <c r="D138" s="95" t="str">
        <f t="shared" si="2"/>
        <v>employmentZeroHourContract</v>
      </c>
      <c r="E138" s="95">
        <f>IF(D138="", "", VLOOKUP(D138,'API Data Dictionary'!C:L,10,FALSE))</f>
        <v>0</v>
      </c>
      <c r="F138" s="95" t="str">
        <f>IF(D138="", "", VLOOKUP(D138,'API Data Dictionary'!C:D,2,FALSE))</f>
        <v>boolean</v>
      </c>
      <c r="G138" s="95" t="str">
        <f>IF(IF(D138="", "", VLOOKUP(D138,'API Data Dictionary'!C:E,3,FALSE))=0, "", IF(D138="", "", VLOOKUP(D138,'API Data Dictionary'!C:E,3,FALSE)))</f>
        <v/>
      </c>
      <c r="H138" s="95" t="str">
        <f>IF(IF(D138="", "", VLOOKUP(D138,'API Data Dictionary'!C:F,4,FALSE))=0, "", IF(D138="", "", VLOOKUP(D138,'API Data Dictionary'!C:F,4,FALSE)))</f>
        <v/>
      </c>
      <c r="I138" s="95" t="str">
        <f>IF(IF(D138="", "", VLOOKUP(D138,'API Data Dictionary'!C:G,5,FALSE))=0, "", IF(D138="", "", VLOOKUP(D138,'API Data Dictionary'!C:G,5,FALSE)))</f>
        <v>Denotes if emplyed on a zero hour contract</v>
      </c>
    </row>
    <row r="139" spans="1:9" hidden="1">
      <c r="A139" s="97"/>
      <c r="B139" s="97"/>
      <c r="C139" s="97" t="s">
        <v>1349</v>
      </c>
      <c r="D139" s="95" t="str">
        <f t="shared" si="2"/>
        <v/>
      </c>
      <c r="E139" s="95" t="str">
        <f>IF(D139="", "", VLOOKUP(D139,'API Data Dictionary'!C:L,10,FALSE))</f>
        <v/>
      </c>
      <c r="F139" s="95" t="str">
        <f>IF(D139="", "", VLOOKUP(D139,'API Data Dictionary'!C:D,2,FALSE))</f>
        <v/>
      </c>
      <c r="G139" s="95" t="str">
        <f>IF(IF(D139="", "", VLOOKUP(D139,'API Data Dictionary'!C:E,3,FALSE))=0, "", IF(D139="", "", VLOOKUP(D139,'API Data Dictionary'!C:E,3,FALSE)))</f>
        <v/>
      </c>
      <c r="H139" s="95" t="str">
        <f>IF(IF(D139="", "", VLOOKUP(D139,'API Data Dictionary'!C:F,4,FALSE))=0, "", IF(D139="", "", VLOOKUP(D139,'API Data Dictionary'!C:F,4,FALSE)))</f>
        <v/>
      </c>
      <c r="I139" s="95" t="str">
        <f>IF(IF(D139="", "", VLOOKUP(D139,'API Data Dictionary'!C:G,5,FALSE))=0, "", IF(D139="", "", VLOOKUP(D139,'API Data Dictionary'!C:G,5,FALSE)))</f>
        <v/>
      </c>
    </row>
    <row r="140" spans="1:9" hidden="1">
      <c r="A140" s="97"/>
      <c r="B140" s="97"/>
      <c r="C140" s="97" t="s">
        <v>1387</v>
      </c>
      <c r="D140" s="95" t="str">
        <f t="shared" si="2"/>
        <v/>
      </c>
      <c r="E140" s="95" t="str">
        <f>IF(D140="", "", VLOOKUP(D140,'API Data Dictionary'!C:L,10,FALSE))</f>
        <v/>
      </c>
      <c r="F140" s="95" t="str">
        <f>IF(D140="", "", VLOOKUP(D140,'API Data Dictionary'!C:D,2,FALSE))</f>
        <v/>
      </c>
      <c r="G140" s="95" t="str">
        <f>IF(IF(D140="", "", VLOOKUP(D140,'API Data Dictionary'!C:E,3,FALSE))=0, "", IF(D140="", "", VLOOKUP(D140,'API Data Dictionary'!C:E,3,FALSE)))</f>
        <v/>
      </c>
      <c r="H140" s="95" t="str">
        <f>IF(IF(D140="", "", VLOOKUP(D140,'API Data Dictionary'!C:F,4,FALSE))=0, "", IF(D140="", "", VLOOKUP(D140,'API Data Dictionary'!C:F,4,FALSE)))</f>
        <v/>
      </c>
      <c r="I140" s="95" t="str">
        <f>IF(IF(D140="", "", VLOOKUP(D140,'API Data Dictionary'!C:G,5,FALSE))=0, "", IF(D140="", "", VLOOKUP(D140,'API Data Dictionary'!C:G,5,FALSE)))</f>
        <v/>
      </c>
    </row>
    <row r="141" spans="1:9" hidden="1">
      <c r="A141" s="97"/>
      <c r="B141" s="97"/>
      <c r="C141" s="97" t="s">
        <v>1388</v>
      </c>
      <c r="D141" s="95" t="str">
        <f t="shared" si="2"/>
        <v>tradingTypeId</v>
      </c>
      <c r="E141" s="95">
        <f>IF(D141="", "", VLOOKUP(D141,'API Data Dictionary'!C:L,10,FALSE))</f>
        <v>0</v>
      </c>
      <c r="F141" s="95" t="str">
        <f>IF(D141="", "", VLOOKUP(D141,'API Data Dictionary'!C:D,2,FALSE))</f>
        <v>enum - tradingTypeId</v>
      </c>
      <c r="G141" s="95" t="str">
        <f>IF(IF(D141="", "", VLOOKUP(D141,'API Data Dictionary'!C:E,3,FALSE))=0, "", IF(D141="", "", VLOOKUP(D141,'API Data Dictionary'!C:E,3,FALSE)))</f>
        <v/>
      </c>
      <c r="H141" s="95" t="str">
        <f>IF(IF(D141="", "", VLOOKUP(D141,'API Data Dictionary'!C:F,4,FALSE))=0, "", IF(D141="", "", VLOOKUP(D141,'API Data Dictionary'!C:F,4,FALSE)))</f>
        <v>Valid Values  (See enum definition)</v>
      </c>
      <c r="I141" s="95" t="str">
        <f>IF(IF(D141="", "", VLOOKUP(D141,'API Data Dictionary'!C:G,5,FALSE))=0, "", IF(D141="", "", VLOOKUP(D141,'API Data Dictionary'!C:G,5,FALSE)))</f>
        <v>The trading type of the self employed person</v>
      </c>
    </row>
    <row r="142" spans="1:9" hidden="1">
      <c r="A142" s="97"/>
      <c r="B142" s="97"/>
      <c r="C142" s="97" t="s">
        <v>1389</v>
      </c>
      <c r="D142" s="95" t="str">
        <f t="shared" si="2"/>
        <v>startDateOfSelfEmployment</v>
      </c>
      <c r="E142" s="95">
        <f>IF(D142="", "", VLOOKUP(D142,'API Data Dictionary'!C:L,10,FALSE))</f>
        <v>0</v>
      </c>
      <c r="F142" s="95" t="str">
        <f>IF(D142="", "", VLOOKUP(D142,'API Data Dictionary'!C:D,2,FALSE))</f>
        <v>string ($date-time)</v>
      </c>
      <c r="G142" s="95" t="str">
        <f>IF(IF(D142="", "", VLOOKUP(D142,'API Data Dictionary'!C:E,3,FALSE))=0, "", IF(D142="", "", VLOOKUP(D142,'API Data Dictionary'!C:E,3,FALSE)))</f>
        <v/>
      </c>
      <c r="H142" s="95" t="str">
        <f>IF(IF(D142="", "", VLOOKUP(D142,'API Data Dictionary'!C:F,4,FALSE))=0, "", IF(D142="", "", VLOOKUP(D142,'API Data Dictionary'!C:F,4,FALSE)))</f>
        <v xml:space="preserve"> DD/MM/YYYY</v>
      </c>
      <c r="I142" s="95" t="str">
        <f>IF(IF(D142="", "", VLOOKUP(D142,'API Data Dictionary'!C:G,5,FALSE))=0, "", IF(D142="", "", VLOOKUP(D142,'API Data Dictionary'!C:G,5,FALSE)))</f>
        <v>Start date of self employment, formatted DD/MM/YYYY</v>
      </c>
    </row>
    <row r="143" spans="1:9" hidden="1">
      <c r="A143" s="97"/>
      <c r="B143" s="97"/>
      <c r="C143" s="97" t="s">
        <v>1390</v>
      </c>
      <c r="D143" s="95" t="str">
        <f t="shared" si="2"/>
        <v>selfEmployedAnnualIncome</v>
      </c>
      <c r="E143" s="95">
        <f>IF(D143="", "", VLOOKUP(D143,'API Data Dictionary'!C:L,10,FALSE))</f>
        <v>0</v>
      </c>
      <c r="F143" s="95" t="str">
        <f>IF(D143="", "", VLOOKUP(D143,'API Data Dictionary'!C:D,2,FALSE))</f>
        <v>number (double)</v>
      </c>
      <c r="G143" s="95" t="str">
        <f>IF(IF(D143="", "", VLOOKUP(D143,'API Data Dictionary'!C:E,3,FALSE))=0, "", IF(D143="", "", VLOOKUP(D143,'API Data Dictionary'!C:E,3,FALSE)))</f>
        <v/>
      </c>
      <c r="H143" s="95" t="str">
        <f>IF(IF(D143="", "", VLOOKUP(D143,'API Data Dictionary'!C:F,4,FALSE))=0, "", IF(D143="", "", VLOOKUP(D143,'API Data Dictionary'!C:F,4,FALSE)))</f>
        <v>pattern: ^\d*.\d{0,2}$</v>
      </c>
      <c r="I143" s="95" t="str">
        <f>IF(IF(D143="", "", VLOOKUP(D143,'API Data Dictionary'!C:G,5,FALSE))=0, "", IF(D143="", "", VLOOKUP(D143,'API Data Dictionary'!C:G,5,FALSE)))</f>
        <v>The self employed annual income in GBP</v>
      </c>
    </row>
    <row r="144" spans="1:9" hidden="1">
      <c r="A144" s="97"/>
      <c r="B144" s="97"/>
      <c r="C144" s="97" t="s">
        <v>1391</v>
      </c>
      <c r="D144" s="95" t="str">
        <f t="shared" si="2"/>
        <v>taxReturnSubmitted</v>
      </c>
      <c r="E144" s="95">
        <f>IF(D144="", "", VLOOKUP(D144,'API Data Dictionary'!C:L,10,FALSE))</f>
        <v>0</v>
      </c>
      <c r="F144" s="95" t="str">
        <f>IF(D144="", "", VLOOKUP(D144,'API Data Dictionary'!C:D,2,FALSE))</f>
        <v>boolean</v>
      </c>
      <c r="G144" s="95" t="str">
        <f>IF(IF(D144="", "", VLOOKUP(D144,'API Data Dictionary'!C:E,3,FALSE))=0, "", IF(D144="", "", VLOOKUP(D144,'API Data Dictionary'!C:E,3,FALSE)))</f>
        <v/>
      </c>
      <c r="H144" s="95" t="str">
        <f>IF(IF(D144="", "", VLOOKUP(D144,'API Data Dictionary'!C:F,4,FALSE))=0, "", IF(D144="", "", VLOOKUP(D144,'API Data Dictionary'!C:F,4,FALSE)))</f>
        <v/>
      </c>
      <c r="I144" s="95" t="str">
        <f>IF(IF(D144="", "", VLOOKUP(D144,'API Data Dictionary'!C:G,5,FALSE))=0, "", IF(D144="", "", VLOOKUP(D144,'API Data Dictionary'!C:G,5,FALSE)))</f>
        <v>Denotes whether a tax return is submitted</v>
      </c>
    </row>
    <row r="145" spans="1:9" hidden="1">
      <c r="A145" s="97"/>
      <c r="B145" s="97"/>
      <c r="C145" s="97" t="s">
        <v>1392</v>
      </c>
      <c r="D145" s="95" t="str">
        <f t="shared" si="2"/>
        <v>doesApplicantUseAccountant</v>
      </c>
      <c r="E145" s="95">
        <f>IF(D145="", "", VLOOKUP(D145,'API Data Dictionary'!C:L,10,FALSE))</f>
        <v>0</v>
      </c>
      <c r="F145" s="95" t="str">
        <f>IF(D145="", "", VLOOKUP(D145,'API Data Dictionary'!C:D,2,FALSE))</f>
        <v>boolean</v>
      </c>
      <c r="G145" s="95" t="str">
        <f>IF(IF(D145="", "", VLOOKUP(D145,'API Data Dictionary'!C:E,3,FALSE))=0, "", IF(D145="", "", VLOOKUP(D145,'API Data Dictionary'!C:E,3,FALSE)))</f>
        <v/>
      </c>
      <c r="H145" s="95" t="str">
        <f>IF(IF(D145="", "", VLOOKUP(D145,'API Data Dictionary'!C:F,4,FALSE))=0, "", IF(D145="", "", VLOOKUP(D145,'API Data Dictionary'!C:F,4,FALSE)))</f>
        <v/>
      </c>
      <c r="I145" s="95" t="str">
        <f>IF(IF(D145="", "", VLOOKUP(D145,'API Data Dictionary'!C:G,5,FALSE))=0, "", IF(D145="", "", VLOOKUP(D145,'API Data Dictionary'!C:G,5,FALSE)))</f>
        <v>Denotes whether an accountacy firm is used</v>
      </c>
    </row>
    <row r="146" spans="1:9" hidden="1">
      <c r="A146" s="97"/>
      <c r="B146" s="97"/>
      <c r="C146" s="97" t="s">
        <v>1393</v>
      </c>
      <c r="D146" s="95" t="str">
        <f t="shared" si="2"/>
        <v>accountantCompanyName</v>
      </c>
      <c r="E146" s="95">
        <f>IF(D146="", "", VLOOKUP(D146,'API Data Dictionary'!C:L,10,FALSE))</f>
        <v>0</v>
      </c>
      <c r="F146" s="95" t="str">
        <f>IF(D146="", "", VLOOKUP(D146,'API Data Dictionary'!C:D,2,FALSE))</f>
        <v>string</v>
      </c>
      <c r="G146" s="95">
        <f>IF(IF(D146="", "", VLOOKUP(D146,'API Data Dictionary'!C:E,3,FALSE))=0, "", IF(D146="", "", VLOOKUP(D146,'API Data Dictionary'!C:E,3,FALSE)))</f>
        <v>500</v>
      </c>
      <c r="H146" s="95" t="str">
        <f>IF(IF(D146="", "", VLOOKUP(D146,'API Data Dictionary'!C:F,4,FALSE))=0, "", IF(D146="", "", VLOOKUP(D146,'API Data Dictionary'!C:F,4,FALSE)))</f>
        <v/>
      </c>
      <c r="I146" s="95" t="str">
        <f>IF(IF(D146="", "", VLOOKUP(D146,'API Data Dictionary'!C:G,5,FALSE))=0, "", IF(D146="", "", VLOOKUP(D146,'API Data Dictionary'!C:G,5,FALSE)))</f>
        <v>The name of the accountancy company</v>
      </c>
    </row>
    <row r="147" spans="1:9" hidden="1">
      <c r="A147" s="97"/>
      <c r="B147" s="97"/>
      <c r="C147" s="97" t="s">
        <v>1394</v>
      </c>
      <c r="D147" s="95" t="str">
        <f t="shared" si="2"/>
        <v>accountantContactName</v>
      </c>
      <c r="E147" s="95">
        <f>IF(D147="", "", VLOOKUP(D147,'API Data Dictionary'!C:L,10,FALSE))</f>
        <v>0</v>
      </c>
      <c r="F147" s="95" t="str">
        <f>IF(D147="", "", VLOOKUP(D147,'API Data Dictionary'!C:D,2,FALSE))</f>
        <v>string</v>
      </c>
      <c r="G147" s="95">
        <f>IF(IF(D147="", "", VLOOKUP(D147,'API Data Dictionary'!C:E,3,FALSE))=0, "", IF(D147="", "", VLOOKUP(D147,'API Data Dictionary'!C:E,3,FALSE)))</f>
        <v>100</v>
      </c>
      <c r="H147" s="95" t="str">
        <f>IF(IF(D147="", "", VLOOKUP(D147,'API Data Dictionary'!C:F,4,FALSE))=0, "", IF(D147="", "", VLOOKUP(D147,'API Data Dictionary'!C:F,4,FALSE)))</f>
        <v>pattern: ^[a-zA-Z0-9\-' ]*$</v>
      </c>
      <c r="I147" s="95" t="str">
        <f>IF(IF(D147="", "", VLOOKUP(D147,'API Data Dictionary'!C:G,5,FALSE))=0, "", IF(D147="", "", VLOOKUP(D147,'API Data Dictionary'!C:G,5,FALSE)))</f>
        <v>The Fulll name of the accountant company's contact</v>
      </c>
    </row>
    <row r="148" spans="1:9" hidden="1">
      <c r="A148" s="97"/>
      <c r="B148" s="97"/>
      <c r="C148" s="97" t="s">
        <v>1395</v>
      </c>
      <c r="D148" s="95" t="str">
        <f t="shared" si="2"/>
        <v>accountantContactNoCountryId</v>
      </c>
      <c r="E148" s="95">
        <f>IF(D148="", "", VLOOKUP(D148,'API Data Dictionary'!C:L,10,FALSE))</f>
        <v>0</v>
      </c>
      <c r="F148" s="95" t="str">
        <f>IF(D148="", "", VLOOKUP(D148,'API Data Dictionary'!C:D,2,FALSE))</f>
        <v>enum -Country/Location Code</v>
      </c>
      <c r="G148" s="95" t="str">
        <f>IF(IF(D148="", "", VLOOKUP(D148,'API Data Dictionary'!C:E,3,FALSE))=0, "", IF(D148="", "", VLOOKUP(D148,'API Data Dictionary'!C:E,3,FALSE)))</f>
        <v/>
      </c>
      <c r="H148" s="95" t="str">
        <f>IF(IF(D148="", "", VLOOKUP(D148,'API Data Dictionary'!C:F,4,FALSE))=0, "", IF(D148="", "", VLOOKUP(D148,'API Data Dictionary'!C:F,4,FALSE)))</f>
        <v>Valid Values 1-239 (See enum definition)</v>
      </c>
      <c r="I148" s="95" t="str">
        <f>IF(IF(D148="", "", VLOOKUP(D148,'API Data Dictionary'!C:G,5,FALSE))=0, "", IF(D148="", "", VLOOKUP(D148,'API Data Dictionary'!C:G,5,FALSE)))</f>
        <v>The country/location code of the Accountant contact phone number</v>
      </c>
    </row>
    <row r="149" spans="1:9" hidden="1">
      <c r="A149" s="97"/>
      <c r="B149" s="97"/>
      <c r="C149" s="97" t="s">
        <v>1396</v>
      </c>
      <c r="D149" s="95" t="str">
        <f t="shared" si="2"/>
        <v>accountantContactNumber</v>
      </c>
      <c r="E149" s="95">
        <f>IF(D149="", "", VLOOKUP(D149,'API Data Dictionary'!C:L,10,FALSE))</f>
        <v>0</v>
      </c>
      <c r="F149" s="95" t="str">
        <f>IF(D149="", "", VLOOKUP(D149,'API Data Dictionary'!C:D,2,FALSE))</f>
        <v>string</v>
      </c>
      <c r="G149" s="95">
        <f>IF(IF(D149="", "", VLOOKUP(D149,'API Data Dictionary'!C:E,3,FALSE))=0, "", IF(D149="", "", VLOOKUP(D149,'API Data Dictionary'!C:E,3,FALSE)))</f>
        <v>15</v>
      </c>
      <c r="H149" s="95" t="str">
        <f>IF(IF(D149="", "", VLOOKUP(D149,'API Data Dictionary'!C:F,4,FALSE))=0, "", IF(D149="", "", VLOOKUP(D149,'API Data Dictionary'!C:F,4,FALSE)))</f>
        <v>pattern: ^(\d{11})$</v>
      </c>
      <c r="I149" s="95" t="str">
        <f>IF(IF(D149="", "", VLOOKUP(D149,'API Data Dictionary'!C:G,5,FALSE))=0, "", IF(D149="", "", VLOOKUP(D149,'API Data Dictionary'!C:G,5,FALSE)))</f>
        <v>The Accountant contact phone number</v>
      </c>
    </row>
    <row r="150" spans="1:9" hidden="1">
      <c r="A150" s="97"/>
      <c r="B150" s="97"/>
      <c r="C150" s="97" t="s">
        <v>1397</v>
      </c>
      <c r="D150" s="95" t="str">
        <f t="shared" si="2"/>
        <v>accountantMobileNoCountryId</v>
      </c>
      <c r="E150" s="95">
        <f>IF(D150="", "", VLOOKUP(D150,'API Data Dictionary'!C:L,10,FALSE))</f>
        <v>0</v>
      </c>
      <c r="F150" s="95" t="str">
        <f>IF(D150="", "", VLOOKUP(D150,'API Data Dictionary'!C:D,2,FALSE))</f>
        <v>enum -Country/Location Code</v>
      </c>
      <c r="G150" s="95" t="str">
        <f>IF(IF(D150="", "", VLOOKUP(D150,'API Data Dictionary'!C:E,3,FALSE))=0, "", IF(D150="", "", VLOOKUP(D150,'API Data Dictionary'!C:E,3,FALSE)))</f>
        <v/>
      </c>
      <c r="H150" s="95" t="str">
        <f>IF(IF(D150="", "", VLOOKUP(D150,'API Data Dictionary'!C:F,4,FALSE))=0, "", IF(D150="", "", VLOOKUP(D150,'API Data Dictionary'!C:F,4,FALSE)))</f>
        <v>Valid Values 1-239 (See enum definition)</v>
      </c>
      <c r="I150" s="95" t="str">
        <f>IF(IF(D150="", "", VLOOKUP(D150,'API Data Dictionary'!C:G,5,FALSE))=0, "", IF(D150="", "", VLOOKUP(D150,'API Data Dictionary'!C:G,5,FALSE)))</f>
        <v>The country/location code of the Accountant mobile phone number</v>
      </c>
    </row>
    <row r="151" spans="1:9" hidden="1">
      <c r="A151" s="97"/>
      <c r="B151" s="97"/>
      <c r="C151" s="97" t="s">
        <v>1398</v>
      </c>
      <c r="D151" s="95" t="str">
        <f t="shared" si="2"/>
        <v>accountantMobileNumber</v>
      </c>
      <c r="E151" s="95">
        <f>IF(D151="", "", VLOOKUP(D151,'API Data Dictionary'!C:L,10,FALSE))</f>
        <v>0</v>
      </c>
      <c r="F151" s="95" t="str">
        <f>IF(D151="", "", VLOOKUP(D151,'API Data Dictionary'!C:D,2,FALSE))</f>
        <v>string</v>
      </c>
      <c r="G151" s="95">
        <f>IF(IF(D151="", "", VLOOKUP(D151,'API Data Dictionary'!C:E,3,FALSE))=0, "", IF(D151="", "", VLOOKUP(D151,'API Data Dictionary'!C:E,3,FALSE)))</f>
        <v>15</v>
      </c>
      <c r="H151" s="95" t="str">
        <f>IF(IF(D151="", "", VLOOKUP(D151,'API Data Dictionary'!C:F,4,FALSE))=0, "", IF(D151="", "", VLOOKUP(D151,'API Data Dictionary'!C:F,4,FALSE)))</f>
        <v>pattern: ^(\d{11})$</v>
      </c>
      <c r="I151" s="95" t="str">
        <f>IF(IF(D151="", "", VLOOKUP(D151,'API Data Dictionary'!C:G,5,FALSE))=0, "", IF(D151="", "", VLOOKUP(D151,'API Data Dictionary'!C:G,5,FALSE)))</f>
        <v>The Accountant mobile phone number</v>
      </c>
    </row>
    <row r="152" spans="1:9" hidden="1">
      <c r="A152" s="97"/>
      <c r="B152" s="97"/>
      <c r="C152" s="97" t="s">
        <v>1399</v>
      </c>
      <c r="D152" s="95" t="str">
        <f t="shared" si="2"/>
        <v>accountantEmailAddress</v>
      </c>
      <c r="E152" s="95">
        <f>IF(D152="", "", VLOOKUP(D152,'API Data Dictionary'!C:L,10,FALSE))</f>
        <v>0</v>
      </c>
      <c r="F152" s="95" t="str">
        <f>IF(D152="", "", VLOOKUP(D152,'API Data Dictionary'!C:D,2,FALSE))</f>
        <v>string ($email)</v>
      </c>
      <c r="G152" s="95">
        <f>IF(IF(D152="", "", VLOOKUP(D152,'API Data Dictionary'!C:E,3,FALSE))=0, "", IF(D152="", "", VLOOKUP(D152,'API Data Dictionary'!C:E,3,FALSE)))</f>
        <v>200</v>
      </c>
      <c r="H152" s="95" t="str">
        <f>IF(IF(D152="", "", VLOOKUP(D152,'API Data Dictionary'!C:F,4,FALSE))=0, "", IF(D152="", "", VLOOKUP(D152,'API Data Dictionary'!C:F,4,FALSE)))</f>
        <v>pattern: ^(?!.*\.\.)(?!.*\\_\\_)(?!.*\-\-)[a-zA-Z0-9][-a-zA-Z0-9._]+[a-zA-Z0-9]@([-a-zA-Z0-9]+.)+[a-zA-Z]{2,5}$</v>
      </c>
      <c r="I152" s="95" t="str">
        <f>IF(IF(D152="", "", VLOOKUP(D152,'API Data Dictionary'!C:G,5,FALSE))=0, "", IF(D152="", "", VLOOKUP(D152,'API Data Dictionary'!C:G,5,FALSE)))</f>
        <v>The Accountant email address</v>
      </c>
    </row>
    <row r="153" spans="1:9" hidden="1">
      <c r="A153" s="97"/>
      <c r="B153" s="97"/>
      <c r="C153" s="97" t="s">
        <v>1400</v>
      </c>
      <c r="D153" s="95" t="str">
        <f t="shared" si="2"/>
        <v>accountantContactPosition</v>
      </c>
      <c r="E153" s="95">
        <f>IF(D153="", "", VLOOKUP(D153,'API Data Dictionary'!C:L,10,FALSE))</f>
        <v>0</v>
      </c>
      <c r="F153" s="95" t="str">
        <f>IF(D153="", "", VLOOKUP(D153,'API Data Dictionary'!C:D,2,FALSE))</f>
        <v>string</v>
      </c>
      <c r="G153" s="95">
        <f>IF(IF(D153="", "", VLOOKUP(D153,'API Data Dictionary'!C:E,3,FALSE))=0, "", IF(D153="", "", VLOOKUP(D153,'API Data Dictionary'!C:E,3,FALSE)))</f>
        <v>100</v>
      </c>
      <c r="H153" s="95" t="str">
        <f>IF(IF(D153="", "", VLOOKUP(D153,'API Data Dictionary'!C:F,4,FALSE))=0, "", IF(D153="", "", VLOOKUP(D153,'API Data Dictionary'!C:F,4,FALSE)))</f>
        <v/>
      </c>
      <c r="I153" s="95" t="str">
        <f>IF(IF(D153="", "", VLOOKUP(D153,'API Data Dictionary'!C:G,5,FALSE))=0, "", IF(D153="", "", VLOOKUP(D153,'API Data Dictionary'!C:G,5,FALSE)))</f>
        <v>The account contact's position in the company</v>
      </c>
    </row>
    <row r="154" spans="1:9" hidden="1">
      <c r="A154" s="97"/>
      <c r="B154" s="97"/>
      <c r="C154" s="97" t="s">
        <v>1349</v>
      </c>
      <c r="D154" s="95" t="str">
        <f t="shared" si="2"/>
        <v/>
      </c>
      <c r="E154" s="95" t="str">
        <f>IF(D154="", "", VLOOKUP(D154,'API Data Dictionary'!C:L,10,FALSE))</f>
        <v/>
      </c>
      <c r="F154" s="95" t="str">
        <f>IF(D154="", "", VLOOKUP(D154,'API Data Dictionary'!C:D,2,FALSE))</f>
        <v/>
      </c>
      <c r="G154" s="95" t="str">
        <f>IF(IF(D154="", "", VLOOKUP(D154,'API Data Dictionary'!C:E,3,FALSE))=0, "", IF(D154="", "", VLOOKUP(D154,'API Data Dictionary'!C:E,3,FALSE)))</f>
        <v/>
      </c>
      <c r="H154" s="95" t="str">
        <f>IF(IF(D154="", "", VLOOKUP(D154,'API Data Dictionary'!C:F,4,FALSE))=0, "", IF(D154="", "", VLOOKUP(D154,'API Data Dictionary'!C:F,4,FALSE)))</f>
        <v/>
      </c>
      <c r="I154" s="95" t="str">
        <f>IF(IF(D154="", "", VLOOKUP(D154,'API Data Dictionary'!C:G,5,FALSE))=0, "", IF(D154="", "", VLOOKUP(D154,'API Data Dictionary'!C:G,5,FALSE)))</f>
        <v/>
      </c>
    </row>
    <row r="155" spans="1:9" hidden="1">
      <c r="A155" s="97"/>
      <c r="B155" s="97"/>
      <c r="C155" s="97" t="s">
        <v>1401</v>
      </c>
      <c r="D155" s="95" t="str">
        <f t="shared" si="2"/>
        <v/>
      </c>
      <c r="E155" s="95" t="str">
        <f>IF(D155="", "", VLOOKUP(D155,'API Data Dictionary'!C:L,10,FALSE))</f>
        <v/>
      </c>
      <c r="F155" s="95" t="str">
        <f>IF(D155="", "", VLOOKUP(D155,'API Data Dictionary'!C:D,2,FALSE))</f>
        <v/>
      </c>
      <c r="G155" s="95" t="str">
        <f>IF(IF(D155="", "", VLOOKUP(D155,'API Data Dictionary'!C:E,3,FALSE))=0, "", IF(D155="", "", VLOOKUP(D155,'API Data Dictionary'!C:E,3,FALSE)))</f>
        <v/>
      </c>
      <c r="H155" s="95" t="str">
        <f>IF(IF(D155="", "", VLOOKUP(D155,'API Data Dictionary'!C:F,4,FALSE))=0, "", IF(D155="", "", VLOOKUP(D155,'API Data Dictionary'!C:F,4,FALSE)))</f>
        <v/>
      </c>
      <c r="I155" s="95" t="str">
        <f>IF(IF(D155="", "", VLOOKUP(D155,'API Data Dictionary'!C:G,5,FALSE))=0, "", IF(D155="", "", VLOOKUP(D155,'API Data Dictionary'!C:G,5,FALSE)))</f>
        <v/>
      </c>
    </row>
    <row r="156" spans="1:9" hidden="1">
      <c r="A156" s="97"/>
      <c r="B156" s="97"/>
      <c r="C156" s="97" t="s">
        <v>1402</v>
      </c>
      <c r="D156" s="95" t="str">
        <f t="shared" si="2"/>
        <v>pensionProvider</v>
      </c>
      <c r="E156" s="95">
        <f>IF(D156="", "", VLOOKUP(D156,'API Data Dictionary'!C:L,10,FALSE))</f>
        <v>0</v>
      </c>
      <c r="F156" s="95" t="str">
        <f>IF(D156="", "", VLOOKUP(D156,'API Data Dictionary'!C:D,2,FALSE))</f>
        <v>string</v>
      </c>
      <c r="G156" s="95">
        <f>IF(IF(D156="", "", VLOOKUP(D156,'API Data Dictionary'!C:E,3,FALSE))=0, "", IF(D156="", "", VLOOKUP(D156,'API Data Dictionary'!C:E,3,FALSE)))</f>
        <v>500</v>
      </c>
      <c r="H156" s="95" t="str">
        <f>IF(IF(D156="", "", VLOOKUP(D156,'API Data Dictionary'!C:F,4,FALSE))=0, "", IF(D156="", "", VLOOKUP(D156,'API Data Dictionary'!C:F,4,FALSE)))</f>
        <v/>
      </c>
      <c r="I156" s="95" t="str">
        <f>IF(IF(D156="", "", VLOOKUP(D156,'API Data Dictionary'!C:G,5,FALSE))=0, "", IF(D156="", "", VLOOKUP(D156,'API Data Dictionary'!C:G,5,FALSE)))</f>
        <v>Name of Pension Provider</v>
      </c>
    </row>
    <row r="157" spans="1:9" hidden="1">
      <c r="A157" s="97"/>
      <c r="B157" s="97"/>
      <c r="C157" s="97" t="s">
        <v>1403</v>
      </c>
      <c r="D157" s="95" t="str">
        <f t="shared" si="2"/>
        <v>netMonthlyIncome</v>
      </c>
      <c r="E157" s="95">
        <f>IF(D157="", "", VLOOKUP(D157,'API Data Dictionary'!C:L,10,FALSE))</f>
        <v>0</v>
      </c>
      <c r="F157" s="95" t="str">
        <f>IF(D157="", "", VLOOKUP(D157,'API Data Dictionary'!C:D,2,FALSE))</f>
        <v>number ($double)</v>
      </c>
      <c r="G157" s="95" t="str">
        <f>IF(IF(D157="", "", VLOOKUP(D157,'API Data Dictionary'!C:E,3,FALSE))=0, "", IF(D157="", "", VLOOKUP(D157,'API Data Dictionary'!C:E,3,FALSE)))</f>
        <v/>
      </c>
      <c r="H157" s="95" t="str">
        <f>IF(IF(D157="", "", VLOOKUP(D157,'API Data Dictionary'!C:F,4,FALSE))=0, "", IF(D157="", "", VLOOKUP(D157,'API Data Dictionary'!C:F,4,FALSE)))</f>
        <v>pattern: ^\d*.\d{0,2}$</v>
      </c>
      <c r="I157" s="95" t="str">
        <f>IF(IF(D157="", "", VLOOKUP(D157,'API Data Dictionary'!C:G,5,FALSE))=0, "", IF(D157="", "", VLOOKUP(D157,'API Data Dictionary'!C:G,5,FALSE)))</f>
        <v>Amount of Net monthly income in GBP</v>
      </c>
    </row>
    <row r="158" spans="1:9" hidden="1">
      <c r="A158" s="97"/>
      <c r="B158" s="97"/>
      <c r="C158" s="97" t="s">
        <v>1404</v>
      </c>
      <c r="D158" s="95" t="str">
        <f t="shared" si="2"/>
        <v>startDateOfPension</v>
      </c>
      <c r="E158" s="95">
        <f>IF(D158="", "", VLOOKUP(D158,'API Data Dictionary'!C:L,10,FALSE))</f>
        <v>0</v>
      </c>
      <c r="F158" s="95" t="str">
        <f>IF(D158="", "", VLOOKUP(D158,'API Data Dictionary'!C:D,2,FALSE))</f>
        <v>string ($date-time)</v>
      </c>
      <c r="G158" s="95" t="str">
        <f>IF(IF(D158="", "", VLOOKUP(D158,'API Data Dictionary'!C:E,3,FALSE))=0, "", IF(D158="", "", VLOOKUP(D158,'API Data Dictionary'!C:E,3,FALSE)))</f>
        <v/>
      </c>
      <c r="H158" s="95" t="str">
        <f>IF(IF(D158="", "", VLOOKUP(D158,'API Data Dictionary'!C:F,4,FALSE))=0, "", IF(D158="", "", VLOOKUP(D158,'API Data Dictionary'!C:F,4,FALSE)))</f>
        <v>DD/MM/YYYY</v>
      </c>
      <c r="I158" s="95" t="str">
        <f>IF(IF(D158="", "", VLOOKUP(D158,'API Data Dictionary'!C:G,5,FALSE))=0, "", IF(D158="", "", VLOOKUP(D158,'API Data Dictionary'!C:G,5,FALSE)))</f>
        <v>Start date of pension, formated DD/MM/YYYY</v>
      </c>
    </row>
    <row r="159" spans="1:9" hidden="1">
      <c r="A159" s="97"/>
      <c r="B159" s="97"/>
      <c r="C159" s="97" t="s">
        <v>1349</v>
      </c>
      <c r="D159" s="95" t="str">
        <f t="shared" si="2"/>
        <v/>
      </c>
      <c r="E159" s="95" t="str">
        <f>IF(D159="", "", VLOOKUP(D159,'API Data Dictionary'!C:L,10,FALSE))</f>
        <v/>
      </c>
      <c r="F159" s="95" t="str">
        <f>IF(D159="", "", VLOOKUP(D159,'API Data Dictionary'!C:D,2,FALSE))</f>
        <v/>
      </c>
      <c r="G159" s="95" t="str">
        <f>IF(IF(D159="", "", VLOOKUP(D159,'API Data Dictionary'!C:E,3,FALSE))=0, "", IF(D159="", "", VLOOKUP(D159,'API Data Dictionary'!C:E,3,FALSE)))</f>
        <v/>
      </c>
      <c r="H159" s="95" t="str">
        <f>IF(IF(D159="", "", VLOOKUP(D159,'API Data Dictionary'!C:F,4,FALSE))=0, "", IF(D159="", "", VLOOKUP(D159,'API Data Dictionary'!C:F,4,FALSE)))</f>
        <v/>
      </c>
      <c r="I159" s="95" t="str">
        <f>IF(IF(D159="", "", VLOOKUP(D159,'API Data Dictionary'!C:G,5,FALSE))=0, "", IF(D159="", "", VLOOKUP(D159,'API Data Dictionary'!C:G,5,FALSE)))</f>
        <v/>
      </c>
    </row>
    <row r="160" spans="1:9" hidden="1">
      <c r="A160" s="97"/>
      <c r="B160" s="97"/>
      <c r="C160" s="97" t="s">
        <v>1405</v>
      </c>
      <c r="D160" s="95" t="str">
        <f t="shared" si="2"/>
        <v/>
      </c>
      <c r="E160" s="95" t="str">
        <f>IF(D160="", "", VLOOKUP(D160,'API Data Dictionary'!C:L,10,FALSE))</f>
        <v/>
      </c>
      <c r="F160" s="95" t="str">
        <f>IF(D160="", "", VLOOKUP(D160,'API Data Dictionary'!C:D,2,FALSE))</f>
        <v/>
      </c>
      <c r="G160" s="95" t="str">
        <f>IF(IF(D160="", "", VLOOKUP(D160,'API Data Dictionary'!C:E,3,FALSE))=0, "", IF(D160="", "", VLOOKUP(D160,'API Data Dictionary'!C:E,3,FALSE)))</f>
        <v/>
      </c>
      <c r="H160" s="95" t="str">
        <f>IF(IF(D160="", "", VLOOKUP(D160,'API Data Dictionary'!C:F,4,FALSE))=0, "", IF(D160="", "", VLOOKUP(D160,'API Data Dictionary'!C:F,4,FALSE)))</f>
        <v/>
      </c>
      <c r="I160" s="95" t="str">
        <f>IF(IF(D160="", "", VLOOKUP(D160,'API Data Dictionary'!C:G,5,FALSE))=0, "", IF(D160="", "", VLOOKUP(D160,'API Data Dictionary'!C:G,5,FALSE)))</f>
        <v/>
      </c>
    </row>
    <row r="161" spans="1:9" hidden="1">
      <c r="A161" s="97"/>
      <c r="B161" s="97"/>
      <c r="C161" s="97" t="s">
        <v>1406</v>
      </c>
      <c r="D161" s="95" t="str">
        <f t="shared" si="2"/>
        <v>investmentSchemeOrCompany</v>
      </c>
      <c r="E161" s="95">
        <f>IF(D161="", "", VLOOKUP(D161,'API Data Dictionary'!C:L,10,FALSE))</f>
        <v>0</v>
      </c>
      <c r="F161" s="95" t="str">
        <f>IF(D161="", "", VLOOKUP(D161,'API Data Dictionary'!C:D,2,FALSE))</f>
        <v>string</v>
      </c>
      <c r="G161" s="95">
        <f>IF(IF(D161="", "", VLOOKUP(D161,'API Data Dictionary'!C:E,3,FALSE))=0, "", IF(D161="", "", VLOOKUP(D161,'API Data Dictionary'!C:E,3,FALSE)))</f>
        <v>100</v>
      </c>
      <c r="H161" s="95" t="str">
        <f>IF(IF(D161="", "", VLOOKUP(D161,'API Data Dictionary'!C:F,4,FALSE))=0, "", IF(D161="", "", VLOOKUP(D161,'API Data Dictionary'!C:F,4,FALSE)))</f>
        <v/>
      </c>
      <c r="I161" s="95" t="str">
        <f>IF(IF(D161="", "", VLOOKUP(D161,'API Data Dictionary'!C:G,5,FALSE))=0, "", IF(D161="", "", VLOOKUP(D161,'API Data Dictionary'!C:G,5,FALSE)))</f>
        <v>Name of the investment scheme or company</v>
      </c>
    </row>
    <row r="162" spans="1:9" hidden="1">
      <c r="A162" s="97"/>
      <c r="B162" s="97"/>
      <c r="C162" s="97" t="s">
        <v>1407</v>
      </c>
      <c r="D162" s="95" t="str">
        <f t="shared" si="2"/>
        <v>investmentAmount</v>
      </c>
      <c r="E162" s="95">
        <f>IF(D162="", "", VLOOKUP(D162,'API Data Dictionary'!C:L,10,FALSE))</f>
        <v>0</v>
      </c>
      <c r="F162" s="95" t="str">
        <f>IF(D162="", "", VLOOKUP(D162,'API Data Dictionary'!C:D,2,FALSE))</f>
        <v>number ($double)</v>
      </c>
      <c r="G162" s="95" t="str">
        <f>IF(IF(D162="", "", VLOOKUP(D162,'API Data Dictionary'!C:E,3,FALSE))=0, "", IF(D162="", "", VLOOKUP(D162,'API Data Dictionary'!C:E,3,FALSE)))</f>
        <v/>
      </c>
      <c r="H162" s="95" t="str">
        <f>IF(IF(D162="", "", VLOOKUP(D162,'API Data Dictionary'!C:F,4,FALSE))=0, "", IF(D162="", "", VLOOKUP(D162,'API Data Dictionary'!C:F,4,FALSE)))</f>
        <v>pattern: ^\d*.\d{0,2}$</v>
      </c>
      <c r="I162" s="95" t="str">
        <f>IF(IF(D162="", "", VLOOKUP(D162,'API Data Dictionary'!C:G,5,FALSE))=0, "", IF(D162="", "", VLOOKUP(D162,'API Data Dictionary'!C:G,5,FALSE)))</f>
        <v>Amount of investment in GBP</v>
      </c>
    </row>
    <row r="163" spans="1:9" hidden="1">
      <c r="A163" s="97"/>
      <c r="B163" s="97"/>
      <c r="C163" s="97" t="s">
        <v>1349</v>
      </c>
      <c r="D163" s="95" t="str">
        <f t="shared" si="2"/>
        <v/>
      </c>
      <c r="E163" s="95" t="str">
        <f>IF(D163="", "", VLOOKUP(D163,'API Data Dictionary'!C:L,10,FALSE))</f>
        <v/>
      </c>
      <c r="F163" s="95" t="str">
        <f>IF(D163="", "", VLOOKUP(D163,'API Data Dictionary'!C:D,2,FALSE))</f>
        <v/>
      </c>
      <c r="G163" s="95" t="str">
        <f>IF(IF(D163="", "", VLOOKUP(D163,'API Data Dictionary'!C:E,3,FALSE))=0, "", IF(D163="", "", VLOOKUP(D163,'API Data Dictionary'!C:E,3,FALSE)))</f>
        <v/>
      </c>
      <c r="H163" s="95" t="str">
        <f>IF(IF(D163="", "", VLOOKUP(D163,'API Data Dictionary'!C:F,4,FALSE))=0, "", IF(D163="", "", VLOOKUP(D163,'API Data Dictionary'!C:F,4,FALSE)))</f>
        <v/>
      </c>
      <c r="I163" s="95" t="str">
        <f>IF(IF(D163="", "", VLOOKUP(D163,'API Data Dictionary'!C:G,5,FALSE))=0, "", IF(D163="", "", VLOOKUP(D163,'API Data Dictionary'!C:G,5,FALSE)))</f>
        <v/>
      </c>
    </row>
    <row r="164" spans="1:9" hidden="1">
      <c r="A164" s="97"/>
      <c r="B164" s="97"/>
      <c r="C164" s="97" t="s">
        <v>1408</v>
      </c>
      <c r="D164" s="95" t="str">
        <f t="shared" si="2"/>
        <v/>
      </c>
      <c r="E164" s="95" t="str">
        <f>IF(D164="", "", VLOOKUP(D164,'API Data Dictionary'!C:L,10,FALSE))</f>
        <v/>
      </c>
      <c r="F164" s="95" t="str">
        <f>IF(D164="", "", VLOOKUP(D164,'API Data Dictionary'!C:D,2,FALSE))</f>
        <v/>
      </c>
      <c r="G164" s="95" t="str">
        <f>IF(IF(D164="", "", VLOOKUP(D164,'API Data Dictionary'!C:E,3,FALSE))=0, "", IF(D164="", "", VLOOKUP(D164,'API Data Dictionary'!C:E,3,FALSE)))</f>
        <v/>
      </c>
      <c r="H164" s="95" t="str">
        <f>IF(IF(D164="", "", VLOOKUP(D164,'API Data Dictionary'!C:F,4,FALSE))=0, "", IF(D164="", "", VLOOKUP(D164,'API Data Dictionary'!C:F,4,FALSE)))</f>
        <v/>
      </c>
      <c r="I164" s="95" t="str">
        <f>IF(IF(D164="", "", VLOOKUP(D164,'API Data Dictionary'!C:G,5,FALSE))=0, "", IF(D164="", "", VLOOKUP(D164,'API Data Dictionary'!C:G,5,FALSE)))</f>
        <v/>
      </c>
    </row>
    <row r="165" spans="1:9" hidden="1">
      <c r="A165" s="97"/>
      <c r="B165" s="97"/>
      <c r="C165" s="97" t="s">
        <v>1409</v>
      </c>
      <c r="D165" s="95" t="str">
        <f t="shared" si="2"/>
        <v>savingsAmount</v>
      </c>
      <c r="E165" s="95">
        <f>IF(D165="", "", VLOOKUP(D165,'API Data Dictionary'!C:L,10,FALSE))</f>
        <v>0</v>
      </c>
      <c r="F165" s="95" t="str">
        <f>IF(D165="", "", VLOOKUP(D165,'API Data Dictionary'!C:D,2,FALSE))</f>
        <v>integer</v>
      </c>
      <c r="G165" s="95" t="str">
        <f>IF(IF(D165="", "", VLOOKUP(D165,'API Data Dictionary'!C:E,3,FALSE))=0, "", IF(D165="", "", VLOOKUP(D165,'API Data Dictionary'!C:E,3,FALSE)))</f>
        <v/>
      </c>
      <c r="H165" s="95" t="str">
        <f>IF(IF(D165="", "", VLOOKUP(D165,'API Data Dictionary'!C:F,4,FALSE))=0, "", IF(D165="", "", VLOOKUP(D165,'API Data Dictionary'!C:F,4,FALSE)))</f>
        <v/>
      </c>
      <c r="I165" s="95" t="str">
        <f>IF(IF(D165="", "", VLOOKUP(D165,'API Data Dictionary'!C:G,5,FALSE))=0, "", IF(D165="", "", VLOOKUP(D165,'API Data Dictionary'!C:G,5,FALSE)))</f>
        <v>The amount of savings in GBP, to the nearest whole number</v>
      </c>
    </row>
    <row r="166" spans="1:9" hidden="1">
      <c r="A166" s="97"/>
      <c r="B166" s="97"/>
      <c r="C166" s="97" t="s">
        <v>1349</v>
      </c>
      <c r="D166" s="95" t="str">
        <f t="shared" si="2"/>
        <v/>
      </c>
      <c r="E166" s="95" t="str">
        <f>IF(D166="", "", VLOOKUP(D166,'API Data Dictionary'!C:L,10,FALSE))</f>
        <v/>
      </c>
      <c r="F166" s="95" t="str">
        <f>IF(D166="", "", VLOOKUP(D166,'API Data Dictionary'!C:D,2,FALSE))</f>
        <v/>
      </c>
      <c r="G166" s="95" t="str">
        <f>IF(IF(D166="", "", VLOOKUP(D166,'API Data Dictionary'!C:E,3,FALSE))=0, "", IF(D166="", "", VLOOKUP(D166,'API Data Dictionary'!C:E,3,FALSE)))</f>
        <v/>
      </c>
      <c r="H166" s="95" t="str">
        <f>IF(IF(D166="", "", VLOOKUP(D166,'API Data Dictionary'!C:F,4,FALSE))=0, "", IF(D166="", "", VLOOKUP(D166,'API Data Dictionary'!C:F,4,FALSE)))</f>
        <v/>
      </c>
      <c r="I166" s="95" t="str">
        <f>IF(IF(D166="", "", VLOOKUP(D166,'API Data Dictionary'!C:G,5,FALSE))=0, "", IF(D166="", "", VLOOKUP(D166,'API Data Dictionary'!C:G,5,FALSE)))</f>
        <v/>
      </c>
    </row>
    <row r="167" spans="1:9" hidden="1">
      <c r="A167" s="97"/>
      <c r="B167" s="97"/>
      <c r="C167" s="97" t="s">
        <v>1410</v>
      </c>
      <c r="D167" s="95" t="str">
        <f t="shared" si="2"/>
        <v/>
      </c>
      <c r="E167" s="95" t="str">
        <f>IF(D167="", "", VLOOKUP(D167,'API Data Dictionary'!C:L,10,FALSE))</f>
        <v/>
      </c>
      <c r="F167" s="95" t="str">
        <f>IF(D167="", "", VLOOKUP(D167,'API Data Dictionary'!C:D,2,FALSE))</f>
        <v/>
      </c>
      <c r="G167" s="95" t="str">
        <f>IF(IF(D167="", "", VLOOKUP(D167,'API Data Dictionary'!C:E,3,FALSE))=0, "", IF(D167="", "", VLOOKUP(D167,'API Data Dictionary'!C:E,3,FALSE)))</f>
        <v/>
      </c>
      <c r="H167" s="95" t="str">
        <f>IF(IF(D167="", "", VLOOKUP(D167,'API Data Dictionary'!C:F,4,FALSE))=0, "", IF(D167="", "", VLOOKUP(D167,'API Data Dictionary'!C:F,4,FALSE)))</f>
        <v/>
      </c>
      <c r="I167" s="95" t="str">
        <f>IF(IF(D167="", "", VLOOKUP(D167,'API Data Dictionary'!C:G,5,FALSE))=0, "", IF(D167="", "", VLOOKUP(D167,'API Data Dictionary'!C:G,5,FALSE)))</f>
        <v/>
      </c>
    </row>
    <row r="168" spans="1:9" hidden="1">
      <c r="A168" s="97"/>
      <c r="B168" s="97"/>
      <c r="C168" s="97" t="s">
        <v>1411</v>
      </c>
      <c r="D168" s="95" t="str">
        <f t="shared" si="2"/>
        <v>applicantBenefitsReceived</v>
      </c>
      <c r="E168" s="95">
        <f>IF(D168="", "", VLOOKUP(D168,'API Data Dictionary'!C:L,10,FALSE))</f>
        <v>0</v>
      </c>
      <c r="F168" s="95" t="str">
        <f>IF(D168="", "", VLOOKUP(D168,'API Data Dictionary'!C:D,2,FALSE))</f>
        <v>boolean</v>
      </c>
      <c r="G168" s="95" t="str">
        <f>IF(IF(D168="", "", VLOOKUP(D168,'API Data Dictionary'!C:E,3,FALSE))=0, "", IF(D168="", "", VLOOKUP(D168,'API Data Dictionary'!C:E,3,FALSE)))</f>
        <v/>
      </c>
      <c r="H168" s="95" t="str">
        <f>IF(IF(D168="", "", VLOOKUP(D168,'API Data Dictionary'!C:F,4,FALSE))=0, "", IF(D168="", "", VLOOKUP(D168,'API Data Dictionary'!C:F,4,FALSE)))</f>
        <v/>
      </c>
      <c r="I168" s="95" t="str">
        <f>IF(IF(D168="", "", VLOOKUP(D168,'API Data Dictionary'!C:G,5,FALSE))=0, "", IF(D168="", "", VLOOKUP(D168,'API Data Dictionary'!C:G,5,FALSE)))</f>
        <v>Denotes if benefits are recieved</v>
      </c>
    </row>
    <row r="169" spans="1:9" hidden="1">
      <c r="A169" s="97"/>
      <c r="B169" s="97"/>
      <c r="C169" s="97" t="s">
        <v>1412</v>
      </c>
      <c r="D169" s="95" t="str">
        <f t="shared" si="2"/>
        <v>taxCredit</v>
      </c>
      <c r="E169" s="95">
        <f>IF(D169="", "", VLOOKUP(D169,'API Data Dictionary'!C:L,10,FALSE))</f>
        <v>0</v>
      </c>
      <c r="F169" s="95" t="str">
        <f>IF(D169="", "", VLOOKUP(D169,'API Data Dictionary'!C:D,2,FALSE))</f>
        <v>boolean</v>
      </c>
      <c r="G169" s="95" t="str">
        <f>IF(IF(D169="", "", VLOOKUP(D169,'API Data Dictionary'!C:E,3,FALSE))=0, "", IF(D169="", "", VLOOKUP(D169,'API Data Dictionary'!C:E,3,FALSE)))</f>
        <v/>
      </c>
      <c r="H169" s="95" t="str">
        <f>IF(IF(D169="", "", VLOOKUP(D169,'API Data Dictionary'!C:F,4,FALSE))=0, "", IF(D169="", "", VLOOKUP(D169,'API Data Dictionary'!C:F,4,FALSE)))</f>
        <v/>
      </c>
      <c r="I169" s="95" t="str">
        <f>IF(IF(D169="", "", VLOOKUP(D169,'API Data Dictionary'!C:G,5,FALSE))=0, "", IF(D169="", "", VLOOKUP(D169,'API Data Dictionary'!C:G,5,FALSE)))</f>
        <v>Denotes if is tax credit</v>
      </c>
    </row>
    <row r="170" spans="1:9" hidden="1">
      <c r="A170" s="97"/>
      <c r="B170" s="97"/>
      <c r="C170" s="97" t="s">
        <v>1413</v>
      </c>
      <c r="D170" s="95" t="str">
        <f t="shared" si="2"/>
        <v>taxCreditTerm</v>
      </c>
      <c r="E170" s="95">
        <f>IF(D170="", "", VLOOKUP(D170,'API Data Dictionary'!C:L,10,FALSE))</f>
        <v>0</v>
      </c>
      <c r="F170" s="95" t="str">
        <f>IF(D170="", "", VLOOKUP(D170,'API Data Dictionary'!C:D,2,FALSE))</f>
        <v>enum - Income Term</v>
      </c>
      <c r="G170" s="95" t="str">
        <f>IF(IF(D170="", "", VLOOKUP(D170,'API Data Dictionary'!C:E,3,FALSE))=0, "", IF(D170="", "", VLOOKUP(D170,'API Data Dictionary'!C:E,3,FALSE)))</f>
        <v/>
      </c>
      <c r="H170" s="95" t="str">
        <f>IF(IF(D170="", "", VLOOKUP(D170,'API Data Dictionary'!C:F,4,FALSE))=0, "", IF(D170="", "", VLOOKUP(D170,'API Data Dictionary'!C:F,4,FALSE)))</f>
        <v>Valid Values 1-4 (See enum definition)</v>
      </c>
      <c r="I170" s="95" t="str">
        <f>IF(IF(D170="", "", VLOOKUP(D170,'API Data Dictionary'!C:G,5,FALSE))=0, "", IF(D170="", "", VLOOKUP(D170,'API Data Dictionary'!C:G,5,FALSE)))</f>
        <v>Income term, e.g monthly or weekly</v>
      </c>
    </row>
    <row r="171" spans="1:9" hidden="1">
      <c r="A171" s="97"/>
      <c r="B171" s="97"/>
      <c r="C171" s="97" t="s">
        <v>1414</v>
      </c>
      <c r="D171" s="95" t="str">
        <f t="shared" si="2"/>
        <v>taxCreditAmount</v>
      </c>
      <c r="E171" s="95">
        <f>IF(D171="", "", VLOOKUP(D171,'API Data Dictionary'!C:L,10,FALSE))</f>
        <v>0</v>
      </c>
      <c r="F171" s="95" t="str">
        <f>IF(D171="", "", VLOOKUP(D171,'API Data Dictionary'!C:D,2,FALSE))</f>
        <v>number ($double)</v>
      </c>
      <c r="G171" s="95" t="str">
        <f>IF(IF(D171="", "", VLOOKUP(D171,'API Data Dictionary'!C:E,3,FALSE))=0, "", IF(D171="", "", VLOOKUP(D171,'API Data Dictionary'!C:E,3,FALSE)))</f>
        <v/>
      </c>
      <c r="H171" s="95" t="str">
        <f>IF(IF(D171="", "", VLOOKUP(D171,'API Data Dictionary'!C:F,4,FALSE))=0, "", IF(D171="", "", VLOOKUP(D171,'API Data Dictionary'!C:F,4,FALSE)))</f>
        <v>pattern: ^\d*.\d{0,2}$</v>
      </c>
      <c r="I171" s="95" t="str">
        <f>IF(IF(D171="", "", VLOOKUP(D171,'API Data Dictionary'!C:G,5,FALSE))=0, "", IF(D171="", "", VLOOKUP(D171,'API Data Dictionary'!C:G,5,FALSE)))</f>
        <v>Amount of tax credit in GBP</v>
      </c>
    </row>
    <row r="172" spans="1:9" hidden="1">
      <c r="A172" s="97"/>
      <c r="B172" s="97"/>
      <c r="C172" s="97" t="s">
        <v>1415</v>
      </c>
      <c r="D172" s="95" t="str">
        <f t="shared" si="2"/>
        <v>carerAllowance</v>
      </c>
      <c r="E172" s="95">
        <f>IF(D172="", "", VLOOKUP(D172,'API Data Dictionary'!C:L,10,FALSE))</f>
        <v>0</v>
      </c>
      <c r="F172" s="95" t="str">
        <f>IF(D172="", "", VLOOKUP(D172,'API Data Dictionary'!C:D,2,FALSE))</f>
        <v>boolean</v>
      </c>
      <c r="G172" s="95" t="str">
        <f>IF(IF(D172="", "", VLOOKUP(D172,'API Data Dictionary'!C:E,3,FALSE))=0, "", IF(D172="", "", VLOOKUP(D172,'API Data Dictionary'!C:E,3,FALSE)))</f>
        <v/>
      </c>
      <c r="H172" s="95" t="str">
        <f>IF(IF(D172="", "", VLOOKUP(D172,'API Data Dictionary'!C:F,4,FALSE))=0, "", IF(D172="", "", VLOOKUP(D172,'API Data Dictionary'!C:F,4,FALSE)))</f>
        <v/>
      </c>
      <c r="I172" s="95" t="str">
        <f>IF(IF(D172="", "", VLOOKUP(D172,'API Data Dictionary'!C:G,5,FALSE))=0, "", IF(D172="", "", VLOOKUP(D172,'API Data Dictionary'!C:G,5,FALSE)))</f>
        <v>Denotes if carer allowance is received</v>
      </c>
    </row>
    <row r="173" spans="1:9" hidden="1">
      <c r="A173" s="97"/>
      <c r="B173" s="97"/>
      <c r="C173" s="97" t="s">
        <v>1416</v>
      </c>
      <c r="D173" s="95" t="str">
        <f t="shared" si="2"/>
        <v>carerAllowanceTerm</v>
      </c>
      <c r="E173" s="95">
        <f>IF(D173="", "", VLOOKUP(D173,'API Data Dictionary'!C:L,10,FALSE))</f>
        <v>0</v>
      </c>
      <c r="F173" s="95" t="str">
        <f>IF(D173="", "", VLOOKUP(D173,'API Data Dictionary'!C:D,2,FALSE))</f>
        <v>enum - Income Term</v>
      </c>
      <c r="G173" s="95" t="str">
        <f>IF(IF(D173="", "", VLOOKUP(D173,'API Data Dictionary'!C:E,3,FALSE))=0, "", IF(D173="", "", VLOOKUP(D173,'API Data Dictionary'!C:E,3,FALSE)))</f>
        <v/>
      </c>
      <c r="H173" s="95" t="str">
        <f>IF(IF(D173="", "", VLOOKUP(D173,'API Data Dictionary'!C:F,4,FALSE))=0, "", IF(D173="", "", VLOOKUP(D173,'API Data Dictionary'!C:F,4,FALSE)))</f>
        <v>Valid Values 1-4 (See enum definition)</v>
      </c>
      <c r="I173" s="95" t="str">
        <f>IF(IF(D173="", "", VLOOKUP(D173,'API Data Dictionary'!C:G,5,FALSE))=0, "", IF(D173="", "", VLOOKUP(D173,'API Data Dictionary'!C:G,5,FALSE)))</f>
        <v>Income term, e.g monthly or weekly</v>
      </c>
    </row>
    <row r="174" spans="1:9" hidden="1">
      <c r="A174" s="97"/>
      <c r="B174" s="97"/>
      <c r="C174" s="97" t="s">
        <v>1417</v>
      </c>
      <c r="D174" s="95" t="str">
        <f t="shared" si="2"/>
        <v>carerAllowanceAmount</v>
      </c>
      <c r="E174" s="95">
        <f>IF(D174="", "", VLOOKUP(D174,'API Data Dictionary'!C:L,10,FALSE))</f>
        <v>0</v>
      </c>
      <c r="F174" s="95" t="str">
        <f>IF(D174="", "", VLOOKUP(D174,'API Data Dictionary'!C:D,2,FALSE))</f>
        <v>number ($double)</v>
      </c>
      <c r="G174" s="95" t="str">
        <f>IF(IF(D174="", "", VLOOKUP(D174,'API Data Dictionary'!C:E,3,FALSE))=0, "", IF(D174="", "", VLOOKUP(D174,'API Data Dictionary'!C:E,3,FALSE)))</f>
        <v/>
      </c>
      <c r="H174" s="95" t="str">
        <f>IF(IF(D174="", "", VLOOKUP(D174,'API Data Dictionary'!C:F,4,FALSE))=0, "", IF(D174="", "", VLOOKUP(D174,'API Data Dictionary'!C:F,4,FALSE)))</f>
        <v>pattern: ^\d*.\d{0,2}$</v>
      </c>
      <c r="I174" s="95" t="str">
        <f>IF(IF(D174="", "", VLOOKUP(D174,'API Data Dictionary'!C:G,5,FALSE))=0, "", IF(D174="", "", VLOOKUP(D174,'API Data Dictionary'!C:G,5,FALSE)))</f>
        <v>Amount of carer allowance in GBP</v>
      </c>
    </row>
    <row r="175" spans="1:9" hidden="1">
      <c r="A175" s="97"/>
      <c r="B175" s="97"/>
      <c r="C175" s="97" t="s">
        <v>1418</v>
      </c>
      <c r="D175" s="95" t="str">
        <f t="shared" si="2"/>
        <v>childBenefit</v>
      </c>
      <c r="E175" s="95">
        <f>IF(D175="", "", VLOOKUP(D175,'API Data Dictionary'!C:L,10,FALSE))</f>
        <v>0</v>
      </c>
      <c r="F175" s="95" t="str">
        <f>IF(D175="", "", VLOOKUP(D175,'API Data Dictionary'!C:D,2,FALSE))</f>
        <v>boolean</v>
      </c>
      <c r="G175" s="95" t="str">
        <f>IF(IF(D175="", "", VLOOKUP(D175,'API Data Dictionary'!C:E,3,FALSE))=0, "", IF(D175="", "", VLOOKUP(D175,'API Data Dictionary'!C:E,3,FALSE)))</f>
        <v/>
      </c>
      <c r="H175" s="95" t="str">
        <f>IF(IF(D175="", "", VLOOKUP(D175,'API Data Dictionary'!C:F,4,FALSE))=0, "", IF(D175="", "", VLOOKUP(D175,'API Data Dictionary'!C:F,4,FALSE)))</f>
        <v/>
      </c>
      <c r="I175" s="95" t="str">
        <f>IF(IF(D175="", "", VLOOKUP(D175,'API Data Dictionary'!C:G,5,FALSE))=0, "", IF(D175="", "", VLOOKUP(D175,'API Data Dictionary'!C:G,5,FALSE)))</f>
        <v>Denotes if child benfit is received</v>
      </c>
    </row>
    <row r="176" spans="1:9" hidden="1">
      <c r="A176" s="97"/>
      <c r="B176" s="97"/>
      <c r="C176" s="97" t="s">
        <v>1419</v>
      </c>
      <c r="D176" s="95" t="str">
        <f t="shared" ref="D176:D206" si="3">IF(OR(ISNUMBER(SEARCH("{", C176)),ISNUMBER(SEARCH("[", C176))), "", IFERROR(MID(C176, SEARCH("""", C176) +1, SEARCH("""", C176, SEARCH("""",C176) +1) - SEARCH("""", C176) -1), ""))</f>
        <v>childBenefitTerm</v>
      </c>
      <c r="E176" s="95">
        <f>IF(D176="", "", VLOOKUP(D176,'API Data Dictionary'!C:L,10,FALSE))</f>
        <v>0</v>
      </c>
      <c r="F176" s="95" t="str">
        <f>IF(D176="", "", VLOOKUP(D176,'API Data Dictionary'!C:D,2,FALSE))</f>
        <v>enum - Income Term</v>
      </c>
      <c r="G176" s="95" t="str">
        <f>IF(IF(D176="", "", VLOOKUP(D176,'API Data Dictionary'!C:E,3,FALSE))=0, "", IF(D176="", "", VLOOKUP(D176,'API Data Dictionary'!C:E,3,FALSE)))</f>
        <v/>
      </c>
      <c r="H176" s="95" t="str">
        <f>IF(IF(D176="", "", VLOOKUP(D176,'API Data Dictionary'!C:F,4,FALSE))=0, "", IF(D176="", "", VLOOKUP(D176,'API Data Dictionary'!C:F,4,FALSE)))</f>
        <v>Valid Values 1-4 (See enum definition)</v>
      </c>
      <c r="I176" s="95" t="str">
        <f>IF(IF(D176="", "", VLOOKUP(D176,'API Data Dictionary'!C:G,5,FALSE))=0, "", IF(D176="", "", VLOOKUP(D176,'API Data Dictionary'!C:G,5,FALSE)))</f>
        <v>Income term, e.g monthly or weekly</v>
      </c>
    </row>
    <row r="177" spans="1:9" hidden="1">
      <c r="A177" s="97"/>
      <c r="B177" s="97"/>
      <c r="C177" s="97" t="s">
        <v>1420</v>
      </c>
      <c r="D177" s="95" t="str">
        <f t="shared" si="3"/>
        <v>childBenefitAmount</v>
      </c>
      <c r="E177" s="95">
        <f>IF(D177="", "", VLOOKUP(D177,'API Data Dictionary'!C:L,10,FALSE))</f>
        <v>0</v>
      </c>
      <c r="F177" s="95" t="str">
        <f>IF(D177="", "", VLOOKUP(D177,'API Data Dictionary'!C:D,2,FALSE))</f>
        <v>number ($double)</v>
      </c>
      <c r="G177" s="95" t="str">
        <f>IF(IF(D177="", "", VLOOKUP(D177,'API Data Dictionary'!C:E,3,FALSE))=0, "", IF(D177="", "", VLOOKUP(D177,'API Data Dictionary'!C:E,3,FALSE)))</f>
        <v/>
      </c>
      <c r="H177" s="95" t="str">
        <f>IF(IF(D177="", "", VLOOKUP(D177,'API Data Dictionary'!C:F,4,FALSE))=0, "", IF(D177="", "", VLOOKUP(D177,'API Data Dictionary'!C:F,4,FALSE)))</f>
        <v>pattern: ^\d*.\d{0,2}$</v>
      </c>
      <c r="I177" s="95" t="str">
        <f>IF(IF(D177="", "", VLOOKUP(D177,'API Data Dictionary'!C:G,5,FALSE))=0, "", IF(D177="", "", VLOOKUP(D177,'API Data Dictionary'!C:G,5,FALSE)))</f>
        <v>Amount of child benefit in GBP</v>
      </c>
    </row>
    <row r="178" spans="1:9" hidden="1">
      <c r="A178" s="97"/>
      <c r="B178" s="97"/>
      <c r="C178" s="97" t="s">
        <v>1421</v>
      </c>
      <c r="D178" s="95" t="str">
        <f t="shared" si="3"/>
        <v>disabilityBenefit</v>
      </c>
      <c r="E178" s="95">
        <f>IF(D178="", "", VLOOKUP(D178,'API Data Dictionary'!C:L,10,FALSE))</f>
        <v>0</v>
      </c>
      <c r="F178" s="95" t="str">
        <f>IF(D178="", "", VLOOKUP(D178,'API Data Dictionary'!C:D,2,FALSE))</f>
        <v>boolean</v>
      </c>
      <c r="G178" s="95" t="str">
        <f>IF(IF(D178="", "", VLOOKUP(D178,'API Data Dictionary'!C:E,3,FALSE))=0, "", IF(D178="", "", VLOOKUP(D178,'API Data Dictionary'!C:E,3,FALSE)))</f>
        <v/>
      </c>
      <c r="H178" s="95" t="str">
        <f>IF(IF(D178="", "", VLOOKUP(D178,'API Data Dictionary'!C:F,4,FALSE))=0, "", IF(D178="", "", VLOOKUP(D178,'API Data Dictionary'!C:F,4,FALSE)))</f>
        <v/>
      </c>
      <c r="I178" s="95" t="str">
        <f>IF(IF(D178="", "", VLOOKUP(D178,'API Data Dictionary'!C:G,5,FALSE))=0, "", IF(D178="", "", VLOOKUP(D178,'API Data Dictionary'!C:G,5,FALSE)))</f>
        <v>Denotes if disablity Benefit is Recieved</v>
      </c>
    </row>
    <row r="179" spans="1:9" hidden="1">
      <c r="A179" s="97"/>
      <c r="B179" s="97"/>
      <c r="C179" s="97" t="s">
        <v>1422</v>
      </c>
      <c r="D179" s="95" t="str">
        <f t="shared" si="3"/>
        <v>disabilityBenefitTerm</v>
      </c>
      <c r="E179" s="95">
        <f>IF(D179="", "", VLOOKUP(D179,'API Data Dictionary'!C:L,10,FALSE))</f>
        <v>0</v>
      </c>
      <c r="F179" s="95" t="str">
        <f>IF(D179="", "", VLOOKUP(D179,'API Data Dictionary'!C:D,2,FALSE))</f>
        <v>enum - Income Term</v>
      </c>
      <c r="G179" s="95" t="str">
        <f>IF(IF(D179="", "", VLOOKUP(D179,'API Data Dictionary'!C:E,3,FALSE))=0, "", IF(D179="", "", VLOOKUP(D179,'API Data Dictionary'!C:E,3,FALSE)))</f>
        <v/>
      </c>
      <c r="H179" s="95" t="str">
        <f>IF(IF(D179="", "", VLOOKUP(D179,'API Data Dictionary'!C:F,4,FALSE))=0, "", IF(D179="", "", VLOOKUP(D179,'API Data Dictionary'!C:F,4,FALSE)))</f>
        <v>Valid Values 1-4 (See enum definition)</v>
      </c>
      <c r="I179" s="95" t="str">
        <f>IF(IF(D179="", "", VLOOKUP(D179,'API Data Dictionary'!C:G,5,FALSE))=0, "", IF(D179="", "", VLOOKUP(D179,'API Data Dictionary'!C:G,5,FALSE)))</f>
        <v>Income term, e.g monthly or weekly</v>
      </c>
    </row>
    <row r="180" spans="1:9" hidden="1">
      <c r="A180" s="97"/>
      <c r="B180" s="97"/>
      <c r="C180" s="97" t="s">
        <v>1423</v>
      </c>
      <c r="D180" s="95" t="str">
        <f t="shared" si="3"/>
        <v>disabilityBenefitAmount</v>
      </c>
      <c r="E180" s="95">
        <f>IF(D180="", "", VLOOKUP(D180,'API Data Dictionary'!C:L,10,FALSE))</f>
        <v>0</v>
      </c>
      <c r="F180" s="95" t="str">
        <f>IF(D180="", "", VLOOKUP(D180,'API Data Dictionary'!C:D,2,FALSE))</f>
        <v>number ($double)</v>
      </c>
      <c r="G180" s="95" t="str">
        <f>IF(IF(D180="", "", VLOOKUP(D180,'API Data Dictionary'!C:E,3,FALSE))=0, "", IF(D180="", "", VLOOKUP(D180,'API Data Dictionary'!C:E,3,FALSE)))</f>
        <v/>
      </c>
      <c r="H180" s="95" t="str">
        <f>IF(IF(D180="", "", VLOOKUP(D180,'API Data Dictionary'!C:F,4,FALSE))=0, "", IF(D180="", "", VLOOKUP(D180,'API Data Dictionary'!C:F,4,FALSE)))</f>
        <v>pattern: ^\d*.\d{0,2}$</v>
      </c>
      <c r="I180" s="95" t="str">
        <f>IF(IF(D180="", "", VLOOKUP(D180,'API Data Dictionary'!C:G,5,FALSE))=0, "", IF(D180="", "", VLOOKUP(D180,'API Data Dictionary'!C:G,5,FALSE)))</f>
        <v>Amount of disablity benefit in GBP</v>
      </c>
    </row>
    <row r="181" spans="1:9" hidden="1">
      <c r="A181" s="97"/>
      <c r="B181" s="97"/>
      <c r="C181" s="97" t="s">
        <v>1424</v>
      </c>
      <c r="D181" s="95" t="str">
        <f t="shared" si="3"/>
        <v>fosterAllowance</v>
      </c>
      <c r="E181" s="95">
        <f>IF(D181="", "", VLOOKUP(D181,'API Data Dictionary'!C:L,10,FALSE))</f>
        <v>0</v>
      </c>
      <c r="F181" s="95" t="str">
        <f>IF(D181="", "", VLOOKUP(D181,'API Data Dictionary'!C:D,2,FALSE))</f>
        <v>boolean</v>
      </c>
      <c r="G181" s="95" t="str">
        <f>IF(IF(D181="", "", VLOOKUP(D181,'API Data Dictionary'!C:E,3,FALSE))=0, "", IF(D181="", "", VLOOKUP(D181,'API Data Dictionary'!C:E,3,FALSE)))</f>
        <v/>
      </c>
      <c r="H181" s="95" t="str">
        <f>IF(IF(D181="", "", VLOOKUP(D181,'API Data Dictionary'!C:F,4,FALSE))=0, "", IF(D181="", "", VLOOKUP(D181,'API Data Dictionary'!C:F,4,FALSE)))</f>
        <v/>
      </c>
      <c r="I181" s="95" t="str">
        <f>IF(IF(D181="", "", VLOOKUP(D181,'API Data Dictionary'!C:G,5,FALSE))=0, "", IF(D181="", "", VLOOKUP(D181,'API Data Dictionary'!C:G,5,FALSE)))</f>
        <v>Denotes if foster allowance is recieved</v>
      </c>
    </row>
    <row r="182" spans="1:9" hidden="1">
      <c r="A182" s="97"/>
      <c r="B182" s="97"/>
      <c r="C182" s="97" t="s">
        <v>1425</v>
      </c>
      <c r="D182" s="95" t="str">
        <f t="shared" si="3"/>
        <v>fosterAllowanceTerm</v>
      </c>
      <c r="E182" s="95">
        <f>IF(D182="", "", VLOOKUP(D182,'API Data Dictionary'!C:L,10,FALSE))</f>
        <v>0</v>
      </c>
      <c r="F182" s="95" t="str">
        <f>IF(D182="", "", VLOOKUP(D182,'API Data Dictionary'!C:D,2,FALSE))</f>
        <v>enum - Income Term</v>
      </c>
      <c r="G182" s="95" t="str">
        <f>IF(IF(D182="", "", VLOOKUP(D182,'API Data Dictionary'!C:E,3,FALSE))=0, "", IF(D182="", "", VLOOKUP(D182,'API Data Dictionary'!C:E,3,FALSE)))</f>
        <v/>
      </c>
      <c r="H182" s="95" t="str">
        <f>IF(IF(D182="", "", VLOOKUP(D182,'API Data Dictionary'!C:F,4,FALSE))=0, "", IF(D182="", "", VLOOKUP(D182,'API Data Dictionary'!C:F,4,FALSE)))</f>
        <v>Valid Values 1-4 (See enum definition)</v>
      </c>
      <c r="I182" s="95" t="str">
        <f>IF(IF(D182="", "", VLOOKUP(D182,'API Data Dictionary'!C:G,5,FALSE))=0, "", IF(D182="", "", VLOOKUP(D182,'API Data Dictionary'!C:G,5,FALSE)))</f>
        <v>Income term, e.g monthly or weekly</v>
      </c>
    </row>
    <row r="183" spans="1:9" hidden="1">
      <c r="A183" s="97"/>
      <c r="B183" s="97"/>
      <c r="C183" s="97" t="s">
        <v>1426</v>
      </c>
      <c r="D183" s="95" t="str">
        <f t="shared" si="3"/>
        <v>fosterAllowanceAmount</v>
      </c>
      <c r="E183" s="95">
        <f>IF(D183="", "", VLOOKUP(D183,'API Data Dictionary'!C:L,10,FALSE))</f>
        <v>0</v>
      </c>
      <c r="F183" s="95" t="str">
        <f>IF(D183="", "", VLOOKUP(D183,'API Data Dictionary'!C:D,2,FALSE))</f>
        <v>number ($double)</v>
      </c>
      <c r="G183" s="95" t="str">
        <f>IF(IF(D183="", "", VLOOKUP(D183,'API Data Dictionary'!C:E,3,FALSE))=0, "", IF(D183="", "", VLOOKUP(D183,'API Data Dictionary'!C:E,3,FALSE)))</f>
        <v/>
      </c>
      <c r="H183" s="95" t="str">
        <f>IF(IF(D183="", "", VLOOKUP(D183,'API Data Dictionary'!C:F,4,FALSE))=0, "", IF(D183="", "", VLOOKUP(D183,'API Data Dictionary'!C:F,4,FALSE)))</f>
        <v>pattern: ^\d*.\d{0,2}$</v>
      </c>
      <c r="I183" s="95" t="str">
        <f>IF(IF(D183="", "", VLOOKUP(D183,'API Data Dictionary'!C:G,5,FALSE))=0, "", IF(D183="", "", VLOOKUP(D183,'API Data Dictionary'!C:G,5,FALSE)))</f>
        <v>Amount of foster allowance in GBP</v>
      </c>
    </row>
    <row r="184" spans="1:9" hidden="1">
      <c r="A184" s="97"/>
      <c r="B184" s="97"/>
      <c r="C184" s="97" t="s">
        <v>1427</v>
      </c>
      <c r="D184" s="95" t="str">
        <f t="shared" si="3"/>
        <v>guardianAllowance</v>
      </c>
      <c r="E184" s="95">
        <f>IF(D184="", "", VLOOKUP(D184,'API Data Dictionary'!C:L,10,FALSE))</f>
        <v>0</v>
      </c>
      <c r="F184" s="95" t="str">
        <f>IF(D184="", "", VLOOKUP(D184,'API Data Dictionary'!C:D,2,FALSE))</f>
        <v>boolean</v>
      </c>
      <c r="G184" s="95" t="str">
        <f>IF(IF(D184="", "", VLOOKUP(D184,'API Data Dictionary'!C:E,3,FALSE))=0, "", IF(D184="", "", VLOOKUP(D184,'API Data Dictionary'!C:E,3,FALSE)))</f>
        <v/>
      </c>
      <c r="H184" s="95" t="str">
        <f>IF(IF(D184="", "", VLOOKUP(D184,'API Data Dictionary'!C:F,4,FALSE))=0, "", IF(D184="", "", VLOOKUP(D184,'API Data Dictionary'!C:F,4,FALSE)))</f>
        <v/>
      </c>
      <c r="I184" s="95" t="str">
        <f>IF(IF(D184="", "", VLOOKUP(D184,'API Data Dictionary'!C:G,5,FALSE))=0, "", IF(D184="", "", VLOOKUP(D184,'API Data Dictionary'!C:G,5,FALSE)))</f>
        <v>Denotes if guardian allowance is recieved</v>
      </c>
    </row>
    <row r="185" spans="1:9" hidden="1">
      <c r="A185" s="97"/>
      <c r="B185" s="97"/>
      <c r="C185" s="97" t="s">
        <v>1428</v>
      </c>
      <c r="D185" s="95" t="str">
        <f t="shared" si="3"/>
        <v>guardianAllowanceTerm</v>
      </c>
      <c r="E185" s="95">
        <f>IF(D185="", "", VLOOKUP(D185,'API Data Dictionary'!C:L,10,FALSE))</f>
        <v>0</v>
      </c>
      <c r="F185" s="95" t="str">
        <f>IF(D185="", "", VLOOKUP(D185,'API Data Dictionary'!C:D,2,FALSE))</f>
        <v>enum - Income Term</v>
      </c>
      <c r="G185" s="95" t="str">
        <f>IF(IF(D185="", "", VLOOKUP(D185,'API Data Dictionary'!C:E,3,FALSE))=0, "", IF(D185="", "", VLOOKUP(D185,'API Data Dictionary'!C:E,3,FALSE)))</f>
        <v/>
      </c>
      <c r="H185" s="95" t="str">
        <f>IF(IF(D185="", "", VLOOKUP(D185,'API Data Dictionary'!C:F,4,FALSE))=0, "", IF(D185="", "", VLOOKUP(D185,'API Data Dictionary'!C:F,4,FALSE)))</f>
        <v>Valid Values 1-4 (See enum definition)</v>
      </c>
      <c r="I185" s="95" t="str">
        <f>IF(IF(D185="", "", VLOOKUP(D185,'API Data Dictionary'!C:G,5,FALSE))=0, "", IF(D185="", "", VLOOKUP(D185,'API Data Dictionary'!C:G,5,FALSE)))</f>
        <v>Income term, e.g monthly or weekly</v>
      </c>
    </row>
    <row r="186" spans="1:9" hidden="1">
      <c r="A186" s="97"/>
      <c r="B186" s="97"/>
      <c r="C186" s="97" t="s">
        <v>1429</v>
      </c>
      <c r="D186" s="95" t="str">
        <f t="shared" si="3"/>
        <v>guardianAllowanceAmount</v>
      </c>
      <c r="E186" s="95">
        <f>IF(D186="", "", VLOOKUP(D186,'API Data Dictionary'!C:L,10,FALSE))</f>
        <v>0</v>
      </c>
      <c r="F186" s="95" t="str">
        <f>IF(D186="", "", VLOOKUP(D186,'API Data Dictionary'!C:D,2,FALSE))</f>
        <v>number ($double)</v>
      </c>
      <c r="G186" s="95" t="str">
        <f>IF(IF(D186="", "", VLOOKUP(D186,'API Data Dictionary'!C:E,3,FALSE))=0, "", IF(D186="", "", VLOOKUP(D186,'API Data Dictionary'!C:E,3,FALSE)))</f>
        <v/>
      </c>
      <c r="H186" s="95" t="str">
        <f>IF(IF(D186="", "", VLOOKUP(D186,'API Data Dictionary'!C:F,4,FALSE))=0, "", IF(D186="", "", VLOOKUP(D186,'API Data Dictionary'!C:F,4,FALSE)))</f>
        <v>pattern: ^\d*.\d{0,2}$</v>
      </c>
      <c r="I186" s="95" t="str">
        <f>IF(IF(D186="", "", VLOOKUP(D186,'API Data Dictionary'!C:G,5,FALSE))=0, "", IF(D186="", "", VLOOKUP(D186,'API Data Dictionary'!C:G,5,FALSE)))</f>
        <v>Amount of Guardian Allowance in GBP</v>
      </c>
    </row>
    <row r="187" spans="1:9" hidden="1">
      <c r="A187" s="97"/>
      <c r="B187" s="97"/>
      <c r="C187" s="97" t="s">
        <v>1430</v>
      </c>
      <c r="D187" s="95" t="str">
        <f t="shared" si="3"/>
        <v>childMaintenance</v>
      </c>
      <c r="E187" s="95">
        <f>IF(D187="", "", VLOOKUP(D187,'API Data Dictionary'!C:L,10,FALSE))</f>
        <v>0</v>
      </c>
      <c r="F187" s="95" t="str">
        <f>IF(D187="", "", VLOOKUP(D187,'API Data Dictionary'!C:D,2,FALSE))</f>
        <v>boolean</v>
      </c>
      <c r="G187" s="95" t="str">
        <f>IF(IF(D187="", "", VLOOKUP(D187,'API Data Dictionary'!C:E,3,FALSE))=0, "", IF(D187="", "", VLOOKUP(D187,'API Data Dictionary'!C:E,3,FALSE)))</f>
        <v/>
      </c>
      <c r="H187" s="95" t="str">
        <f>IF(IF(D187="", "", VLOOKUP(D187,'API Data Dictionary'!C:F,4,FALSE))=0, "", IF(D187="", "", VLOOKUP(D187,'API Data Dictionary'!C:F,4,FALSE)))</f>
        <v/>
      </c>
      <c r="I187" s="95" t="str">
        <f>IF(IF(D187="", "", VLOOKUP(D187,'API Data Dictionary'!C:G,5,FALSE))=0, "", IF(D187="", "", VLOOKUP(D187,'API Data Dictionary'!C:G,5,FALSE)))</f>
        <v>Denotes if Child maintenance is received</v>
      </c>
    </row>
    <row r="188" spans="1:9" hidden="1">
      <c r="A188" s="97"/>
      <c r="B188" s="97"/>
      <c r="C188" s="97" t="s">
        <v>1431</v>
      </c>
      <c r="D188" s="95" t="str">
        <f t="shared" si="3"/>
        <v>childMaintenanceTerm</v>
      </c>
      <c r="E188" s="95">
        <f>IF(D188="", "", VLOOKUP(D188,'API Data Dictionary'!C:L,10,FALSE))</f>
        <v>0</v>
      </c>
      <c r="F188" s="95" t="str">
        <f>IF(D188="", "", VLOOKUP(D188,'API Data Dictionary'!C:D,2,FALSE))</f>
        <v>enum - Income Term</v>
      </c>
      <c r="G188" s="95" t="str">
        <f>IF(IF(D188="", "", VLOOKUP(D188,'API Data Dictionary'!C:E,3,FALSE))=0, "", IF(D188="", "", VLOOKUP(D188,'API Data Dictionary'!C:E,3,FALSE)))</f>
        <v/>
      </c>
      <c r="H188" s="95" t="str">
        <f>IF(IF(D188="", "", VLOOKUP(D188,'API Data Dictionary'!C:F,4,FALSE))=0, "", IF(D188="", "", VLOOKUP(D188,'API Data Dictionary'!C:F,4,FALSE)))</f>
        <v>Valid Values 1-4 (See enum definition)</v>
      </c>
      <c r="I188" s="95" t="str">
        <f>IF(IF(D188="", "", VLOOKUP(D188,'API Data Dictionary'!C:G,5,FALSE))=0, "", IF(D188="", "", VLOOKUP(D188,'API Data Dictionary'!C:G,5,FALSE)))</f>
        <v>Income term, e.g monthly or weekly</v>
      </c>
    </row>
    <row r="189" spans="1:9" hidden="1">
      <c r="A189" s="97"/>
      <c r="B189" s="97"/>
      <c r="C189" s="97" t="s">
        <v>1432</v>
      </c>
      <c r="D189" s="95" t="str">
        <f t="shared" si="3"/>
        <v>childMaintenanceAmount</v>
      </c>
      <c r="E189" s="95">
        <f>IF(D189="", "", VLOOKUP(D189,'API Data Dictionary'!C:L,10,FALSE))</f>
        <v>0</v>
      </c>
      <c r="F189" s="95" t="str">
        <f>IF(D189="", "", VLOOKUP(D189,'API Data Dictionary'!C:D,2,FALSE))</f>
        <v>number ($double)</v>
      </c>
      <c r="G189" s="95" t="str">
        <f>IF(IF(D189="", "", VLOOKUP(D189,'API Data Dictionary'!C:E,3,FALSE))=0, "", IF(D189="", "", VLOOKUP(D189,'API Data Dictionary'!C:E,3,FALSE)))</f>
        <v/>
      </c>
      <c r="H189" s="95" t="str">
        <f>IF(IF(D189="", "", VLOOKUP(D189,'API Data Dictionary'!C:F,4,FALSE))=0, "", IF(D189="", "", VLOOKUP(D189,'API Data Dictionary'!C:F,4,FALSE)))</f>
        <v>pattern: ^\d*.\d{0,2}$</v>
      </c>
      <c r="I189" s="95" t="str">
        <f>IF(IF(D189="", "", VLOOKUP(D189,'API Data Dictionary'!C:G,5,FALSE))=0, "", IF(D189="", "", VLOOKUP(D189,'API Data Dictionary'!C:G,5,FALSE)))</f>
        <v>Amount of child maintenance in GBP</v>
      </c>
    </row>
    <row r="190" spans="1:9" hidden="1">
      <c r="A190" s="97"/>
      <c r="B190" s="97"/>
      <c r="C190" s="97" t="s">
        <v>1433</v>
      </c>
      <c r="D190" s="95" t="str">
        <f t="shared" si="3"/>
        <v>housingBenefit</v>
      </c>
      <c r="E190" s="95">
        <f>IF(D190="", "", VLOOKUP(D190,'API Data Dictionary'!C:L,10,FALSE))</f>
        <v>0</v>
      </c>
      <c r="F190" s="95" t="str">
        <f>IF(D190="", "", VLOOKUP(D190,'API Data Dictionary'!C:D,2,FALSE))</f>
        <v>boolean</v>
      </c>
      <c r="G190" s="95" t="str">
        <f>IF(IF(D190="", "", VLOOKUP(D190,'API Data Dictionary'!C:E,3,FALSE))=0, "", IF(D190="", "", VLOOKUP(D190,'API Data Dictionary'!C:E,3,FALSE)))</f>
        <v/>
      </c>
      <c r="H190" s="95" t="str">
        <f>IF(IF(D190="", "", VLOOKUP(D190,'API Data Dictionary'!C:F,4,FALSE))=0, "", IF(D190="", "", VLOOKUP(D190,'API Data Dictionary'!C:F,4,FALSE)))</f>
        <v/>
      </c>
      <c r="I190" s="95" t="str">
        <f>IF(IF(D190="", "", VLOOKUP(D190,'API Data Dictionary'!C:G,5,FALSE))=0, "", IF(D190="", "", VLOOKUP(D190,'API Data Dictionary'!C:G,5,FALSE)))</f>
        <v>Denotes if shousing benefit is received</v>
      </c>
    </row>
    <row r="191" spans="1:9" hidden="1">
      <c r="A191" s="97"/>
      <c r="B191" s="97"/>
      <c r="C191" s="97" t="s">
        <v>1434</v>
      </c>
      <c r="D191" s="95" t="str">
        <f t="shared" si="3"/>
        <v>housingBenefitTerm</v>
      </c>
      <c r="E191" s="95">
        <f>IF(D191="", "", VLOOKUP(D191,'API Data Dictionary'!C:L,10,FALSE))</f>
        <v>0</v>
      </c>
      <c r="F191" s="95" t="str">
        <f>IF(D191="", "", VLOOKUP(D191,'API Data Dictionary'!C:D,2,FALSE))</f>
        <v>enum - Income Term</v>
      </c>
      <c r="G191" s="95" t="str">
        <f>IF(IF(D191="", "", VLOOKUP(D191,'API Data Dictionary'!C:E,3,FALSE))=0, "", IF(D191="", "", VLOOKUP(D191,'API Data Dictionary'!C:E,3,FALSE)))</f>
        <v/>
      </c>
      <c r="H191" s="95" t="str">
        <f>IF(IF(D191="", "", VLOOKUP(D191,'API Data Dictionary'!C:F,4,FALSE))=0, "", IF(D191="", "", VLOOKUP(D191,'API Data Dictionary'!C:F,4,FALSE)))</f>
        <v>Valid Values 1-4 (See enum definition)</v>
      </c>
      <c r="I191" s="95" t="str">
        <f>IF(IF(D191="", "", VLOOKUP(D191,'API Data Dictionary'!C:G,5,FALSE))=0, "", IF(D191="", "", VLOOKUP(D191,'API Data Dictionary'!C:G,5,FALSE)))</f>
        <v>Income term, e.g monthly or weekly</v>
      </c>
    </row>
    <row r="192" spans="1:9" hidden="1">
      <c r="A192" s="97"/>
      <c r="B192" s="97"/>
      <c r="C192" s="97" t="s">
        <v>1435</v>
      </c>
      <c r="D192" s="95" t="str">
        <f t="shared" si="3"/>
        <v>housingBenefitAmount</v>
      </c>
      <c r="E192" s="95">
        <f>IF(D192="", "", VLOOKUP(D192,'API Data Dictionary'!C:L,10,FALSE))</f>
        <v>0</v>
      </c>
      <c r="F192" s="95" t="str">
        <f>IF(D192="", "", VLOOKUP(D192,'API Data Dictionary'!C:D,2,FALSE))</f>
        <v>number ($double)</v>
      </c>
      <c r="G192" s="95" t="str">
        <f>IF(IF(D192="", "", VLOOKUP(D192,'API Data Dictionary'!C:E,3,FALSE))=0, "", IF(D192="", "", VLOOKUP(D192,'API Data Dictionary'!C:E,3,FALSE)))</f>
        <v/>
      </c>
      <c r="H192" s="95" t="str">
        <f>IF(IF(D192="", "", VLOOKUP(D192,'API Data Dictionary'!C:F,4,FALSE))=0, "", IF(D192="", "", VLOOKUP(D192,'API Data Dictionary'!C:F,4,FALSE)))</f>
        <v>pattern: ^\d*.\d{0,2}$</v>
      </c>
      <c r="I192" s="95" t="str">
        <f>IF(IF(D192="", "", VLOOKUP(D192,'API Data Dictionary'!C:G,5,FALSE))=0, "", IF(D192="", "", VLOOKUP(D192,'API Data Dictionary'!C:G,5,FALSE)))</f>
        <v>Amount of housing benefit in GBP</v>
      </c>
    </row>
    <row r="193" spans="1:9" hidden="1">
      <c r="A193" s="97"/>
      <c r="B193" s="97"/>
      <c r="C193" s="97" t="s">
        <v>1436</v>
      </c>
      <c r="D193" s="95" t="str">
        <f t="shared" si="3"/>
        <v>employmentSupport</v>
      </c>
      <c r="E193" s="95">
        <f>IF(D193="", "", VLOOKUP(D193,'API Data Dictionary'!C:L,10,FALSE))</f>
        <v>0</v>
      </c>
      <c r="F193" s="95" t="str">
        <f>IF(D193="", "", VLOOKUP(D193,'API Data Dictionary'!C:D,2,FALSE))</f>
        <v>boolean</v>
      </c>
      <c r="G193" s="95" t="str">
        <f>IF(IF(D193="", "", VLOOKUP(D193,'API Data Dictionary'!C:E,3,FALSE))=0, "", IF(D193="", "", VLOOKUP(D193,'API Data Dictionary'!C:E,3,FALSE)))</f>
        <v/>
      </c>
      <c r="H193" s="95" t="str">
        <f>IF(IF(D193="", "", VLOOKUP(D193,'API Data Dictionary'!C:F,4,FALSE))=0, "", IF(D193="", "", VLOOKUP(D193,'API Data Dictionary'!C:F,4,FALSE)))</f>
        <v/>
      </c>
      <c r="I193" s="95" t="str">
        <f>IF(IF(D193="", "", VLOOKUP(D193,'API Data Dictionary'!C:G,5,FALSE))=0, "", IF(D193="", "", VLOOKUP(D193,'API Data Dictionary'!C:G,5,FALSE)))</f>
        <v>Denotes if employment support is received</v>
      </c>
    </row>
    <row r="194" spans="1:9" hidden="1">
      <c r="A194" s="97"/>
      <c r="B194" s="97"/>
      <c r="C194" s="97" t="s">
        <v>1437</v>
      </c>
      <c r="D194" s="95" t="str">
        <f t="shared" si="3"/>
        <v>employmentSupportTerm</v>
      </c>
      <c r="E194" s="95">
        <f>IF(D194="", "", VLOOKUP(D194,'API Data Dictionary'!C:L,10,FALSE))</f>
        <v>0</v>
      </c>
      <c r="F194" s="95" t="str">
        <f>IF(D194="", "", VLOOKUP(D194,'API Data Dictionary'!C:D,2,FALSE))</f>
        <v>enum - Income Term</v>
      </c>
      <c r="G194" s="95" t="str">
        <f>IF(IF(D194="", "", VLOOKUP(D194,'API Data Dictionary'!C:E,3,FALSE))=0, "", IF(D194="", "", VLOOKUP(D194,'API Data Dictionary'!C:E,3,FALSE)))</f>
        <v/>
      </c>
      <c r="H194" s="95" t="str">
        <f>IF(IF(D194="", "", VLOOKUP(D194,'API Data Dictionary'!C:F,4,FALSE))=0, "", IF(D194="", "", VLOOKUP(D194,'API Data Dictionary'!C:F,4,FALSE)))</f>
        <v>Valid Values 1-4 (See enum definition)</v>
      </c>
      <c r="I194" s="95" t="str">
        <f>IF(IF(D194="", "", VLOOKUP(D194,'API Data Dictionary'!C:G,5,FALSE))=0, "", IF(D194="", "", VLOOKUP(D194,'API Data Dictionary'!C:G,5,FALSE)))</f>
        <v>Income term, e.g monthly or weekly</v>
      </c>
    </row>
    <row r="195" spans="1:9" hidden="1">
      <c r="A195" s="97"/>
      <c r="B195" s="97"/>
      <c r="C195" s="97" t="s">
        <v>1438</v>
      </c>
      <c r="D195" s="95" t="str">
        <f t="shared" si="3"/>
        <v>employmentSupportAmount</v>
      </c>
      <c r="E195" s="95">
        <f>IF(D195="", "", VLOOKUP(D195,'API Data Dictionary'!C:L,10,FALSE))</f>
        <v>0</v>
      </c>
      <c r="F195" s="95" t="str">
        <f>IF(D195="", "", VLOOKUP(D195,'API Data Dictionary'!C:D,2,FALSE))</f>
        <v>number ($double)</v>
      </c>
      <c r="G195" s="95" t="str">
        <f>IF(IF(D195="", "", VLOOKUP(D195,'API Data Dictionary'!C:E,3,FALSE))=0, "", IF(D195="", "", VLOOKUP(D195,'API Data Dictionary'!C:E,3,FALSE)))</f>
        <v/>
      </c>
      <c r="H195" s="95" t="str">
        <f>IF(IF(D195="", "", VLOOKUP(D195,'API Data Dictionary'!C:F,4,FALSE))=0, "", IF(D195="", "", VLOOKUP(D195,'API Data Dictionary'!C:F,4,FALSE)))</f>
        <v>pattern: ^\d*.\d{0,2}$</v>
      </c>
      <c r="I195" s="95" t="str">
        <f>IF(IF(D195="", "", VLOOKUP(D195,'API Data Dictionary'!C:G,5,FALSE))=0, "", IF(D195="", "", VLOOKUP(D195,'API Data Dictionary'!C:G,5,FALSE)))</f>
        <v>Amount of employment support amount in GBP</v>
      </c>
    </row>
    <row r="196" spans="1:9" hidden="1">
      <c r="A196" s="97"/>
      <c r="B196" s="97"/>
      <c r="C196" s="97" t="s">
        <v>1439</v>
      </c>
      <c r="D196" s="95" t="str">
        <f t="shared" si="3"/>
        <v>universalCredit</v>
      </c>
      <c r="E196" s="95">
        <f>IF(D196="", "", VLOOKUP(D196,'API Data Dictionary'!C:L,10,FALSE))</f>
        <v>0</v>
      </c>
      <c r="F196" s="95" t="str">
        <f>IF(D196="", "", VLOOKUP(D196,'API Data Dictionary'!C:D,2,FALSE))</f>
        <v>boolean</v>
      </c>
      <c r="G196" s="95" t="str">
        <f>IF(IF(D196="", "", VLOOKUP(D196,'API Data Dictionary'!C:E,3,FALSE))=0, "", IF(D196="", "", VLOOKUP(D196,'API Data Dictionary'!C:E,3,FALSE)))</f>
        <v/>
      </c>
      <c r="H196" s="95" t="str">
        <f>IF(IF(D196="", "", VLOOKUP(D196,'API Data Dictionary'!C:F,4,FALSE))=0, "", IF(D196="", "", VLOOKUP(D196,'API Data Dictionary'!C:F,4,FALSE)))</f>
        <v/>
      </c>
      <c r="I196" s="95" t="str">
        <f>IF(IF(D196="", "", VLOOKUP(D196,'API Data Dictionary'!C:G,5,FALSE))=0, "", IF(D196="", "", VLOOKUP(D196,'API Data Dictionary'!C:G,5,FALSE)))</f>
        <v>Denotes if universal is received</v>
      </c>
    </row>
    <row r="197" spans="1:9" hidden="1">
      <c r="A197" s="97"/>
      <c r="B197" s="97"/>
      <c r="C197" s="97" t="s">
        <v>1440</v>
      </c>
      <c r="D197" s="95" t="str">
        <f t="shared" si="3"/>
        <v>universalCreditTerm</v>
      </c>
      <c r="E197" s="95">
        <f>IF(D197="", "", VLOOKUP(D197,'API Data Dictionary'!C:L,10,FALSE))</f>
        <v>0</v>
      </c>
      <c r="F197" s="95" t="str">
        <f>IF(D197="", "", VLOOKUP(D197,'API Data Dictionary'!C:D,2,FALSE))</f>
        <v>enum - Income Term</v>
      </c>
      <c r="G197" s="95" t="str">
        <f>IF(IF(D197="", "", VLOOKUP(D197,'API Data Dictionary'!C:E,3,FALSE))=0, "", IF(D197="", "", VLOOKUP(D197,'API Data Dictionary'!C:E,3,FALSE)))</f>
        <v/>
      </c>
      <c r="H197" s="95" t="str">
        <f>IF(IF(D197="", "", VLOOKUP(D197,'API Data Dictionary'!C:F,4,FALSE))=0, "", IF(D197="", "", VLOOKUP(D197,'API Data Dictionary'!C:F,4,FALSE)))</f>
        <v>Valid Values 1-4 (See enum definition)</v>
      </c>
      <c r="I197" s="95" t="str">
        <f>IF(IF(D197="", "", VLOOKUP(D197,'API Data Dictionary'!C:G,5,FALSE))=0, "", IF(D197="", "", VLOOKUP(D197,'API Data Dictionary'!C:G,5,FALSE)))</f>
        <v>Income term, e.g monthly or weekly</v>
      </c>
    </row>
    <row r="198" spans="1:9" hidden="1">
      <c r="A198" s="97"/>
      <c r="B198" s="97"/>
      <c r="C198" s="97" t="s">
        <v>1441</v>
      </c>
      <c r="D198" s="95" t="str">
        <f t="shared" si="3"/>
        <v>universalCreditAmount</v>
      </c>
      <c r="E198" s="95">
        <f>IF(D198="", "", VLOOKUP(D198,'API Data Dictionary'!C:L,10,FALSE))</f>
        <v>0</v>
      </c>
      <c r="F198" s="95" t="str">
        <f>IF(D198="", "", VLOOKUP(D198,'API Data Dictionary'!C:D,2,FALSE))</f>
        <v>number ($double)</v>
      </c>
      <c r="G198" s="95" t="str">
        <f>IF(IF(D198="", "", VLOOKUP(D198,'API Data Dictionary'!C:E,3,FALSE))=0, "", IF(D198="", "", VLOOKUP(D198,'API Data Dictionary'!C:E,3,FALSE)))</f>
        <v/>
      </c>
      <c r="H198" s="95" t="str">
        <f>IF(IF(D198="", "", VLOOKUP(D198,'API Data Dictionary'!C:F,4,FALSE))=0, "", IF(D198="", "", VLOOKUP(D198,'API Data Dictionary'!C:F,4,FALSE)))</f>
        <v>pattern: ^\d*.\d{0,2}$</v>
      </c>
      <c r="I198" s="95" t="str">
        <f>IF(IF(D198="", "", VLOOKUP(D198,'API Data Dictionary'!C:G,5,FALSE))=0, "", IF(D198="", "", VLOOKUP(D198,'API Data Dictionary'!C:G,5,FALSE)))</f>
        <v>Amount of universal credit in GBP</v>
      </c>
    </row>
    <row r="199" spans="1:9" hidden="1">
      <c r="A199" s="97"/>
      <c r="B199" s="97"/>
      <c r="C199" s="97" t="s">
        <v>1260</v>
      </c>
      <c r="D199" s="95" t="str">
        <f t="shared" si="3"/>
        <v/>
      </c>
      <c r="E199" s="95" t="str">
        <f>IF(D199="", "", VLOOKUP(D199,'API Data Dictionary'!C:L,10,FALSE))</f>
        <v/>
      </c>
      <c r="F199" s="95" t="str">
        <f>IF(D199="", "", VLOOKUP(D199,'API Data Dictionary'!C:D,2,FALSE))</f>
        <v/>
      </c>
      <c r="G199" s="95" t="str">
        <f>IF(IF(D199="", "", VLOOKUP(D199,'API Data Dictionary'!C:E,3,FALSE))=0, "", IF(D199="", "", VLOOKUP(D199,'API Data Dictionary'!C:E,3,FALSE)))</f>
        <v/>
      </c>
      <c r="H199" s="95" t="str">
        <f>IF(IF(D199="", "", VLOOKUP(D199,'API Data Dictionary'!C:F,4,FALSE))=0, "", IF(D199="", "", VLOOKUP(D199,'API Data Dictionary'!C:F,4,FALSE)))</f>
        <v/>
      </c>
      <c r="I199" s="95" t="str">
        <f>IF(IF(D199="", "", VLOOKUP(D199,'API Data Dictionary'!C:G,5,FALSE))=0, "", IF(D199="", "", VLOOKUP(D199,'API Data Dictionary'!C:G,5,FALSE)))</f>
        <v/>
      </c>
    </row>
    <row r="200" spans="1:9" hidden="1">
      <c r="A200" s="97"/>
      <c r="B200" s="97"/>
      <c r="C200" s="97" t="s">
        <v>1247</v>
      </c>
      <c r="D200" s="95" t="str">
        <f t="shared" si="3"/>
        <v/>
      </c>
      <c r="E200" s="95" t="str">
        <f>IF(D200="", "", VLOOKUP(D200,'API Data Dictionary'!C:L,10,FALSE))</f>
        <v/>
      </c>
      <c r="F200" s="95" t="str">
        <f>IF(D200="", "", VLOOKUP(D200,'API Data Dictionary'!C:D,2,FALSE))</f>
        <v/>
      </c>
      <c r="G200" s="95" t="str">
        <f>IF(IF(D200="", "", VLOOKUP(D200,'API Data Dictionary'!C:E,3,FALSE))=0, "", IF(D200="", "", VLOOKUP(D200,'API Data Dictionary'!C:E,3,FALSE)))</f>
        <v/>
      </c>
      <c r="H200" s="95" t="str">
        <f>IF(IF(D200="", "", VLOOKUP(D200,'API Data Dictionary'!C:F,4,FALSE))=0, "", IF(D200="", "", VLOOKUP(D200,'API Data Dictionary'!C:F,4,FALSE)))</f>
        <v/>
      </c>
      <c r="I200" s="95" t="str">
        <f>IF(IF(D200="", "", VLOOKUP(D200,'API Data Dictionary'!C:G,5,FALSE))=0, "", IF(D200="", "", VLOOKUP(D200,'API Data Dictionary'!C:G,5,FALSE)))</f>
        <v/>
      </c>
    </row>
    <row r="201" spans="1:9" hidden="1">
      <c r="A201" s="97"/>
      <c r="B201" s="97"/>
      <c r="C201" s="97" t="s">
        <v>1282</v>
      </c>
      <c r="D201" s="95" t="str">
        <f t="shared" si="3"/>
        <v/>
      </c>
      <c r="E201" s="95" t="str">
        <f>IF(D201="", "", VLOOKUP(D201,'API Data Dictionary'!C:L,10,FALSE))</f>
        <v/>
      </c>
      <c r="F201" s="95" t="str">
        <f>IF(D201="", "", VLOOKUP(D201,'API Data Dictionary'!C:D,2,FALSE))</f>
        <v/>
      </c>
      <c r="G201" s="95" t="str">
        <f>IF(IF(D201="", "", VLOOKUP(D201,'API Data Dictionary'!C:E,3,FALSE))=0, "", IF(D201="", "", VLOOKUP(D201,'API Data Dictionary'!C:E,3,FALSE)))</f>
        <v/>
      </c>
      <c r="H201" s="95" t="str">
        <f>IF(IF(D201="", "", VLOOKUP(D201,'API Data Dictionary'!C:F,4,FALSE))=0, "", IF(D201="", "", VLOOKUP(D201,'API Data Dictionary'!C:F,4,FALSE)))</f>
        <v/>
      </c>
      <c r="I201" s="95" t="str">
        <f>IF(IF(D201="", "", VLOOKUP(D201,'API Data Dictionary'!C:G,5,FALSE))=0, "", IF(D201="", "", VLOOKUP(D201,'API Data Dictionary'!C:G,5,FALSE)))</f>
        <v/>
      </c>
    </row>
    <row r="202" spans="1:9" hidden="1">
      <c r="A202" s="97"/>
      <c r="B202" s="97"/>
      <c r="C202" s="97" t="s">
        <v>1442</v>
      </c>
      <c r="D202" s="95" t="str">
        <f t="shared" si="3"/>
        <v/>
      </c>
      <c r="E202" s="95" t="str">
        <f>IF(D202="", "", VLOOKUP(D202,'API Data Dictionary'!C:L,10,FALSE))</f>
        <v/>
      </c>
      <c r="F202" s="95" t="str">
        <f>IF(D202="", "", VLOOKUP(D202,'API Data Dictionary'!C:D,2,FALSE))</f>
        <v/>
      </c>
      <c r="G202" s="95" t="str">
        <f>IF(IF(D202="", "", VLOOKUP(D202,'API Data Dictionary'!C:E,3,FALSE))=0, "", IF(D202="", "", VLOOKUP(D202,'API Data Dictionary'!C:E,3,FALSE)))</f>
        <v/>
      </c>
      <c r="H202" s="95" t="str">
        <f>IF(IF(D202="", "", VLOOKUP(D202,'API Data Dictionary'!C:F,4,FALSE))=0, "", IF(D202="", "", VLOOKUP(D202,'API Data Dictionary'!C:F,4,FALSE)))</f>
        <v/>
      </c>
      <c r="I202" s="95" t="str">
        <f>IF(IF(D202="", "", VLOOKUP(D202,'API Data Dictionary'!C:G,5,FALSE))=0, "", IF(D202="", "", VLOOKUP(D202,'API Data Dictionary'!C:G,5,FALSE)))</f>
        <v/>
      </c>
    </row>
    <row r="203" spans="1:9" hidden="1">
      <c r="A203" s="97"/>
      <c r="B203" s="97"/>
      <c r="C203" s="97" t="s">
        <v>1443</v>
      </c>
      <c r="D203" s="95" t="str">
        <f t="shared" si="3"/>
        <v>bankName</v>
      </c>
      <c r="E203" s="95">
        <f>IF(D203="", "", VLOOKUP(D203,'API Data Dictionary'!C:L,10,FALSE))</f>
        <v>0</v>
      </c>
      <c r="F203" s="95" t="str">
        <f>IF(D203="", "", VLOOKUP(D203,'API Data Dictionary'!C:D,2,FALSE))</f>
        <v>string</v>
      </c>
      <c r="G203" s="95">
        <f>IF(IF(D203="", "", VLOOKUP(D203,'API Data Dictionary'!C:E,3,FALSE))=0, "", IF(D203="", "", VLOOKUP(D203,'API Data Dictionary'!C:E,3,FALSE)))</f>
        <v>200</v>
      </c>
      <c r="H203" s="95" t="str">
        <f>IF(IF(D203="", "", VLOOKUP(D203,'API Data Dictionary'!C:F,4,FALSE))=0, "", IF(D203="", "", VLOOKUP(D203,'API Data Dictionary'!C:F,4,FALSE)))</f>
        <v/>
      </c>
      <c r="I203" s="95" t="str">
        <f>IF(IF(D203="", "", VLOOKUP(D203,'API Data Dictionary'!C:G,5,FALSE))=0, "", IF(D203="", "", VLOOKUP(D203,'API Data Dictionary'!C:G,5,FALSE)))</f>
        <v>Name of the bank/building society</v>
      </c>
    </row>
    <row r="204" spans="1:9" hidden="1">
      <c r="A204" s="97"/>
      <c r="B204" s="97"/>
      <c r="C204" s="97" t="s">
        <v>1444</v>
      </c>
      <c r="D204" s="95" t="str">
        <f t="shared" si="3"/>
        <v>bankAccountHolderName</v>
      </c>
      <c r="E204" s="95">
        <f>IF(D204="", "", VLOOKUP(D204,'API Data Dictionary'!C:L,10,FALSE))</f>
        <v>0</v>
      </c>
      <c r="F204" s="95" t="str">
        <f>IF(D204="", "", VLOOKUP(D204,'API Data Dictionary'!C:D,2,FALSE))</f>
        <v>string</v>
      </c>
      <c r="G204" s="95">
        <f>IF(IF(D204="", "", VLOOKUP(D204,'API Data Dictionary'!C:E,3,FALSE))=0, "", IF(D204="", "", VLOOKUP(D204,'API Data Dictionary'!C:E,3,FALSE)))</f>
        <v>200</v>
      </c>
      <c r="H204" s="95" t="str">
        <f>IF(IF(D204="", "", VLOOKUP(D204,'API Data Dictionary'!C:F,4,FALSE))=0, "", IF(D204="", "", VLOOKUP(D204,'API Data Dictionary'!C:F,4,FALSE)))</f>
        <v/>
      </c>
      <c r="I204" s="95" t="str">
        <f>IF(IF(D204="", "", VLOOKUP(D204,'API Data Dictionary'!C:G,5,FALSE))=0, "", IF(D204="", "", VLOOKUP(D204,'API Data Dictionary'!C:G,5,FALSE)))</f>
        <v>Name of the account holder for the bank/building society</v>
      </c>
    </row>
    <row r="205" spans="1:9" hidden="1">
      <c r="A205" s="97"/>
      <c r="B205" s="97"/>
      <c r="C205" s="97" t="s">
        <v>1445</v>
      </c>
      <c r="D205" s="95" t="str">
        <f t="shared" si="3"/>
        <v>bankSortCode</v>
      </c>
      <c r="E205" s="95">
        <f>IF(D205="", "", VLOOKUP(D205,'API Data Dictionary'!C:L,10,FALSE))</f>
        <v>0</v>
      </c>
      <c r="F205" s="95" t="str">
        <f>IF(D205="", "", VLOOKUP(D205,'API Data Dictionary'!C:D,2,FALSE))</f>
        <v>string</v>
      </c>
      <c r="G205" s="95">
        <f>IF(IF(D205="", "", VLOOKUP(D205,'API Data Dictionary'!C:E,3,FALSE))=0, "", IF(D205="", "", VLOOKUP(D205,'API Data Dictionary'!C:E,3,FALSE)))</f>
        <v>6</v>
      </c>
      <c r="H205" s="95" t="str">
        <f>IF(IF(D205="", "", VLOOKUP(D205,'API Data Dictionary'!C:F,4,FALSE))=0, "", IF(D205="", "", VLOOKUP(D205,'API Data Dictionary'!C:F,4,FALSE)))</f>
        <v/>
      </c>
      <c r="I205" s="95" t="str">
        <f>IF(IF(D205="", "", VLOOKUP(D205,'API Data Dictionary'!C:G,5,FALSE))=0, "", IF(D205="", "", VLOOKUP(D205,'API Data Dictionary'!C:G,5,FALSE)))</f>
        <v>Sort code of the bank/building society account</v>
      </c>
    </row>
    <row r="206" spans="1:9" hidden="1">
      <c r="A206" s="97"/>
      <c r="B206" s="97"/>
      <c r="C206" s="97" t="s">
        <v>1446</v>
      </c>
      <c r="D206" s="95" t="str">
        <f t="shared" si="3"/>
        <v>bankAccountNumber</v>
      </c>
      <c r="E206" s="95">
        <f>IF(D206="", "", VLOOKUP(D206,'API Data Dictionary'!C:L,10,FALSE))</f>
        <v>0</v>
      </c>
      <c r="F206" s="95" t="str">
        <f>IF(D206="", "", VLOOKUP(D206,'API Data Dictionary'!C:D,2,FALSE))</f>
        <v>string</v>
      </c>
      <c r="G206" s="95">
        <f>IF(IF(D206="", "", VLOOKUP(D206,'API Data Dictionary'!C:E,3,FALSE))=0, "", IF(D206="", "", VLOOKUP(D206,'API Data Dictionary'!C:E,3,FALSE)))</f>
        <v>8</v>
      </c>
      <c r="H206" s="95" t="str">
        <f>IF(IF(D206="", "", VLOOKUP(D206,'API Data Dictionary'!C:F,4,FALSE))=0, "", IF(D206="", "", VLOOKUP(D206,'API Data Dictionary'!C:F,4,FALSE)))</f>
        <v/>
      </c>
      <c r="I206" s="95" t="str">
        <f>IF(IF(D206="", "", VLOOKUP(D206,'API Data Dictionary'!C:G,5,FALSE))=0, "", IF(D206="", "", VLOOKUP(D206,'API Data Dictionary'!C:G,5,FALSE)))</f>
        <v>Account Number of the bank/building society account</v>
      </c>
    </row>
    <row r="207" spans="1:9" hidden="1">
      <c r="A207" s="97"/>
      <c r="B207" s="97"/>
      <c r="C207" s="97" t="s">
        <v>1249</v>
      </c>
      <c r="D207" s="95" t="str">
        <f t="shared" ref="D207:D232" si="4">IF(OR(ISNUMBER(SEARCH("{", C207)),ISNUMBER(SEARCH("[", C207))), "", IFERROR(MID(C207, SEARCH("""", C207) +1, SEARCH("""", C207, SEARCH("""",C207) +1) - SEARCH("""", C207) -1), ""))</f>
        <v/>
      </c>
      <c r="E207" s="95" t="str">
        <f>IF(D207="", "", VLOOKUP(D207,'API Data Dictionary'!C:L,10,FALSE))</f>
        <v/>
      </c>
      <c r="F207" s="95" t="str">
        <f>IF(D207="", "", VLOOKUP(D207,'API Data Dictionary'!C:D,2,FALSE))</f>
        <v/>
      </c>
      <c r="G207" s="95" t="str">
        <f>IF(IF(D207="", "", VLOOKUP(D207,'API Data Dictionary'!C:E,3,FALSE))=0, "", IF(D207="", "", VLOOKUP(D207,'API Data Dictionary'!C:E,3,FALSE)))</f>
        <v/>
      </c>
      <c r="H207" s="95" t="str">
        <f>IF(IF(D207="", "", VLOOKUP(D207,'API Data Dictionary'!C:F,4,FALSE))=0, "", IF(D207="", "", VLOOKUP(D207,'API Data Dictionary'!C:F,4,FALSE)))</f>
        <v/>
      </c>
      <c r="I207" s="95" t="str">
        <f>IF(IF(D207="", "", VLOOKUP(D207,'API Data Dictionary'!C:G,5,FALSE))=0, "", IF(D207="", "", VLOOKUP(D207,'API Data Dictionary'!C:G,5,FALSE)))</f>
        <v/>
      </c>
    </row>
    <row r="208" spans="1:9" ht="14.25" hidden="1" customHeight="1">
      <c r="A208" s="97"/>
      <c r="B208" s="97"/>
      <c r="C208" s="97"/>
      <c r="D208" s="95" t="str">
        <f t="shared" si="4"/>
        <v/>
      </c>
      <c r="E208" s="95" t="str">
        <f>IF(D208="", "", VLOOKUP(D208,'API Data Dictionary'!C:L,10,FALSE))</f>
        <v/>
      </c>
      <c r="F208" s="95" t="str">
        <f>IF(D208="", "", VLOOKUP(D208,'API Data Dictionary'!C:D,2,FALSE))</f>
        <v/>
      </c>
      <c r="G208" s="95" t="str">
        <f>IF(IF(D208="", "", VLOOKUP(D208,'API Data Dictionary'!C:E,3,FALSE))=0, "", IF(D208="", "", VLOOKUP(D208,'API Data Dictionary'!C:E,3,FALSE)))</f>
        <v/>
      </c>
      <c r="H208" s="95" t="str">
        <f>IF(IF(D208="", "", VLOOKUP(D208,'API Data Dictionary'!C:F,4,FALSE))=0, "", IF(D208="", "", VLOOKUP(D208,'API Data Dictionary'!C:F,4,FALSE)))</f>
        <v/>
      </c>
      <c r="I208" s="95" t="str">
        <f>IF(IF(D208="", "", VLOOKUP(D208,'API Data Dictionary'!C:G,5,FALSE))=0, "", IF(D208="", "", VLOOKUP(D208,'API Data Dictionary'!C:G,5,FALSE)))</f>
        <v/>
      </c>
    </row>
    <row r="209" spans="1:9" hidden="1">
      <c r="A209" s="172"/>
      <c r="B209" s="172"/>
      <c r="C209" s="225" t="s">
        <v>1250</v>
      </c>
      <c r="D209" s="225"/>
      <c r="E209" s="225"/>
      <c r="F209" s="225"/>
      <c r="G209" s="225"/>
      <c r="H209" s="225"/>
      <c r="I209" s="225"/>
    </row>
    <row r="210" spans="1:9" hidden="1">
      <c r="A210" s="173"/>
      <c r="B210" s="173"/>
      <c r="C210" s="173"/>
      <c r="D210" s="95" t="str">
        <f t="shared" ref="D210:D215" si="5">IF(OR(ISNUMBER(SEARCH("{", C210)),ISNUMBER(SEARCH("[", C210))), "", IFERROR(MID(C210, SEARCH("""", C210) +1, SEARCH("""", C210, SEARCH("""",C210) +1) - SEARCH("""", C210) -1), ""))</f>
        <v/>
      </c>
      <c r="E210" s="95" t="str">
        <f>IF(D210="", "", VLOOKUP(D210,'API Data Dictionary'!C:X,22,FALSE))</f>
        <v/>
      </c>
      <c r="F210" s="95" t="str">
        <f>IF(D210="", "", VLOOKUP(D210,'API Data Dictionary'!C:D,2,FALSE))</f>
        <v/>
      </c>
      <c r="G210" s="95" t="str">
        <f>IF(IF(D210="", "", VLOOKUP(D210,'API Data Dictionary'!C:E,3,FALSE))=0, "", IF(D210="", "", VLOOKUP(D210,'API Data Dictionary'!C:E,3,FALSE)))</f>
        <v/>
      </c>
      <c r="H210" s="95" t="str">
        <f>IF(IF(D210="", "", VLOOKUP(D210,'API Data Dictionary'!C:F,4,FALSE))=0, "", IF(D210="", "", VLOOKUP(D210,'API Data Dictionary'!C:F,4,FALSE)))</f>
        <v/>
      </c>
      <c r="I210" s="95" t="str">
        <f>IF(IF(D210="", "", VLOOKUP(D210,'API Data Dictionary'!C:G,5,FALSE))=0, "", IF(D210="", "", VLOOKUP(D210,'API Data Dictionary'!C:G,5,FALSE)))</f>
        <v/>
      </c>
    </row>
    <row r="211" spans="1:9" hidden="1">
      <c r="A211" s="173"/>
      <c r="B211" s="173"/>
      <c r="C211" s="173" t="s">
        <v>1183</v>
      </c>
      <c r="D211" s="95" t="str">
        <f t="shared" si="5"/>
        <v/>
      </c>
      <c r="E211" s="95"/>
      <c r="F211" s="95" t="str">
        <f>IF(D211="", "", VLOOKUP(D211,'API Data Dictionary'!C:D,2,FALSE))</f>
        <v/>
      </c>
      <c r="G211" s="95" t="str">
        <f>IF(IF(D211="", "", VLOOKUP(D211,'API Data Dictionary'!C:E,3,FALSE))=0, "", IF(D211="", "", VLOOKUP(D211,'API Data Dictionary'!C:E,3,FALSE)))</f>
        <v/>
      </c>
      <c r="H211" s="95" t="str">
        <f>IF(IF(D211="", "", VLOOKUP(D211,'API Data Dictionary'!C:F,4,FALSE))=0, "", IF(D211="", "", VLOOKUP(D211,'API Data Dictionary'!C:F,4,FALSE)))</f>
        <v/>
      </c>
      <c r="I211" s="95" t="str">
        <f>IF(IF(D211="", "", VLOOKUP(D211,'API Data Dictionary'!C:G,5,FALSE))=0, "", IF(D211="", "", VLOOKUP(D211,'API Data Dictionary'!C:G,5,FALSE)))</f>
        <v/>
      </c>
    </row>
    <row r="212" spans="1:9" hidden="1">
      <c r="A212" s="173"/>
      <c r="B212" s="173"/>
      <c r="C212" s="173" t="s">
        <v>1447</v>
      </c>
      <c r="D212" s="95" t="str">
        <f t="shared" si="5"/>
        <v>success</v>
      </c>
      <c r="E212" s="95" t="s">
        <v>139</v>
      </c>
      <c r="F212" s="95" t="str">
        <f>IF(D212="", "", VLOOKUP(D212,'API Data Dictionary'!C:D,2,FALSE))</f>
        <v>string - Boolean</v>
      </c>
      <c r="G212" s="95">
        <f>IF(IF(D212="", "", VLOOKUP(D212,'API Data Dictionary'!C:E,3,FALSE))=0, "", IF(D212="", "", VLOOKUP(D212,'API Data Dictionary'!C:E,3,FALSE)))</f>
        <v>100</v>
      </c>
      <c r="H212" s="95" t="str">
        <f>IF(IF(D212="", "", VLOOKUP(D212,'API Data Dictionary'!C:F,4,FALSE))=0, "", IF(D212="", "", VLOOKUP(D212,'API Data Dictionary'!C:F,4,FALSE)))</f>
        <v/>
      </c>
      <c r="I212" s="95" t="str">
        <f>IF(IF(D212="", "", VLOOKUP(D212,'API Data Dictionary'!C:G,5,FALSE))=0, "", IF(D212="", "", VLOOKUP(D212,'API Data Dictionary'!C:G,5,FALSE)))</f>
        <v>Returns true when successful connection</v>
      </c>
    </row>
    <row r="213" spans="1:9" hidden="1">
      <c r="A213" s="173"/>
      <c r="B213" s="173"/>
      <c r="C213" s="173" t="s">
        <v>1252</v>
      </c>
      <c r="D213" s="95" t="str">
        <f t="shared" si="5"/>
        <v/>
      </c>
      <c r="E213" s="95" t="s">
        <v>139</v>
      </c>
      <c r="F213" s="95" t="str">
        <f>IF(D213="", "", VLOOKUP(D213,'API Data Dictionary'!C:D,2,FALSE))</f>
        <v/>
      </c>
      <c r="G213" s="95" t="str">
        <f>IF(IF(D213="", "", VLOOKUP(D213,'API Data Dictionary'!C:E,3,FALSE))=0, "", IF(D213="", "", VLOOKUP(D213,'API Data Dictionary'!C:E,3,FALSE)))</f>
        <v/>
      </c>
      <c r="H213" s="95" t="str">
        <f>IF(IF(D213="", "", VLOOKUP(D213,'API Data Dictionary'!C:F,4,FALSE))=0, "", IF(D213="", "", VLOOKUP(D213,'API Data Dictionary'!C:F,4,FALSE)))</f>
        <v/>
      </c>
      <c r="I213" s="95" t="str">
        <f>IF(IF(D213="", "", VLOOKUP(D213,'API Data Dictionary'!C:G,5,FALSE))=0, "", IF(D213="", "", VLOOKUP(D213,'API Data Dictionary'!C:G,5,FALSE)))</f>
        <v/>
      </c>
    </row>
    <row r="214" spans="1:9" hidden="1">
      <c r="A214" s="173"/>
      <c r="B214" s="173"/>
      <c r="C214" s="173" t="s">
        <v>1448</v>
      </c>
      <c r="D214" s="95" t="str">
        <f t="shared" si="5"/>
        <v>agentCode</v>
      </c>
      <c r="E214" s="95" t="s">
        <v>139</v>
      </c>
      <c r="F214" s="95" t="str">
        <f>IF(D214="", "", VLOOKUP(D214,'API Data Dictionary'!C:D,2,FALSE))</f>
        <v>string</v>
      </c>
      <c r="G214" s="95">
        <f>IF(IF(D214="", "", VLOOKUP(D214,'API Data Dictionary'!C:E,3,FALSE))=0, "", IF(D214="", "", VLOOKUP(D214,'API Data Dictionary'!C:E,3,FALSE)))</f>
        <v>50</v>
      </c>
      <c r="H214" s="95" t="str">
        <f>IF(IF(D214="", "", VLOOKUP(D214,'API Data Dictionary'!C:F,4,FALSE))=0, "", IF(D214="", "", VLOOKUP(D214,'API Data Dictionary'!C:F,4,FALSE)))</f>
        <v/>
      </c>
      <c r="I214" s="95" t="str">
        <f>IF(IF(D214="", "", VLOOKUP(D214,'API Data Dictionary'!C:G,5,FALSE))=0, "", IF(D214="", "", VLOOKUP(D214,'API Data Dictionary'!C:G,5,FALSE)))</f>
        <v>AgentCode is the Unique Key provided to the Agent when onboarding as a Barbon Customer.
An AgentID may be linked to many Properties being managed by that Agent and Each property may be linked to 1 or more TenancyID's.</v>
      </c>
    </row>
    <row r="215" spans="1:9" hidden="1">
      <c r="A215" s="173"/>
      <c r="B215" s="173"/>
      <c r="C215" s="173" t="s">
        <v>1449</v>
      </c>
      <c r="D215" s="95" t="str">
        <f t="shared" si="5"/>
        <v>propertyTenancyId</v>
      </c>
      <c r="E215" s="95" t="s">
        <v>139</v>
      </c>
      <c r="F215" s="95" t="str">
        <f>IF(D215="", "", VLOOKUP(D215,'API Data Dictionary'!C:D,2,FALSE))</f>
        <v>integer</v>
      </c>
      <c r="G215" s="95" t="str">
        <f>IF(IF(D215="", "", VLOOKUP(D215,'API Data Dictionary'!C:E,3,FALSE))=0, "", IF(D215="", "", VLOOKUP(D215,'API Data Dictionary'!C:E,3,FALSE)))</f>
        <v/>
      </c>
      <c r="H215" s="95" t="str">
        <f>IF(IF(D215="", "", VLOOKUP(D215,'API Data Dictionary'!C:F,4,FALSE))=0, "", IF(D215="", "", VLOOKUP(D215,'API Data Dictionary'!C:F,4,FALSE)))</f>
        <v/>
      </c>
      <c r="I215" s="95" t="str">
        <f>IF(IF(D215="", "", VLOOKUP(D215,'API Data Dictionary'!C:G,5,FALSE))=0, "", IF(D215="", "", VLOOKUP(D215,'API Data Dictionary'!C:G,5,FALSE)))</f>
        <v>The ID of the property tenancy</v>
      </c>
    </row>
    <row r="216" spans="1:9" hidden="1">
      <c r="A216" s="173"/>
      <c r="B216" s="173"/>
      <c r="C216" s="173" t="s">
        <v>1255</v>
      </c>
      <c r="D216" s="95" t="str">
        <f t="shared" si="4"/>
        <v/>
      </c>
      <c r="E216" s="95" t="str">
        <f>IF(D216="", "", VLOOKUP(D216,'API Data Dictionary'!C:L,10,FALSE))</f>
        <v/>
      </c>
      <c r="F216" s="95" t="str">
        <f>IF(D216="", "", VLOOKUP(D216,'API Data Dictionary'!C:D,2,FALSE))</f>
        <v/>
      </c>
      <c r="G216" s="95" t="str">
        <f>IF(IF(D216="", "", VLOOKUP(D216,'API Data Dictionary'!C:E,3,FALSE))=0, "", IF(D216="", "", VLOOKUP(D216,'API Data Dictionary'!C:E,3,FALSE)))</f>
        <v/>
      </c>
      <c r="H216" s="95" t="str">
        <f>IF(IF(D216="", "", VLOOKUP(D216,'API Data Dictionary'!C:F,4,FALSE))=0, "", IF(D216="", "", VLOOKUP(D216,'API Data Dictionary'!C:F,4,FALSE)))</f>
        <v/>
      </c>
      <c r="I216" s="95" t="str">
        <f>IF(IF(D216="", "", VLOOKUP(D216,'API Data Dictionary'!C:G,5,FALSE))=0, "", IF(D216="", "", VLOOKUP(D216,'API Data Dictionary'!C:G,5,FALSE)))</f>
        <v/>
      </c>
    </row>
    <row r="217" spans="1:9" hidden="1">
      <c r="A217" s="173"/>
      <c r="B217" s="173"/>
      <c r="C217" s="173" t="s">
        <v>1256</v>
      </c>
      <c r="D217" s="95" t="str">
        <f t="shared" si="4"/>
        <v/>
      </c>
      <c r="E217" s="95" t="str">
        <f>IF(D217="", "", VLOOKUP(D217,'API Data Dictionary'!C:L,10,FALSE))</f>
        <v/>
      </c>
      <c r="F217" s="95" t="str">
        <f>IF(D217="", "", VLOOKUP(D217,'API Data Dictionary'!C:D,2,FALSE))</f>
        <v/>
      </c>
      <c r="G217" s="95" t="str">
        <f>IF(IF(D217="", "", VLOOKUP(D217,'API Data Dictionary'!C:E,3,FALSE))=0, "", IF(D217="", "", VLOOKUP(D217,'API Data Dictionary'!C:E,3,FALSE)))</f>
        <v/>
      </c>
      <c r="H217" s="95" t="str">
        <f>IF(IF(D217="", "", VLOOKUP(D217,'API Data Dictionary'!C:F,4,FALSE))=0, "", IF(D217="", "", VLOOKUP(D217,'API Data Dictionary'!C:F,4,FALSE)))</f>
        <v/>
      </c>
      <c r="I217" s="95" t="str">
        <f>IF(IF(D217="", "", VLOOKUP(D217,'API Data Dictionary'!C:G,5,FALSE))=0, "", IF(D217="", "", VLOOKUP(D217,'API Data Dictionary'!C:G,5,FALSE)))</f>
        <v/>
      </c>
    </row>
    <row r="218" spans="1:9" hidden="1">
      <c r="A218" s="173"/>
      <c r="B218" s="173"/>
      <c r="C218" s="173" t="s">
        <v>1450</v>
      </c>
      <c r="D218" s="95" t="str">
        <f t="shared" si="4"/>
        <v>applicantID</v>
      </c>
      <c r="E218" s="95" t="s">
        <v>139</v>
      </c>
      <c r="F218" s="95" t="str">
        <f>IF(D218="", "", VLOOKUP(D218,'API Data Dictionary'!C:D,2,FALSE))</f>
        <v>string</v>
      </c>
      <c r="G218" s="95">
        <f>IF(IF(D218="", "", VLOOKUP(D218,'API Data Dictionary'!C:E,3,FALSE))=0, "", IF(D218="", "", VLOOKUP(D218,'API Data Dictionary'!C:E,3,FALSE)))</f>
        <v>50</v>
      </c>
      <c r="H218" s="95" t="str">
        <f>IF(IF(D218="", "", VLOOKUP(D218,'API Data Dictionary'!C:F,4,FALSE))=0, "", IF(D218="", "", VLOOKUP(D218,'API Data Dictionary'!C:F,4,FALSE)))</f>
        <v/>
      </c>
      <c r="I218" s="95" t="str">
        <f>IF(IF(D218="", "", VLOOKUP(D218,'API Data Dictionary'!C:G,5,FALSE))=0, "", IF(D218="", "", VLOOKUP(D218,'API Data Dictionary'!C:G,5,FALSE)))</f>
        <v>ApplicantID is a unique identifier for a person / Company to be referenced. ApplicantID may be linked to one or more TenancyID's executing in parallel.
ApplicantID is created through API Methods:
CreateReferenceWithAllData
CreateReferenceWithInputFromApplicant
CreateCompanyReferenceWithAllData
CreateCompanyReferenceWithInputFromApplicant
AddApplicantToTenancy</v>
      </c>
    </row>
    <row r="219" spans="1:9" hidden="1">
      <c r="A219" s="173"/>
      <c r="B219" s="173"/>
      <c r="C219" s="173" t="s">
        <v>1451</v>
      </c>
      <c r="D219" s="95" t="str">
        <f t="shared" si="4"/>
        <v>applicantName</v>
      </c>
      <c r="E219" s="95" t="s">
        <v>139</v>
      </c>
      <c r="F219" s="95" t="e">
        <f>IF(D219="", "", VLOOKUP(D219,'API Data Dictionary'!C:D,2,FALSE))</f>
        <v>#N/A</v>
      </c>
      <c r="G219" s="95" t="e">
        <f>IF(IF(D219="", "", VLOOKUP(D219,'API Data Dictionary'!C:E,3,FALSE))=0, "", IF(D219="", "", VLOOKUP(D219,'API Data Dictionary'!C:E,3,FALSE)))</f>
        <v>#N/A</v>
      </c>
      <c r="H219" s="95" t="e">
        <f>IF(IF(D219="", "", VLOOKUP(D219,'API Data Dictionary'!C:F,4,FALSE))=0, "", IF(D219="", "", VLOOKUP(D219,'API Data Dictionary'!C:F,4,FALSE)))</f>
        <v>#N/A</v>
      </c>
      <c r="I219" s="95" t="e">
        <f>IF(IF(D219="", "", VLOOKUP(D219,'API Data Dictionary'!C:G,5,FALSE))=0, "", IF(D219="", "", VLOOKUP(D219,'API Data Dictionary'!C:G,5,FALSE)))</f>
        <v>#N/A</v>
      </c>
    </row>
    <row r="220" spans="1:9" hidden="1">
      <c r="A220" s="173"/>
      <c r="B220" s="173"/>
      <c r="C220" s="173" t="s">
        <v>1260</v>
      </c>
      <c r="D220" s="95" t="str">
        <f t="shared" si="4"/>
        <v/>
      </c>
      <c r="E220" s="95" t="str">
        <f>IF(D220="", "", VLOOKUP(D220,'API Data Dictionary'!C:L,10,FALSE))</f>
        <v/>
      </c>
      <c r="F220" s="95" t="str">
        <f>IF(D220="", "", VLOOKUP(D220,'API Data Dictionary'!C:D,2,FALSE))</f>
        <v/>
      </c>
      <c r="G220" s="95" t="str">
        <f>IF(IF(D220="", "", VLOOKUP(D220,'API Data Dictionary'!C:E,3,FALSE))=0, "", IF(D220="", "", VLOOKUP(D220,'API Data Dictionary'!C:E,3,FALSE)))</f>
        <v/>
      </c>
      <c r="H220" s="95" t="str">
        <f>IF(IF(D220="", "", VLOOKUP(D220,'API Data Dictionary'!C:F,4,FALSE))=0, "", IF(D220="", "", VLOOKUP(D220,'API Data Dictionary'!C:F,4,FALSE)))</f>
        <v/>
      </c>
      <c r="I220" s="95" t="str">
        <f>IF(IF(D220="", "", VLOOKUP(D220,'API Data Dictionary'!C:G,5,FALSE))=0, "", IF(D220="", "", VLOOKUP(D220,'API Data Dictionary'!C:G,5,FALSE)))</f>
        <v/>
      </c>
    </row>
    <row r="221" spans="1:9" hidden="1">
      <c r="A221" s="173"/>
      <c r="B221" s="173"/>
      <c r="C221" s="173" t="s">
        <v>1261</v>
      </c>
      <c r="D221" s="95" t="str">
        <f t="shared" si="4"/>
        <v/>
      </c>
      <c r="E221" s="95" t="str">
        <f>IF(D221="", "", VLOOKUP(D221,'API Data Dictionary'!C:L,10,FALSE))</f>
        <v/>
      </c>
      <c r="F221" s="95" t="str">
        <f>IF(D221="", "", VLOOKUP(D221,'API Data Dictionary'!C:D,2,FALSE))</f>
        <v/>
      </c>
      <c r="G221" s="95" t="str">
        <f>IF(IF(D221="", "", VLOOKUP(D221,'API Data Dictionary'!C:E,3,FALSE))=0, "", IF(D221="", "", VLOOKUP(D221,'API Data Dictionary'!C:E,3,FALSE)))</f>
        <v/>
      </c>
      <c r="H221" s="95" t="str">
        <f>IF(IF(D221="", "", VLOOKUP(D221,'API Data Dictionary'!C:F,4,FALSE))=0, "", IF(D221="", "", VLOOKUP(D221,'API Data Dictionary'!C:F,4,FALSE)))</f>
        <v/>
      </c>
      <c r="I221" s="95" t="str">
        <f>IF(IF(D221="", "", VLOOKUP(D221,'API Data Dictionary'!C:G,5,FALSE))=0, "", IF(D221="", "", VLOOKUP(D221,'API Data Dictionary'!C:G,5,FALSE)))</f>
        <v/>
      </c>
    </row>
    <row r="222" spans="1:9" hidden="1">
      <c r="A222" s="173"/>
      <c r="B222" s="173"/>
      <c r="C222" s="173" t="s">
        <v>1221</v>
      </c>
      <c r="D222" s="95" t="str">
        <f t="shared" si="4"/>
        <v/>
      </c>
      <c r="E222" s="95" t="str">
        <f>IF(D222="", "", VLOOKUP(D222,'API Data Dictionary'!C:L,10,FALSE))</f>
        <v/>
      </c>
      <c r="F222" s="95" t="str">
        <f>IF(D222="", "", VLOOKUP(D222,'API Data Dictionary'!C:D,2,FALSE))</f>
        <v/>
      </c>
      <c r="G222" s="95" t="str">
        <f>IF(IF(D222="", "", VLOOKUP(D222,'API Data Dictionary'!C:E,3,FALSE))=0, "", IF(D222="", "", VLOOKUP(D222,'API Data Dictionary'!C:E,3,FALSE)))</f>
        <v/>
      </c>
      <c r="H222" s="95" t="str">
        <f>IF(IF(D222="", "", VLOOKUP(D222,'API Data Dictionary'!C:F,4,FALSE))=0, "", IF(D222="", "", VLOOKUP(D222,'API Data Dictionary'!C:F,4,FALSE)))</f>
        <v/>
      </c>
      <c r="I222" s="95" t="str">
        <f>IF(IF(D222="", "", VLOOKUP(D222,'API Data Dictionary'!C:G,5,FALSE))=0, "", IF(D222="", "", VLOOKUP(D222,'API Data Dictionary'!C:G,5,FALSE)))</f>
        <v/>
      </c>
    </row>
    <row r="223" spans="1:9" hidden="1">
      <c r="A223" s="173"/>
      <c r="B223" s="173"/>
      <c r="C223" s="173" t="s">
        <v>1452</v>
      </c>
      <c r="D223" s="95" t="str">
        <f t="shared" si="4"/>
        <v>message</v>
      </c>
      <c r="E223" s="95" t="s">
        <v>139</v>
      </c>
      <c r="F223" s="95" t="str">
        <f>IF(D223="", "", VLOOKUP(D223,'API Data Dictionary'!C:D,2,FALSE))</f>
        <v>string</v>
      </c>
      <c r="G223" s="95">
        <f>IF(IF(D223="", "", VLOOKUP(D223,'API Data Dictionary'!C:E,3,FALSE))=0, "", IF(D223="", "", VLOOKUP(D223,'API Data Dictionary'!C:E,3,FALSE)))</f>
        <v>100</v>
      </c>
      <c r="H223" s="95" t="str">
        <f>IF(IF(D223="", "", VLOOKUP(D223,'API Data Dictionary'!C:F,4,FALSE))=0, "", IF(D223="", "", VLOOKUP(D223,'API Data Dictionary'!C:F,4,FALSE)))</f>
        <v/>
      </c>
      <c r="I223" s="95" t="str">
        <f>IF(IF(D223="", "", VLOOKUP(D223,'API Data Dictionary'!C:G,5,FALSE))=0, "", IF(D223="", "", VLOOKUP(D223,'API Data Dictionary'!C:G,5,FALSE)))</f>
        <v>return value, null unless there has been error in connection</v>
      </c>
    </row>
    <row r="224" spans="1:9" hidden="1">
      <c r="A224" s="173"/>
      <c r="B224" s="173"/>
      <c r="C224" s="173" t="s">
        <v>1249</v>
      </c>
      <c r="D224" s="95" t="str">
        <f t="shared" si="4"/>
        <v/>
      </c>
      <c r="E224" s="95" t="str">
        <f>IF(D224="", "", VLOOKUP(D224,'API Data Dictionary'!C:L,10,FALSE))</f>
        <v/>
      </c>
      <c r="F224" s="95" t="str">
        <f>IF(D224="", "", VLOOKUP(D224,'API Data Dictionary'!C:D,2,FALSE))</f>
        <v/>
      </c>
      <c r="G224" s="95" t="str">
        <f>IF(IF(D224="", "", VLOOKUP(D224,'API Data Dictionary'!C:E,3,FALSE))=0, "", IF(D224="", "", VLOOKUP(D224,'API Data Dictionary'!C:E,3,FALSE)))</f>
        <v/>
      </c>
      <c r="H224" s="95" t="str">
        <f>IF(IF(D224="", "", VLOOKUP(D224,'API Data Dictionary'!C:F,4,FALSE))=0, "", IF(D224="", "", VLOOKUP(D224,'API Data Dictionary'!C:F,4,FALSE)))</f>
        <v/>
      </c>
      <c r="I224" s="95" t="str">
        <f>IF(IF(D224="", "", VLOOKUP(D224,'API Data Dictionary'!C:G,5,FALSE))=0, "", IF(D224="", "", VLOOKUP(D224,'API Data Dictionary'!C:G,5,FALSE)))</f>
        <v/>
      </c>
    </row>
    <row r="225" spans="1:9" hidden="1">
      <c r="A225" s="97"/>
      <c r="B225" s="97"/>
      <c r="C225" s="97"/>
      <c r="D225" s="95" t="str">
        <f t="shared" si="4"/>
        <v/>
      </c>
      <c r="E225" s="95" t="str">
        <f>IF(D225="", "", VLOOKUP(D225,'API Data Dictionary'!C:L,10,FALSE))</f>
        <v/>
      </c>
      <c r="F225" s="95" t="str">
        <f>IF(D225="", "", VLOOKUP(D225,'API Data Dictionary'!C:D,2,FALSE))</f>
        <v/>
      </c>
      <c r="G225" s="95" t="str">
        <f>IF(IF(D225="", "", VLOOKUP(D225,'API Data Dictionary'!C:E,3,FALSE))=0, "", IF(D225="", "", VLOOKUP(D225,'API Data Dictionary'!C:E,3,FALSE)))</f>
        <v/>
      </c>
      <c r="H225" s="95" t="str">
        <f>IF(IF(D225="", "", VLOOKUP(D225,'API Data Dictionary'!C:F,4,FALSE))=0, "", IF(D225="", "", VLOOKUP(D225,'API Data Dictionary'!C:F,4,FALSE)))</f>
        <v/>
      </c>
      <c r="I225" s="95" t="str">
        <f>IF(IF(D225="", "", VLOOKUP(D225,'API Data Dictionary'!C:G,5,FALSE))=0, "", IF(D225="", "", VLOOKUP(D225,'API Data Dictionary'!C:G,5,FALSE)))</f>
        <v/>
      </c>
    </row>
    <row r="226" spans="1:9" hidden="1">
      <c r="A226" s="97"/>
      <c r="B226" s="97"/>
      <c r="C226" s="97"/>
      <c r="D226" s="95" t="str">
        <f t="shared" si="4"/>
        <v/>
      </c>
      <c r="E226" s="95" t="str">
        <f>IF(D226="", "", VLOOKUP(D226,'API Data Dictionary'!C:L,10,FALSE))</f>
        <v/>
      </c>
      <c r="F226" s="95" t="str">
        <f>IF(D226="", "", VLOOKUP(D226,'API Data Dictionary'!C:D,2,FALSE))</f>
        <v/>
      </c>
      <c r="G226" s="95" t="str">
        <f>IF(IF(D226="", "", VLOOKUP(D226,'API Data Dictionary'!C:E,3,FALSE))=0, "", IF(D226="", "", VLOOKUP(D226,'API Data Dictionary'!C:E,3,FALSE)))</f>
        <v/>
      </c>
      <c r="H226" s="95" t="str">
        <f>IF(IF(D226="", "", VLOOKUP(D226,'API Data Dictionary'!C:F,4,FALSE))=0, "", IF(D226="", "", VLOOKUP(D226,'API Data Dictionary'!C:F,4,FALSE)))</f>
        <v/>
      </c>
      <c r="I226" s="95" t="str">
        <f>IF(IF(D226="", "", VLOOKUP(D226,'API Data Dictionary'!C:G,5,FALSE))=0, "", IF(D226="", "", VLOOKUP(D226,'API Data Dictionary'!C:G,5,FALSE)))</f>
        <v/>
      </c>
    </row>
    <row r="227" spans="1:9" hidden="1">
      <c r="A227" s="97"/>
      <c r="B227" s="97"/>
      <c r="C227" s="97"/>
      <c r="D227" s="95" t="str">
        <f t="shared" si="4"/>
        <v/>
      </c>
      <c r="E227" s="95" t="str">
        <f>IF(D227="", "", VLOOKUP(D227,'API Data Dictionary'!C:L,10,FALSE))</f>
        <v/>
      </c>
      <c r="F227" s="95" t="str">
        <f>IF(D227="", "", VLOOKUP(D227,'API Data Dictionary'!C:D,2,FALSE))</f>
        <v/>
      </c>
      <c r="G227" s="95" t="str">
        <f>IF(IF(D227="", "", VLOOKUP(D227,'API Data Dictionary'!C:E,3,FALSE))=0, "", IF(D227="", "", VLOOKUP(D227,'API Data Dictionary'!C:E,3,FALSE)))</f>
        <v/>
      </c>
      <c r="H227" s="95" t="str">
        <f>IF(IF(D227="", "", VLOOKUP(D227,'API Data Dictionary'!C:F,4,FALSE))=0, "", IF(D227="", "", VLOOKUP(D227,'API Data Dictionary'!C:F,4,FALSE)))</f>
        <v/>
      </c>
      <c r="I227" s="95" t="str">
        <f>IF(IF(D227="", "", VLOOKUP(D227,'API Data Dictionary'!C:G,5,FALSE))=0, "", IF(D227="", "", VLOOKUP(D227,'API Data Dictionary'!C:G,5,FALSE)))</f>
        <v/>
      </c>
    </row>
    <row r="228" spans="1:9" hidden="1">
      <c r="A228" s="97"/>
      <c r="B228" s="97"/>
      <c r="C228" s="97"/>
      <c r="D228" s="95" t="str">
        <f t="shared" si="4"/>
        <v/>
      </c>
      <c r="E228" s="95" t="str">
        <f>IF(D228="", "", VLOOKUP(D228,'API Data Dictionary'!C:L,10,FALSE))</f>
        <v/>
      </c>
      <c r="F228" s="95" t="str">
        <f>IF(D228="", "", VLOOKUP(D228,'API Data Dictionary'!C:D,2,FALSE))</f>
        <v/>
      </c>
      <c r="G228" s="95" t="str">
        <f>IF(IF(D228="", "", VLOOKUP(D228,'API Data Dictionary'!C:E,3,FALSE))=0, "", IF(D228="", "", VLOOKUP(D228,'API Data Dictionary'!C:E,3,FALSE)))</f>
        <v/>
      </c>
      <c r="H228" s="95" t="str">
        <f>IF(IF(D228="", "", VLOOKUP(D228,'API Data Dictionary'!C:F,4,FALSE))=0, "", IF(D228="", "", VLOOKUP(D228,'API Data Dictionary'!C:F,4,FALSE)))</f>
        <v/>
      </c>
      <c r="I228" s="95" t="str">
        <f>IF(IF(D228="", "", VLOOKUP(D228,'API Data Dictionary'!C:G,5,FALSE))=0, "", IF(D228="", "", VLOOKUP(D228,'API Data Dictionary'!C:G,5,FALSE)))</f>
        <v/>
      </c>
    </row>
    <row r="229" spans="1:9" hidden="1">
      <c r="A229" s="97"/>
      <c r="B229" s="97"/>
      <c r="C229" s="97"/>
      <c r="D229" s="95" t="str">
        <f t="shared" si="4"/>
        <v/>
      </c>
      <c r="E229" s="95" t="str">
        <f>IF(D229="", "", VLOOKUP(D229,'API Data Dictionary'!C:L,10,FALSE))</f>
        <v/>
      </c>
      <c r="F229" s="95" t="str">
        <f>IF(D229="", "", VLOOKUP(D229,'API Data Dictionary'!C:D,2,FALSE))</f>
        <v/>
      </c>
      <c r="G229" s="95" t="str">
        <f>IF(IF(D229="", "", VLOOKUP(D229,'API Data Dictionary'!C:E,3,FALSE))=0, "", IF(D229="", "", VLOOKUP(D229,'API Data Dictionary'!C:E,3,FALSE)))</f>
        <v/>
      </c>
      <c r="H229" s="95" t="str">
        <f>IF(IF(D229="", "", VLOOKUP(D229,'API Data Dictionary'!C:F,4,FALSE))=0, "", IF(D229="", "", VLOOKUP(D229,'API Data Dictionary'!C:F,4,FALSE)))</f>
        <v/>
      </c>
      <c r="I229" s="95" t="str">
        <f>IF(IF(D229="", "", VLOOKUP(D229,'API Data Dictionary'!C:G,5,FALSE))=0, "", IF(D229="", "", VLOOKUP(D229,'API Data Dictionary'!C:G,5,FALSE)))</f>
        <v/>
      </c>
    </row>
    <row r="230" spans="1:9" hidden="1">
      <c r="A230" s="97"/>
      <c r="B230" s="97"/>
      <c r="C230" s="97"/>
      <c r="D230" s="95" t="str">
        <f t="shared" si="4"/>
        <v/>
      </c>
      <c r="E230" s="95" t="str">
        <f>IF(D230="", "", VLOOKUP(D230,'API Data Dictionary'!C:L,10,FALSE))</f>
        <v/>
      </c>
      <c r="F230" s="95" t="str">
        <f>IF(D230="", "", VLOOKUP(D230,'API Data Dictionary'!C:D,2,FALSE))</f>
        <v/>
      </c>
      <c r="G230" s="95" t="str">
        <f>IF(IF(D230="", "", VLOOKUP(D230,'API Data Dictionary'!C:E,3,FALSE))=0, "", IF(D230="", "", VLOOKUP(D230,'API Data Dictionary'!C:E,3,FALSE)))</f>
        <v/>
      </c>
      <c r="H230" s="95" t="str">
        <f>IF(IF(D230="", "", VLOOKUP(D230,'API Data Dictionary'!C:F,4,FALSE))=0, "", IF(D230="", "", VLOOKUP(D230,'API Data Dictionary'!C:F,4,FALSE)))</f>
        <v/>
      </c>
      <c r="I230" s="95" t="str">
        <f>IF(IF(D230="", "", VLOOKUP(D230,'API Data Dictionary'!C:G,5,FALSE))=0, "", IF(D230="", "", VLOOKUP(D230,'API Data Dictionary'!C:G,5,FALSE)))</f>
        <v/>
      </c>
    </row>
    <row r="231" spans="1:9" hidden="1">
      <c r="A231" s="97"/>
      <c r="B231" s="97"/>
      <c r="C231" s="97"/>
      <c r="D231" s="95" t="str">
        <f t="shared" si="4"/>
        <v/>
      </c>
      <c r="E231" s="95" t="str">
        <f>IF(D231="", "", VLOOKUP(D231,'API Data Dictionary'!C:L,10,FALSE))</f>
        <v/>
      </c>
      <c r="F231" s="95" t="str">
        <f>IF(D231="", "", VLOOKUP(D231,'API Data Dictionary'!C:D,2,FALSE))</f>
        <v/>
      </c>
      <c r="G231" s="95" t="str">
        <f>IF(IF(D231="", "", VLOOKUP(D231,'API Data Dictionary'!C:E,3,FALSE))=0, "", IF(D231="", "", VLOOKUP(D231,'API Data Dictionary'!C:E,3,FALSE)))</f>
        <v/>
      </c>
      <c r="H231" s="95" t="str">
        <f>IF(IF(D231="", "", VLOOKUP(D231,'API Data Dictionary'!C:F,4,FALSE))=0, "", IF(D231="", "", VLOOKUP(D231,'API Data Dictionary'!C:F,4,FALSE)))</f>
        <v/>
      </c>
      <c r="I231" s="95" t="str">
        <f>IF(IF(D231="", "", VLOOKUP(D231,'API Data Dictionary'!C:G,5,FALSE))=0, "", IF(D231="", "", VLOOKUP(D231,'API Data Dictionary'!C:G,5,FALSE)))</f>
        <v/>
      </c>
    </row>
    <row r="232" spans="1:9" hidden="1">
      <c r="A232" s="97"/>
      <c r="B232" s="97"/>
      <c r="C232" s="97"/>
      <c r="D232" s="95" t="str">
        <f t="shared" si="4"/>
        <v/>
      </c>
      <c r="E232" s="95" t="str">
        <f>IF(D232="", "", VLOOKUP(D232,'API Data Dictionary'!C:L,10,FALSE))</f>
        <v/>
      </c>
      <c r="F232" s="95" t="str">
        <f>IF(D232="", "", VLOOKUP(D232,'API Data Dictionary'!C:D,2,FALSE))</f>
        <v/>
      </c>
      <c r="G232" s="95" t="str">
        <f>IF(IF(D232="", "", VLOOKUP(D232,'API Data Dictionary'!C:E,3,FALSE))=0, "", IF(D232="", "", VLOOKUP(D232,'API Data Dictionary'!C:E,3,FALSE)))</f>
        <v/>
      </c>
      <c r="H232" s="95" t="str">
        <f>IF(IF(D232="", "", VLOOKUP(D232,'API Data Dictionary'!C:F,4,FALSE))=0, "", IF(D232="", "", VLOOKUP(D232,'API Data Dictionary'!C:F,4,FALSE)))</f>
        <v/>
      </c>
      <c r="I232" s="95" t="str">
        <f>IF(IF(D232="", "", VLOOKUP(D232,'API Data Dictionary'!C:G,5,FALSE))=0, "", IF(D232="", "", VLOOKUP(D232,'API Data Dictionary'!C:G,5,FALSE)))</f>
        <v/>
      </c>
    </row>
    <row r="233" spans="1:9" hidden="1"/>
  </sheetData>
  <mergeCells count="1">
    <mergeCell ref="C209:I209"/>
  </mergeCells>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97967-C3A3-4C13-9A7C-558BD709D39D}">
  <sheetPr>
    <tabColor rgb="FF4472C4"/>
  </sheetPr>
  <dimension ref="A1:H15"/>
  <sheetViews>
    <sheetView workbookViewId="0">
      <selection activeCell="A4" sqref="A4:A6"/>
    </sheetView>
  </sheetViews>
  <sheetFormatPr defaultRowHeight="14.45"/>
  <cols>
    <col min="1" max="1" width="56.5703125" customWidth="1"/>
    <col min="2" max="2" width="56.5703125" bestFit="1" customWidth="1"/>
    <col min="3" max="3" width="22.140625" bestFit="1" customWidth="1"/>
    <col min="4" max="4" width="16" bestFit="1" customWidth="1"/>
    <col min="6" max="6" width="10.5703125" customWidth="1"/>
    <col min="7" max="7" width="14.42578125" customWidth="1"/>
    <col min="8" max="8" width="40" bestFit="1" customWidth="1"/>
  </cols>
  <sheetData>
    <row r="1" spans="1:8" ht="43.5">
      <c r="A1" s="96"/>
      <c r="B1" s="96" t="s">
        <v>1453</v>
      </c>
      <c r="C1" s="96" t="s">
        <v>1178</v>
      </c>
      <c r="D1" s="96" t="s">
        <v>1179</v>
      </c>
      <c r="E1" s="96" t="s">
        <v>1180</v>
      </c>
      <c r="F1" s="96" t="s">
        <v>80</v>
      </c>
      <c r="G1" s="96" t="s">
        <v>81</v>
      </c>
      <c r="H1" s="96" t="s">
        <v>1181</v>
      </c>
    </row>
    <row r="2" spans="1:8">
      <c r="A2" s="172"/>
      <c r="B2" s="225" t="s">
        <v>1182</v>
      </c>
      <c r="C2" s="225"/>
      <c r="D2" s="225"/>
      <c r="E2" s="225"/>
      <c r="F2" s="225"/>
      <c r="G2" s="225"/>
      <c r="H2" s="225"/>
    </row>
    <row r="3" spans="1:8">
      <c r="A3" s="97"/>
      <c r="B3" s="97" t="s">
        <v>1183</v>
      </c>
      <c r="C3" s="95" t="str">
        <f t="shared" ref="C3:C7" si="0">IF(OR(ISNUMBER(SEARCH("{", B3)),ISNUMBER(SEARCH("[", B3))), "", IFERROR(MID(B3, SEARCH("""", B3) +1, SEARCH("""", B3, SEARCH("""",B3) +1) - SEARCH("""", B3) -1), ""))</f>
        <v/>
      </c>
      <c r="D3" s="95" t="str">
        <f>IF(C3="", "", VLOOKUP(C3,'API Data Dictionary'!C:X,22,FALSE))</f>
        <v/>
      </c>
      <c r="E3" s="95" t="str">
        <f>IF(C3="", "", VLOOKUP(C3,'API Data Dictionary'!C:D,2,FALSE))</f>
        <v/>
      </c>
      <c r="F3" s="95" t="str">
        <f>IF(IF(C3="", "", VLOOKUP(C3,'API Data Dictionary'!C:E,3,FALSE))=0, "", IF(C3="", "", VLOOKUP(C3,'API Data Dictionary'!C:E,3,FALSE)))</f>
        <v/>
      </c>
      <c r="G3" s="95" t="str">
        <f>IF(IF(C3="", "", VLOOKUP(C3,'API Data Dictionary'!C:F,4,FALSE))=0, "", IF(C3="", "", VLOOKUP(C3,'API Data Dictionary'!C:F,4,FALSE)))</f>
        <v/>
      </c>
      <c r="H3" s="95" t="str">
        <f>IF(IF(C3="", "", VLOOKUP(C3,'API Data Dictionary'!C:G,5,FALSE))=0, "", IF(C3="", "", VLOOKUP(C3,'API Data Dictionary'!C:G,5,FALSE)))</f>
        <v/>
      </c>
    </row>
    <row r="4" spans="1:8">
      <c r="A4" s="187" t="s">
        <v>1184</v>
      </c>
      <c r="B4" s="97" t="s">
        <v>1185</v>
      </c>
      <c r="C4" s="95" t="str">
        <f t="shared" si="0"/>
        <v>agentCode</v>
      </c>
      <c r="D4" s="95">
        <f>IF(C4="", "", VLOOKUP(C4,'API Data Dictionary'!C:X,22,FALSE))</f>
        <v>0</v>
      </c>
      <c r="E4" s="95" t="str">
        <f>IF(C4="", "", VLOOKUP(C4,'API Data Dictionary'!C:D,2,FALSE))</f>
        <v>string</v>
      </c>
      <c r="F4" s="95">
        <f>IF(IF(C4="", "", VLOOKUP(C4,'API Data Dictionary'!C:E,3,FALSE))=0, "", IF(C4="", "", VLOOKUP(C4,'API Data Dictionary'!C:E,3,FALSE)))</f>
        <v>50</v>
      </c>
      <c r="G4" s="95" t="str">
        <f>IF(IF(C4="", "", VLOOKUP(C4,'API Data Dictionary'!C:F,4,FALSE))=0, "", IF(C4="", "", VLOOKUP(C4,'API Data Dictionary'!C:F,4,FALSE)))</f>
        <v/>
      </c>
      <c r="H4" s="95" t="str">
        <f>IF(IF(C4="", "", VLOOKUP(C4,'API Data Dictionary'!C:G,5,FALSE))=0, "", IF(C4="", "", VLOOKUP(C4,'API Data Dictionary'!C:G,5,FALSE)))</f>
        <v>AgentCode is the Unique Key provided to the Agent when onboarding as a Barbon Customer.
An AgentID may be linked to many Properties being managed by that Agent and Each property may be linked to 1 or more TenancyID's.</v>
      </c>
    </row>
    <row r="5" spans="1:8">
      <c r="A5" s="187" t="s">
        <v>1275</v>
      </c>
      <c r="B5" s="97" t="s">
        <v>1454</v>
      </c>
      <c r="C5" s="95" t="str">
        <f t="shared" si="0"/>
        <v>propertyTenancyId</v>
      </c>
      <c r="D5" s="95">
        <f>IF(C5="", "", VLOOKUP(C5,'API Data Dictionary'!C:X,22,FALSE))</f>
        <v>0</v>
      </c>
      <c r="E5" s="95" t="str">
        <f>IF(C5="", "", VLOOKUP(C5,'API Data Dictionary'!C:D,2,FALSE))</f>
        <v>integer</v>
      </c>
      <c r="F5" s="95" t="str">
        <f>IF(IF(C5="", "", VLOOKUP(C5,'API Data Dictionary'!C:E,3,FALSE))=0, "", IF(C5="", "", VLOOKUP(C5,'API Data Dictionary'!C:E,3,FALSE)))</f>
        <v/>
      </c>
      <c r="G5" s="95" t="str">
        <f>IF(IF(C5="", "", VLOOKUP(C5,'API Data Dictionary'!C:F,4,FALSE))=0, "", IF(C5="", "", VLOOKUP(C5,'API Data Dictionary'!C:F,4,FALSE)))</f>
        <v/>
      </c>
      <c r="H5" s="95" t="str">
        <f>IF(IF(C5="", "", VLOOKUP(C5,'API Data Dictionary'!C:G,5,FALSE))=0, "", IF(C5="", "", VLOOKUP(C5,'API Data Dictionary'!C:G,5,FALSE)))</f>
        <v>The ID of the property tenancy</v>
      </c>
    </row>
    <row r="6" spans="1:8">
      <c r="A6" s="188" t="s">
        <v>1455</v>
      </c>
      <c r="B6" s="97" t="s">
        <v>1456</v>
      </c>
      <c r="C6" s="95" t="str">
        <f t="shared" si="0"/>
        <v>applicantID</v>
      </c>
      <c r="D6" s="95" t="str">
        <f>IF(C6="", "", VLOOKUP(C6,'API Data Dictionary'!C:X,22,FALSE))</f>
        <v>M</v>
      </c>
      <c r="E6" s="95" t="str">
        <f>IF(C6="", "", VLOOKUP(C6,'API Data Dictionary'!C:D,2,FALSE))</f>
        <v>string</v>
      </c>
      <c r="F6" s="95">
        <f>IF(IF(C6="", "", VLOOKUP(C6,'API Data Dictionary'!C:E,3,FALSE))=0, "", IF(C6="", "", VLOOKUP(C6,'API Data Dictionary'!C:E,3,FALSE)))</f>
        <v>50</v>
      </c>
      <c r="G6" s="95" t="str">
        <f>IF(IF(C6="", "", VLOOKUP(C6,'API Data Dictionary'!C:F,4,FALSE))=0, "", IF(C6="", "", VLOOKUP(C6,'API Data Dictionary'!C:F,4,FALSE)))</f>
        <v/>
      </c>
      <c r="H6" s="95" t="str">
        <f>IF(IF(C6="", "", VLOOKUP(C6,'API Data Dictionary'!C:G,5,FALSE))=0, "", IF(C6="", "", VLOOKUP(C6,'API Data Dictionary'!C:G,5,FALSE)))</f>
        <v>ApplicantID is a unique identifier for a person / Company to be referenced. ApplicantID may be linked to one or more TenancyID's executing in parallel.
ApplicantID is created through API Methods:
CreateReferenceWithAllData
CreateReferenceWithInputFromApplicant
CreateCompanyReferenceWithAllData
CreateCompanyReferenceWithInputFromApplicant
AddApplicantToTenancy</v>
      </c>
    </row>
    <row r="7" spans="1:8">
      <c r="A7" s="97"/>
      <c r="B7" s="97" t="s">
        <v>1249</v>
      </c>
      <c r="C7" s="95" t="str">
        <f t="shared" si="0"/>
        <v/>
      </c>
      <c r="D7" s="95" t="str">
        <f>IF(C7="", "", VLOOKUP(C7,'API Data Dictionary'!C:X,22,FALSE))</f>
        <v/>
      </c>
      <c r="E7" s="95" t="str">
        <f>IF(C7="", "", VLOOKUP(C7,'API Data Dictionary'!C:D,2,FALSE))</f>
        <v/>
      </c>
      <c r="F7" s="95" t="str">
        <f>IF(IF(C7="", "", VLOOKUP(C7,'API Data Dictionary'!C:E,3,FALSE))=0, "", IF(C7="", "", VLOOKUP(C7,'API Data Dictionary'!C:E,3,FALSE)))</f>
        <v/>
      </c>
      <c r="G7" s="95" t="str">
        <f>IF(IF(C7="", "", VLOOKUP(C7,'API Data Dictionary'!C:F,4,FALSE))=0, "", IF(C7="", "", VLOOKUP(C7,'API Data Dictionary'!C:F,4,FALSE)))</f>
        <v/>
      </c>
      <c r="H7" s="95" t="str">
        <f>IF(IF(C7="", "", VLOOKUP(C7,'API Data Dictionary'!C:G,5,FALSE))=0, "", IF(C7="", "", VLOOKUP(C7,'API Data Dictionary'!C:G,5,FALSE)))</f>
        <v/>
      </c>
    </row>
    <row r="8" spans="1:8" hidden="1">
      <c r="A8" s="172"/>
      <c r="B8" s="225" t="s">
        <v>1250</v>
      </c>
      <c r="C8" s="225"/>
      <c r="D8" s="225"/>
      <c r="E8" s="225"/>
      <c r="F8" s="225"/>
      <c r="G8" s="225"/>
      <c r="H8" s="225"/>
    </row>
    <row r="9" spans="1:8" hidden="1">
      <c r="A9" s="97"/>
      <c r="B9" s="97"/>
      <c r="C9" s="95" t="str">
        <f t="shared" ref="C9:C14" si="1">IF(OR(ISNUMBER(SEARCH("{", B9)),ISNUMBER(SEARCH("[", B9))), "", IFERROR(MID(B9, SEARCH("""", B9) +1, SEARCH("""", B9, SEARCH("""",B9) +1) - SEARCH("""", B9) -1), ""))</f>
        <v/>
      </c>
      <c r="D9" s="95" t="str">
        <f>IF(C9="", "", VLOOKUP(C9,'API Data Dictionary'!C:X,22,FALSE))</f>
        <v/>
      </c>
      <c r="E9" s="95" t="str">
        <f>IF(C9="", "", VLOOKUP(C9,'API Data Dictionary'!C:D,2,FALSE))</f>
        <v/>
      </c>
      <c r="F9" s="95" t="str">
        <f>IF(IF(C9="", "", VLOOKUP(C9,'API Data Dictionary'!C:E,3,FALSE))=0, "", IF(C9="", "", VLOOKUP(C9,'API Data Dictionary'!C:E,3,FALSE)))</f>
        <v/>
      </c>
      <c r="G9" s="95" t="str">
        <f>IF(IF(C9="", "", VLOOKUP(C9,'API Data Dictionary'!C:F,4,FALSE))=0, "", IF(C9="", "", VLOOKUP(C9,'API Data Dictionary'!C:F,4,FALSE)))</f>
        <v/>
      </c>
      <c r="H9" s="95" t="str">
        <f>IF(IF(C9="", "", VLOOKUP(C9,'API Data Dictionary'!C:G,5,FALSE))=0, "", IF(C9="", "", VLOOKUP(C9,'API Data Dictionary'!C:G,5,FALSE)))</f>
        <v/>
      </c>
    </row>
    <row r="10" spans="1:8" hidden="1">
      <c r="A10" s="97"/>
      <c r="B10" s="97" t="s">
        <v>1183</v>
      </c>
      <c r="C10" s="95" t="str">
        <f t="shared" si="1"/>
        <v/>
      </c>
      <c r="D10" s="95"/>
      <c r="E10" s="95" t="str">
        <f>IF(C10="", "", VLOOKUP(C10,'API Data Dictionary'!C:D,2,FALSE))</f>
        <v/>
      </c>
      <c r="F10" s="95" t="str">
        <f>IF(IF(C10="", "", VLOOKUP(C10,'API Data Dictionary'!C:E,3,FALSE))=0, "", IF(C10="", "", VLOOKUP(C10,'API Data Dictionary'!C:E,3,FALSE)))</f>
        <v/>
      </c>
      <c r="G10" s="95" t="str">
        <f>IF(IF(C10="", "", VLOOKUP(C10,'API Data Dictionary'!C:F,4,FALSE))=0, "", IF(C10="", "", VLOOKUP(C10,'API Data Dictionary'!C:F,4,FALSE)))</f>
        <v/>
      </c>
      <c r="H10" s="95" t="str">
        <f>IF(IF(C10="", "", VLOOKUP(C10,'API Data Dictionary'!C:G,5,FALSE))=0, "", IF(C10="", "", VLOOKUP(C10,'API Data Dictionary'!C:G,5,FALSE)))</f>
        <v/>
      </c>
    </row>
    <row r="11" spans="1:8" hidden="1">
      <c r="A11" s="97"/>
      <c r="B11" s="97" t="s">
        <v>1251</v>
      </c>
      <c r="C11" s="95" t="str">
        <f t="shared" si="1"/>
        <v>success</v>
      </c>
      <c r="D11" s="95" t="s">
        <v>139</v>
      </c>
      <c r="E11" s="95" t="str">
        <f>IF(C11="", "", VLOOKUP(C11,'API Data Dictionary'!C:D,2,FALSE))</f>
        <v>string - Boolean</v>
      </c>
      <c r="F11" s="95">
        <f>IF(IF(C11="", "", VLOOKUP(C11,'API Data Dictionary'!C:E,3,FALSE))=0, "", IF(C11="", "", VLOOKUP(C11,'API Data Dictionary'!C:E,3,FALSE)))</f>
        <v>100</v>
      </c>
      <c r="G11" s="95" t="str">
        <f>IF(IF(C11="", "", VLOOKUP(C11,'API Data Dictionary'!C:F,4,FALSE))=0, "", IF(C11="", "", VLOOKUP(C11,'API Data Dictionary'!C:F,4,FALSE)))</f>
        <v/>
      </c>
      <c r="H11" s="95" t="str">
        <f>IF(IF(C11="", "", VLOOKUP(C11,'API Data Dictionary'!C:G,5,FALSE))=0, "", IF(C11="", "", VLOOKUP(C11,'API Data Dictionary'!C:G,5,FALSE)))</f>
        <v>Returns true when successful connection</v>
      </c>
    </row>
    <row r="12" spans="1:8" hidden="1">
      <c r="A12" s="97"/>
      <c r="B12" s="97" t="s">
        <v>1457</v>
      </c>
      <c r="C12" s="95" t="str">
        <f t="shared" si="1"/>
        <v>payload</v>
      </c>
      <c r="D12" s="95" t="s">
        <v>139</v>
      </c>
      <c r="E12" s="95" t="str">
        <f>IF(C12="", "", VLOOKUP(C12,'API Data Dictionary'!C:D,2,FALSE))</f>
        <v>string</v>
      </c>
      <c r="F12" s="95">
        <f>IF(IF(C12="", "", VLOOKUP(C12,'API Data Dictionary'!C:E,3,FALSE))=0, "", IF(C12="", "", VLOOKUP(C12,'API Data Dictionary'!C:E,3,FALSE)))</f>
        <v>100</v>
      </c>
      <c r="G12" s="95" t="str">
        <f>IF(IF(C12="", "", VLOOKUP(C12,'API Data Dictionary'!C:F,4,FALSE))=0, "", IF(C12="", "", VLOOKUP(C12,'API Data Dictionary'!C:F,4,FALSE)))</f>
        <v/>
      </c>
      <c r="H12" s="95" t="str">
        <f>IF(IF(C12="", "", VLOOKUP(C12,'API Data Dictionary'!C:G,5,FALSE))=0, "", IF(C12="", "", VLOOKUP(C12,'API Data Dictionary'!C:G,5,FALSE)))</f>
        <v>Returns healthy when connection has worked properly</v>
      </c>
    </row>
    <row r="13" spans="1:8" hidden="1">
      <c r="A13" s="97"/>
      <c r="B13" s="97" t="s">
        <v>1458</v>
      </c>
      <c r="C13" s="95" t="str">
        <f t="shared" si="1"/>
        <v>message</v>
      </c>
      <c r="D13" s="95" t="s">
        <v>139</v>
      </c>
      <c r="E13" s="95" t="str">
        <f>IF(C13="", "", VLOOKUP(C13,'API Data Dictionary'!C:D,2,FALSE))</f>
        <v>string</v>
      </c>
      <c r="F13" s="95">
        <f>IF(IF(C13="", "", VLOOKUP(C13,'API Data Dictionary'!C:E,3,FALSE))=0, "", IF(C13="", "", VLOOKUP(C13,'API Data Dictionary'!C:E,3,FALSE)))</f>
        <v>100</v>
      </c>
      <c r="G13" s="95" t="str">
        <f>IF(IF(C13="", "", VLOOKUP(C13,'API Data Dictionary'!C:F,4,FALSE))=0, "", IF(C13="", "", VLOOKUP(C13,'API Data Dictionary'!C:F,4,FALSE)))</f>
        <v/>
      </c>
      <c r="H13" s="95" t="str">
        <f>IF(IF(C13="", "", VLOOKUP(C13,'API Data Dictionary'!C:G,5,FALSE))=0, "", IF(C13="", "", VLOOKUP(C13,'API Data Dictionary'!C:G,5,FALSE)))</f>
        <v>return value, null unless there has been error in connection</v>
      </c>
    </row>
    <row r="14" spans="1:8" hidden="1">
      <c r="A14" s="97"/>
      <c r="B14" s="97" t="s">
        <v>1249</v>
      </c>
      <c r="C14" s="95" t="str">
        <f t="shared" si="1"/>
        <v/>
      </c>
      <c r="D14" s="95" t="str">
        <f>IF(C14="", "", VLOOKUP(C14,'API Data Dictionary'!C:X,22,FALSE))</f>
        <v/>
      </c>
      <c r="E14" s="95" t="str">
        <f>IF(C14="", "", VLOOKUP(C14,'API Data Dictionary'!C:D,2,FALSE))</f>
        <v/>
      </c>
      <c r="F14" s="95" t="str">
        <f>IF(IF(C14="", "", VLOOKUP(C14,'API Data Dictionary'!C:E,3,FALSE))=0, "", IF(C14="", "", VLOOKUP(C14,'API Data Dictionary'!C:E,3,FALSE)))</f>
        <v/>
      </c>
      <c r="G14" s="95" t="str">
        <f>IF(IF(C14="", "", VLOOKUP(C14,'API Data Dictionary'!C:F,4,FALSE))=0, "", IF(C14="", "", VLOOKUP(C14,'API Data Dictionary'!C:F,4,FALSE)))</f>
        <v/>
      </c>
      <c r="H14" s="95" t="str">
        <f>IF(IF(C14="", "", VLOOKUP(C14,'API Data Dictionary'!C:G,5,FALSE))=0, "", IF(C14="", "", VLOOKUP(C14,'API Data Dictionary'!C:G,5,FALSE)))</f>
        <v/>
      </c>
    </row>
    <row r="15" spans="1:8" hidden="1"/>
  </sheetData>
  <mergeCells count="2">
    <mergeCell ref="B2:H2"/>
    <mergeCell ref="B8:H8"/>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5EACA-40AC-4218-9E99-9F9A1C3585F2}">
  <sheetPr>
    <tabColor rgb="FF4472C4"/>
  </sheetPr>
  <dimension ref="A1:H15"/>
  <sheetViews>
    <sheetView zoomScale="90" zoomScaleNormal="90" workbookViewId="0">
      <selection activeCell="E26" sqref="E26"/>
    </sheetView>
  </sheetViews>
  <sheetFormatPr defaultRowHeight="14.45"/>
  <cols>
    <col min="1" max="1" width="27.5703125" customWidth="1"/>
    <col min="2" max="2" width="56.5703125" bestFit="1" customWidth="1"/>
    <col min="3" max="3" width="22.140625" bestFit="1" customWidth="1"/>
    <col min="4" max="4" width="16" bestFit="1" customWidth="1"/>
    <col min="5" max="5" width="13.85546875" bestFit="1" customWidth="1"/>
    <col min="6" max="6" width="10.5703125" customWidth="1"/>
    <col min="7" max="7" width="14.42578125" customWidth="1"/>
    <col min="8" max="8" width="40" bestFit="1" customWidth="1"/>
  </cols>
  <sheetData>
    <row r="1" spans="1:8" ht="43.5">
      <c r="A1" s="96" t="s">
        <v>1459</v>
      </c>
      <c r="B1" s="96" t="s">
        <v>1460</v>
      </c>
      <c r="C1" s="96" t="s">
        <v>1178</v>
      </c>
      <c r="D1" s="96" t="s">
        <v>1179</v>
      </c>
      <c r="E1" s="96" t="s">
        <v>1180</v>
      </c>
      <c r="F1" s="96" t="s">
        <v>80</v>
      </c>
      <c r="G1" s="96" t="s">
        <v>81</v>
      </c>
      <c r="H1" s="96" t="s">
        <v>1181</v>
      </c>
    </row>
    <row r="2" spans="1:8">
      <c r="A2" s="172"/>
      <c r="B2" s="225" t="s">
        <v>1182</v>
      </c>
      <c r="C2" s="225"/>
      <c r="D2" s="225"/>
      <c r="E2" s="225"/>
      <c r="F2" s="225"/>
      <c r="G2" s="225"/>
      <c r="H2" s="225"/>
    </row>
    <row r="3" spans="1:8">
      <c r="A3" s="97"/>
      <c r="B3" s="97" t="s">
        <v>1183</v>
      </c>
      <c r="C3" s="95" t="str">
        <f t="shared" ref="C3:C8" si="0">IF(OR(ISNUMBER(SEARCH("{", B3)),ISNUMBER(SEARCH("[", B3))), "", IFERROR(MID(B3, SEARCH("""", B3) +1, SEARCH("""", B3, SEARCH("""",B3) +1) - SEARCH("""", B3) -1), ""))</f>
        <v/>
      </c>
      <c r="D3" s="95" t="str">
        <f>IF(C3="", "", VLOOKUP(C3,'API Data Dictionary'!C:X,22,FALSE))</f>
        <v/>
      </c>
      <c r="E3" s="95" t="str">
        <f>IF(C3="", "", VLOOKUP(C3,'API Data Dictionary'!C:D,2,FALSE))</f>
        <v/>
      </c>
      <c r="F3" s="95" t="str">
        <f>IF(IF(C3="", "", VLOOKUP(C3,'API Data Dictionary'!C:E,3,FALSE))=0, "", IF(C3="", "", VLOOKUP(C3,'API Data Dictionary'!C:E,3,FALSE)))</f>
        <v/>
      </c>
      <c r="G3" s="95" t="str">
        <f>IF(IF(C3="", "", VLOOKUP(C3,'API Data Dictionary'!C:F,4,FALSE))=0, "", IF(C3="", "", VLOOKUP(C3,'API Data Dictionary'!C:F,4,FALSE)))</f>
        <v/>
      </c>
      <c r="H3" s="95" t="str">
        <f>IF(IF(C3="", "", VLOOKUP(C3,'API Data Dictionary'!C:G,5,FALSE))=0, "", IF(C3="", "", VLOOKUP(C3,'API Data Dictionary'!C:G,5,FALSE)))</f>
        <v/>
      </c>
    </row>
    <row r="4" spans="1:8">
      <c r="A4" s="187" t="s">
        <v>1184</v>
      </c>
      <c r="B4" s="97" t="s">
        <v>1185</v>
      </c>
      <c r="C4" s="95" t="str">
        <f t="shared" si="0"/>
        <v>agentCode</v>
      </c>
      <c r="D4" s="95" t="s">
        <v>139</v>
      </c>
      <c r="E4" s="95" t="str">
        <f>IF(C4="", "", VLOOKUP(C4,'API Data Dictionary'!C:D,2,FALSE))</f>
        <v>string</v>
      </c>
      <c r="F4" s="95">
        <f>IF(IF(C4="", "", VLOOKUP(C4,'API Data Dictionary'!C:E,3,FALSE))=0, "", IF(C4="", "", VLOOKUP(C4,'API Data Dictionary'!C:E,3,FALSE)))</f>
        <v>50</v>
      </c>
      <c r="G4" s="95" t="str">
        <f>IF(IF(C4="", "", VLOOKUP(C4,'API Data Dictionary'!C:F,4,FALSE))=0, "", IF(C4="", "", VLOOKUP(C4,'API Data Dictionary'!C:F,4,FALSE)))</f>
        <v/>
      </c>
      <c r="H4" s="95" t="str">
        <f>IF(IF(C4="", "", VLOOKUP(C4,'API Data Dictionary'!C:G,5,FALSE))=0, "", IF(C4="", "", VLOOKUP(C4,'API Data Dictionary'!C:G,5,FALSE)))</f>
        <v>AgentCode is the Unique Key provided to the Agent when onboarding as a Barbon Customer.
An AgentID may be linked to many Properties being managed by that Agent and Each property may be linked to 1 or more TenancyID's.</v>
      </c>
    </row>
    <row r="5" spans="1:8">
      <c r="A5" s="187" t="s">
        <v>1275</v>
      </c>
      <c r="B5" s="97" t="s">
        <v>1454</v>
      </c>
      <c r="C5" s="95" t="str">
        <f t="shared" si="0"/>
        <v>propertyTenancyId</v>
      </c>
      <c r="D5" s="95" t="s">
        <v>139</v>
      </c>
      <c r="E5" s="95" t="str">
        <f>IF(C5="", "", VLOOKUP(C5,'API Data Dictionary'!C:D,2,FALSE))</f>
        <v>integer</v>
      </c>
      <c r="F5" s="95" t="str">
        <f>IF(IF(C5="", "", VLOOKUP(C5,'API Data Dictionary'!C:E,3,FALSE))=0, "", IF(C5="", "", VLOOKUP(C5,'API Data Dictionary'!C:E,3,FALSE)))</f>
        <v/>
      </c>
      <c r="G5" s="95" t="str">
        <f>IF(IF(C5="", "", VLOOKUP(C5,'API Data Dictionary'!C:F,4,FALSE))=0, "", IF(C5="", "", VLOOKUP(C5,'API Data Dictionary'!C:F,4,FALSE)))</f>
        <v/>
      </c>
      <c r="H5" s="95" t="str">
        <f>IF(IF(C5="", "", VLOOKUP(C5,'API Data Dictionary'!C:G,5,FALSE))=0, "", IF(C5="", "", VLOOKUP(C5,'API Data Dictionary'!C:G,5,FALSE)))</f>
        <v>The ID of the property tenancy</v>
      </c>
    </row>
    <row r="6" spans="1:8">
      <c r="A6" s="97"/>
      <c r="B6" s="97" t="s">
        <v>1461</v>
      </c>
      <c r="C6" s="95" t="str">
        <f t="shared" si="0"/>
        <v>possessionDate</v>
      </c>
      <c r="D6" s="95" t="s">
        <v>139</v>
      </c>
      <c r="E6" s="95" t="s">
        <v>1462</v>
      </c>
      <c r="F6" s="95"/>
      <c r="G6" s="95"/>
      <c r="H6" s="95" t="s">
        <v>1463</v>
      </c>
    </row>
    <row r="7" spans="1:8">
      <c r="A7" s="97"/>
      <c r="B7" s="97" t="s">
        <v>1464</v>
      </c>
      <c r="C7" s="95" t="str">
        <f t="shared" si="0"/>
        <v>cancellationReason</v>
      </c>
      <c r="D7" s="95"/>
      <c r="E7" s="95"/>
      <c r="F7" s="95"/>
      <c r="G7" s="95"/>
      <c r="H7" s="95"/>
    </row>
    <row r="8" spans="1:8">
      <c r="A8" s="97"/>
      <c r="B8" s="97" t="s">
        <v>1249</v>
      </c>
      <c r="C8" s="95" t="str">
        <f t="shared" si="0"/>
        <v/>
      </c>
      <c r="D8" s="95" t="str">
        <f>IF(C8="", "", VLOOKUP(C8,'API Data Dictionary'!C:X,22,FALSE))</f>
        <v/>
      </c>
      <c r="E8" s="95" t="str">
        <f>IF(C8="", "", VLOOKUP(C8,'API Data Dictionary'!C:D,2,FALSE))</f>
        <v/>
      </c>
      <c r="F8" s="95" t="str">
        <f>IF(IF(C8="", "", VLOOKUP(C8,'API Data Dictionary'!C:E,3,FALSE))=0, "", IF(C8="", "", VLOOKUP(C8,'API Data Dictionary'!C:E,3,FALSE)))</f>
        <v/>
      </c>
      <c r="G8" s="95" t="str">
        <f>IF(IF(C8="", "", VLOOKUP(C8,'API Data Dictionary'!C:F,4,FALSE))=0, "", IF(C8="", "", VLOOKUP(C8,'API Data Dictionary'!C:F,4,FALSE)))</f>
        <v/>
      </c>
      <c r="H8" s="95" t="str">
        <f>IF(IF(C8="", "", VLOOKUP(C8,'API Data Dictionary'!C:G,5,FALSE))=0, "", IF(C8="", "", VLOOKUP(C8,'API Data Dictionary'!C:G,5,FALSE)))</f>
        <v/>
      </c>
    </row>
    <row r="9" spans="1:8" hidden="1">
      <c r="A9" s="172"/>
      <c r="B9" s="225" t="s">
        <v>1250</v>
      </c>
      <c r="C9" s="225"/>
      <c r="D9" s="225"/>
      <c r="E9" s="225"/>
      <c r="F9" s="225"/>
      <c r="G9" s="225"/>
      <c r="H9" s="225"/>
    </row>
    <row r="10" spans="1:8" hidden="1">
      <c r="A10" s="97"/>
      <c r="B10" s="97"/>
      <c r="C10" s="95" t="str">
        <f t="shared" ref="C10:C15" si="1">IF(OR(ISNUMBER(SEARCH("{", B10)),ISNUMBER(SEARCH("[", B10))), "", IFERROR(MID(B10, SEARCH("""", B10) +1, SEARCH("""", B10, SEARCH("""",B10) +1) - SEARCH("""", B10) -1), ""))</f>
        <v/>
      </c>
      <c r="D10" s="95" t="str">
        <f>IF(C10="", "", VLOOKUP(C10,'API Data Dictionary'!C:X,22,FALSE))</f>
        <v/>
      </c>
      <c r="E10" s="95" t="str">
        <f>IF(C10="", "", VLOOKUP(C10,'API Data Dictionary'!C:D,2,FALSE))</f>
        <v/>
      </c>
      <c r="F10" s="95" t="str">
        <f>IF(IF(C10="", "", VLOOKUP(C10,'API Data Dictionary'!C:E,3,FALSE))=0, "", IF(C10="", "", VLOOKUP(C10,'API Data Dictionary'!C:E,3,FALSE)))</f>
        <v/>
      </c>
      <c r="G10" s="95" t="str">
        <f>IF(IF(C10="", "", VLOOKUP(C10,'API Data Dictionary'!C:F,4,FALSE))=0, "", IF(C10="", "", VLOOKUP(C10,'API Data Dictionary'!C:F,4,FALSE)))</f>
        <v/>
      </c>
      <c r="H10" s="95" t="str">
        <f>IF(IF(C10="", "", VLOOKUP(C10,'API Data Dictionary'!C:G,5,FALSE))=0, "", IF(C10="", "", VLOOKUP(C10,'API Data Dictionary'!C:G,5,FALSE)))</f>
        <v/>
      </c>
    </row>
    <row r="11" spans="1:8" hidden="1">
      <c r="A11" s="97"/>
      <c r="B11" s="97" t="s">
        <v>1183</v>
      </c>
      <c r="C11" s="95" t="str">
        <f t="shared" si="1"/>
        <v/>
      </c>
      <c r="D11" s="95"/>
      <c r="E11" s="95" t="str">
        <f>IF(C11="", "", VLOOKUP(C11,'API Data Dictionary'!C:D,2,FALSE))</f>
        <v/>
      </c>
      <c r="F11" s="95" t="str">
        <f>IF(IF(C11="", "", VLOOKUP(C11,'API Data Dictionary'!C:E,3,FALSE))=0, "", IF(C11="", "", VLOOKUP(C11,'API Data Dictionary'!C:E,3,FALSE)))</f>
        <v/>
      </c>
      <c r="G11" s="95" t="str">
        <f>IF(IF(C11="", "", VLOOKUP(C11,'API Data Dictionary'!C:F,4,FALSE))=0, "", IF(C11="", "", VLOOKUP(C11,'API Data Dictionary'!C:F,4,FALSE)))</f>
        <v/>
      </c>
      <c r="H11" s="95" t="str">
        <f>IF(IF(C11="", "", VLOOKUP(C11,'API Data Dictionary'!C:G,5,FALSE))=0, "", IF(C11="", "", VLOOKUP(C11,'API Data Dictionary'!C:G,5,FALSE)))</f>
        <v/>
      </c>
    </row>
    <row r="12" spans="1:8" hidden="1">
      <c r="A12" s="97"/>
      <c r="B12" s="97" t="s">
        <v>1251</v>
      </c>
      <c r="C12" s="95" t="str">
        <f t="shared" si="1"/>
        <v>success</v>
      </c>
      <c r="D12" s="95" t="s">
        <v>139</v>
      </c>
      <c r="E12" s="95" t="str">
        <f>IF(C12="", "", VLOOKUP(C12,'API Data Dictionary'!C:D,2,FALSE))</f>
        <v>string - Boolean</v>
      </c>
      <c r="F12" s="95">
        <f>IF(IF(C12="", "", VLOOKUP(C12,'API Data Dictionary'!C:E,3,FALSE))=0, "", IF(C12="", "", VLOOKUP(C12,'API Data Dictionary'!C:E,3,FALSE)))</f>
        <v>100</v>
      </c>
      <c r="G12" s="95" t="str">
        <f>IF(IF(C12="", "", VLOOKUP(C12,'API Data Dictionary'!C:F,4,FALSE))=0, "", IF(C12="", "", VLOOKUP(C12,'API Data Dictionary'!C:F,4,FALSE)))</f>
        <v/>
      </c>
      <c r="H12" s="95" t="str">
        <f>IF(IF(C12="", "", VLOOKUP(C12,'API Data Dictionary'!C:G,5,FALSE))=0, "", IF(C12="", "", VLOOKUP(C12,'API Data Dictionary'!C:G,5,FALSE)))</f>
        <v>Returns true when successful connection</v>
      </c>
    </row>
    <row r="13" spans="1:8" hidden="1">
      <c r="A13" s="97"/>
      <c r="B13" s="97" t="s">
        <v>1457</v>
      </c>
      <c r="C13" s="95" t="str">
        <f t="shared" si="1"/>
        <v>payload</v>
      </c>
      <c r="D13" s="95" t="s">
        <v>139</v>
      </c>
      <c r="E13" s="95" t="str">
        <f>IF(C13="", "", VLOOKUP(C13,'API Data Dictionary'!C:D,2,FALSE))</f>
        <v>string</v>
      </c>
      <c r="F13" s="95">
        <f>IF(IF(C13="", "", VLOOKUP(C13,'API Data Dictionary'!C:E,3,FALSE))=0, "", IF(C13="", "", VLOOKUP(C13,'API Data Dictionary'!C:E,3,FALSE)))</f>
        <v>100</v>
      </c>
      <c r="G13" s="95" t="str">
        <f>IF(IF(C13="", "", VLOOKUP(C13,'API Data Dictionary'!C:F,4,FALSE))=0, "", IF(C13="", "", VLOOKUP(C13,'API Data Dictionary'!C:F,4,FALSE)))</f>
        <v/>
      </c>
      <c r="H13" s="95" t="str">
        <f>IF(IF(C13="", "", VLOOKUP(C13,'API Data Dictionary'!C:G,5,FALSE))=0, "", IF(C13="", "", VLOOKUP(C13,'API Data Dictionary'!C:G,5,FALSE)))</f>
        <v>Returns healthy when connection has worked properly</v>
      </c>
    </row>
    <row r="14" spans="1:8" hidden="1">
      <c r="A14" s="97"/>
      <c r="B14" s="97" t="s">
        <v>1465</v>
      </c>
      <c r="C14" s="95" t="str">
        <f t="shared" si="1"/>
        <v>message</v>
      </c>
      <c r="D14" s="95" t="s">
        <v>139</v>
      </c>
      <c r="E14" s="95" t="str">
        <f>IF(C14="", "", VLOOKUP(C14,'API Data Dictionary'!C:D,2,FALSE))</f>
        <v>string</v>
      </c>
      <c r="F14" s="95">
        <f>IF(IF(C14="", "", VLOOKUP(C14,'API Data Dictionary'!C:E,3,FALSE))=0, "", IF(C14="", "", VLOOKUP(C14,'API Data Dictionary'!C:E,3,FALSE)))</f>
        <v>100</v>
      </c>
      <c r="G14" s="95" t="str">
        <f>IF(IF(C14="", "", VLOOKUP(C14,'API Data Dictionary'!C:F,4,FALSE))=0, "", IF(C14="", "", VLOOKUP(C14,'API Data Dictionary'!C:F,4,FALSE)))</f>
        <v/>
      </c>
      <c r="H14" s="95" t="str">
        <f>IF(IF(C14="", "", VLOOKUP(C14,'API Data Dictionary'!C:G,5,FALSE))=0, "", IF(C14="", "", VLOOKUP(C14,'API Data Dictionary'!C:G,5,FALSE)))</f>
        <v>return value, null unless there has been error in connection</v>
      </c>
    </row>
    <row r="15" spans="1:8" hidden="1">
      <c r="A15" s="97"/>
      <c r="B15" s="97" t="s">
        <v>1249</v>
      </c>
      <c r="C15" s="95" t="str">
        <f t="shared" si="1"/>
        <v/>
      </c>
      <c r="D15" s="95" t="str">
        <f>IF(C15="", "", VLOOKUP(C15,'API Data Dictionary'!C:X,22,FALSE))</f>
        <v/>
      </c>
      <c r="E15" s="95" t="str">
        <f>IF(C15="", "", VLOOKUP(C15,'API Data Dictionary'!C:D,2,FALSE))</f>
        <v/>
      </c>
      <c r="F15" s="95" t="str">
        <f>IF(IF(C15="", "", VLOOKUP(C15,'API Data Dictionary'!C:E,3,FALSE))=0, "", IF(C15="", "", VLOOKUP(C15,'API Data Dictionary'!C:E,3,FALSE)))</f>
        <v/>
      </c>
      <c r="G15" s="95" t="str">
        <f>IF(IF(C15="", "", VLOOKUP(C15,'API Data Dictionary'!C:F,4,FALSE))=0, "", IF(C15="", "", VLOOKUP(C15,'API Data Dictionary'!C:F,4,FALSE)))</f>
        <v/>
      </c>
      <c r="H15" s="95" t="str">
        <f>IF(IF(C15="", "", VLOOKUP(C15,'API Data Dictionary'!C:G,5,FALSE))=0, "", IF(C15="", "", VLOOKUP(C15,'API Data Dictionary'!C:G,5,FALSE)))</f>
        <v/>
      </c>
    </row>
  </sheetData>
  <mergeCells count="2">
    <mergeCell ref="B2:H2"/>
    <mergeCell ref="B9:H9"/>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haredContentType xmlns="Microsoft.SharePoint.Taxonomy.ContentTypeSync" SourceId="5676dd91-060c-4b71-810a-dbdca5582071" ContentTypeId="0x010100B16301FA1C2D5E4DB9305F31D037531D020703" PreviousValue="false"/>
</file>

<file path=customXml/item3.xml><?xml version="1.0" encoding="utf-8"?>
<p:properties xmlns:p="http://schemas.microsoft.com/office/2006/metadata/properties" xmlns:xsi="http://www.w3.org/2001/XMLSchema-instance" xmlns:pc="http://schemas.microsoft.com/office/infopath/2007/PartnerControls">
  <documentManagement>
    <nae5750f31d8428b9a1182bd8e59d390 xmlns="1ffbd5dc-7a64-4097-8396-87f6c90b212f">
      <Terms xmlns="http://schemas.microsoft.com/office/infopath/2007/PartnerControls">
        <TermInfo xmlns="http://schemas.microsoft.com/office/infopath/2007/PartnerControls">
          <TermName xmlns="http://schemas.microsoft.com/office/infopath/2007/PartnerControls">Enterprise Solutions</TermName>
          <TermId xmlns="http://schemas.microsoft.com/office/infopath/2007/PartnerControls">08c57b01-67e8-4a4f-abc6-ffb3392ace7f</TermId>
        </TermInfo>
      </Terms>
    </nae5750f31d8428b9a1182bd8e59d390>
    <k6ebf865df8440b3a55c1aa81c9bae7c xmlns="1ffbd5dc-7a64-4097-8396-87f6c90b212f">
      <Terms xmlns="http://schemas.microsoft.com/office/infopath/2007/PartnerControls"/>
    </k6ebf865df8440b3a55c1aa81c9bae7c>
    <f0dc22cb723843c1bfbb2e8bcc9db6e4 xmlns="1ffbd5dc-7a64-4097-8396-87f6c90b212f">
      <Terms xmlns="http://schemas.microsoft.com/office/infopath/2007/PartnerControls"/>
    </f0dc22cb723843c1bfbb2e8bcc9db6e4>
    <TaxCatchAll xmlns="1ffbd5dc-7a64-4097-8396-87f6c90b212f">
      <Value>5</Value>
      <Value>6</Value>
    </TaxCatchAll>
    <ica44df5449d49f98766f83f0bd254a7 xmlns="1ffbd5dc-7a64-4097-8396-87f6c90b212f">
      <Terms xmlns="http://schemas.microsoft.com/office/infopath/2007/PartnerControls">
        <TermInfo xmlns="http://schemas.microsoft.com/office/infopath/2007/PartnerControls">
          <TermName xmlns="http://schemas.microsoft.com/office/infopath/2007/PartnerControls">Grainger PLC</TermName>
          <TermId xmlns="http://schemas.microsoft.com/office/infopath/2007/PartnerControls">a74f1cb5-e995-4f9e-8521-6d52e2c6bf08</TermId>
        </TermInfo>
      </Terms>
    </ica44df5449d49f98766f83f0bd254a7>
  </documentManagement>
</p:properties>
</file>

<file path=customXml/item4.xml><?xml version="1.0" encoding="utf-8"?>
<ct:contentTypeSchema xmlns:ct="http://schemas.microsoft.com/office/2006/metadata/contentType" xmlns:ma="http://schemas.microsoft.com/office/2006/metadata/properties/metaAttributes" ct:_="" ma:_="" ma:contentTypeName="Client Project Document" ma:contentTypeID="0x010100B16301FA1C2D5E4DB9305F31D037531D02070300B4E123A7400DE24C83BA9D1BFCD12C10" ma:contentTypeVersion="3" ma:contentTypeDescription="A document associated with a project for a client." ma:contentTypeScope="" ma:versionID="9d6581bc5c99e8ea3938d4fa8ba888f5">
  <xsd:schema xmlns:xsd="http://www.w3.org/2001/XMLSchema" xmlns:xs="http://www.w3.org/2001/XMLSchema" xmlns:p="http://schemas.microsoft.com/office/2006/metadata/properties" xmlns:ns2="1ffbd5dc-7a64-4097-8396-87f6c90b212f" targetNamespace="http://schemas.microsoft.com/office/2006/metadata/properties" ma:root="true" ma:fieldsID="a0c1b2c62e26289b034b466cfffa7cd3" ns2:_="">
    <xsd:import namespace="1ffbd5dc-7a64-4097-8396-87f6c90b212f"/>
    <xsd:element name="properties">
      <xsd:complexType>
        <xsd:sequence>
          <xsd:element name="documentManagement">
            <xsd:complexType>
              <xsd:all>
                <xsd:element ref="ns2:TaxCatchAll" minOccurs="0"/>
                <xsd:element ref="ns2:TaxCatchAllLabel" minOccurs="0"/>
                <xsd:element ref="ns2:nae5750f31d8428b9a1182bd8e59d390" minOccurs="0"/>
                <xsd:element ref="ns2:ica44df5449d49f98766f83f0bd254a7" minOccurs="0"/>
                <xsd:element ref="ns2:f0dc22cb723843c1bfbb2e8bcc9db6e4" minOccurs="0"/>
                <xsd:element ref="ns2:k6ebf865df8440b3a55c1aa81c9bae7c"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fbd5dc-7a64-4097-8396-87f6c90b212f"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45250ea2-cfef-416b-9e22-46de40794d29}" ma:internalName="TaxCatchAll" ma:showField="CatchAllData"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45250ea2-cfef-416b-9e22-46de40794d29}" ma:internalName="TaxCatchAllLabel" ma:readOnly="true" ma:showField="CatchAllDataLabel"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nae5750f31d8428b9a1182bd8e59d390" ma:index="10" ma:taxonomy="true" ma:internalName="nae5750f31d8428b9a1182bd8e59d390" ma:taxonomyFieldName="Division" ma:displayName="Division" ma:readOnly="false" ma:default="1;#Custom Software|cecfb662-fc63-4c9e-b6e4-2e3797fe6f4f" ma:fieldId="{7ae5750f-31d8-428b-9a11-82bd8e59d390}" ma:sspId="5676dd91-060c-4b71-810a-dbdca5582071" ma:termSetId="32b39d25-b397-4982-8e8d-74d5df186044" ma:anchorId="00000000-0000-0000-0000-000000000000" ma:open="false" ma:isKeyword="false">
      <xsd:complexType>
        <xsd:sequence>
          <xsd:element ref="pc:Terms" minOccurs="0" maxOccurs="1"/>
        </xsd:sequence>
      </xsd:complexType>
    </xsd:element>
    <xsd:element name="ica44df5449d49f98766f83f0bd254a7" ma:index="12" ma:taxonomy="true" ma:internalName="ica44df5449d49f98766f83f0bd254a7" ma:taxonomyFieldName="Client" ma:displayName="Client" ma:default="6;#Grainger PLC|a74f1cb5-e995-4f9e-8521-6d52e2c6bf08" ma:fieldId="{2ca44df5-449d-49f9-8766-f83f0bd254a7}" ma:sspId="5676dd91-060c-4b71-810a-dbdca5582071" ma:termSetId="26f19758-7225-4257-8796-285d454d16a6" ma:anchorId="00000000-0000-0000-0000-000000000000" ma:open="false" ma:isKeyword="false">
      <xsd:complexType>
        <xsd:sequence>
          <xsd:element ref="pc:Terms" minOccurs="0" maxOccurs="1"/>
        </xsd:sequence>
      </xsd:complexType>
    </xsd:element>
    <xsd:element name="f0dc22cb723843c1bfbb2e8bcc9db6e4" ma:index="14" nillable="true" ma:taxonomy="true" ma:internalName="f0dc22cb723843c1bfbb2e8bcc9db6e4" ma:taxonomyFieldName="Client_x0020_Project" ma:displayName="Client Application" ma:default="" ma:fieldId="{f0dc22cb-7238-43c1-bfbb-2e8bcc9db6e4}" ma:sspId="5676dd91-060c-4b71-810a-dbdca5582071" ma:termSetId="503923a6-a4d2-4c0f-8ec0-fee4966b50a0" ma:anchorId="00000000-0000-0000-0000-000000000000" ma:open="false" ma:isKeyword="false">
      <xsd:complexType>
        <xsd:sequence>
          <xsd:element ref="pc:Terms" minOccurs="0" maxOccurs="1"/>
        </xsd:sequence>
      </xsd:complexType>
    </xsd:element>
    <xsd:element name="k6ebf865df8440b3a55c1aa81c9bae7c" ma:index="16" nillable="true" ma:taxonomy="true" ma:internalName="k6ebf865df8440b3a55c1aa81c9bae7c" ma:taxonomyFieldName="Project_x0020_Document_x0020_Type" ma:displayName="Project Document Type" ma:default="4;#Generic Project Document|258c2ed6-b93b-4ffe-8901-a23f2dc98ec9" ma:fieldId="{46ebf865-df84-40b3-a55c-1aa81c9bae7c}" ma:sspId="5676dd91-060c-4b71-810a-dbdca5582071" ma:termSetId="79e5d870-6e8b-4a88-8554-c2a1e06e1585"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9615AE1-54A2-47EA-BE3E-CC28E8E3904E}"/>
</file>

<file path=customXml/itemProps2.xml><?xml version="1.0" encoding="utf-8"?>
<ds:datastoreItem xmlns:ds="http://schemas.openxmlformats.org/officeDocument/2006/customXml" ds:itemID="{770EF648-3B75-43DE-AF53-D465DFF43FAB}"/>
</file>

<file path=customXml/itemProps3.xml><?xml version="1.0" encoding="utf-8"?>
<ds:datastoreItem xmlns:ds="http://schemas.openxmlformats.org/officeDocument/2006/customXml" ds:itemID="{DBF178F6-BD36-4889-928A-64ECF9D4A0E7}"/>
</file>

<file path=customXml/itemProps4.xml><?xml version="1.0" encoding="utf-8"?>
<ds:datastoreItem xmlns:ds="http://schemas.openxmlformats.org/officeDocument/2006/customXml" ds:itemID="{5ED2251C-1931-45DA-A65E-0D24996592F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Brewin</dc:creator>
  <cp:keywords/>
  <dc:description/>
  <cp:lastModifiedBy>Sam Duncan</cp:lastModifiedBy>
  <cp:revision/>
  <dcterms:created xsi:type="dcterms:W3CDTF">2022-12-12T09:04:40Z</dcterms:created>
  <dcterms:modified xsi:type="dcterms:W3CDTF">2023-06-16T06:27:02Z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0x010100B16301FA1C2D5E4DB9305F31D037531D02070300B4E123A7400DE24C83BA9D1BFCD12C10</vt:lpwstr>
  </property>
  <property fmtid="{D5CDD505-2E9C-101B-9397-08002B2CF9AE}" pid="3" name="MediaServiceImageTags">
    <vt:lpwstr/>
  </property>
  <property fmtid="{D5CDD505-2E9C-101B-9397-08002B2CF9AE}" pid="4" name="Project Document Type">
    <vt:lpwstr/>
  </property>
  <property fmtid="{D5CDD505-2E9C-101B-9397-08002B2CF9AE}" pid="5" name="Client">
    <vt:lpwstr>6;#Grainger PLC|a74f1cb5-e995-4f9e-8521-6d52e2c6bf08</vt:lpwstr>
  </property>
  <property fmtid="{D5CDD505-2E9C-101B-9397-08002B2CF9AE}" pid="6" name="Client Project">
    <vt:lpwstr/>
  </property>
  <property fmtid="{D5CDD505-2E9C-101B-9397-08002B2CF9AE}" pid="7" name="Division">
    <vt:lpwstr>5;#Enterprise Solutions|08c57b01-67e8-4a4f-abc6-ffb3392ace7f</vt:lpwstr>
  </property>
  <property fmtid="{D5CDD505-2E9C-101B-9397-08002B2CF9AE}" pid="8" name="SharedWithUsers">
    <vt:lpwstr>39;#Khonani Davhana</vt:lpwstr>
  </property>
  <property fmtid="{D5CDD505-2E9C-101B-9397-08002B2CF9AE}" pid="9" name="lcf76f155ced4ddcb4097134ff3c332f">
    <vt:lpwstr/>
  </property>
</Properties>
</file>