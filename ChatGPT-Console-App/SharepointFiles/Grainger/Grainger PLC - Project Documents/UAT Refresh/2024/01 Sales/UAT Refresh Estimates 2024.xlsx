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UAT Refresh/01 Sales/"/>
    </mc:Choice>
  </mc:AlternateContent>
  <xr:revisionPtr revIDLastSave="234" documentId="8_{FBE3DEF7-5AEC-8A47-AB85-81D5D0E52365}" xr6:coauthVersionLast="47" xr6:coauthVersionMax="47" xr10:uidLastSave="{466A08D6-7743-4A64-BEA5-B762B09F769C}"/>
  <bookViews>
    <workbookView xWindow="28680" yWindow="-120" windowWidth="29040" windowHeight="15720" activeTab="1" xr2:uid="{C759EEDD-7E8F-E643-AB5C-F2F158F0C2A6}"/>
  </bookViews>
  <sheets>
    <sheet name="Updated Effort Estimate" sheetId="3" r:id="rId1"/>
    <sheet name="Original Effort Estimate" sheetId="2" r:id="rId2"/>
    <sheet name="Sheet1" sheetId="1" r:id="rId3"/>
  </sheets>
  <externalReferences>
    <externalReference r:id="rId4"/>
  </externalReferences>
  <definedNames>
    <definedName name="_Toc156926581" localSheetId="1">'Original Effort Estimate'!#REF!</definedName>
    <definedName name="_Toc156926582" localSheetId="1">'Original Effort Estimate'!#REF!</definedName>
    <definedName name="_Toc156926583" localSheetId="1">'Original Effort Estimate'!#REF!</definedName>
    <definedName name="AnalysisActuals">'[1]Delivery Cost Estimate'!$E$27</definedName>
    <definedName name="AnalysisEstimate">'[1]Delivery Cost Estimate'!$E$26</definedName>
    <definedName name="AnalysisHLQ">'[1]Delivery Cost Estimate'!$E$25</definedName>
    <definedName name="BlendedRateGBP">'[1]2 Week Sprint'!$I$8</definedName>
    <definedName name="BlendedRateUSD">'[1]2 Week Sprint'!$J$8</definedName>
    <definedName name="BuildActuals">'[1]Delivery Cost Estimate'!$E$41</definedName>
    <definedName name="BuildContingency_UnanticipatedComplexity">'[1]Delivery Cost Estimate'!$E$116</definedName>
    <definedName name="BuildDuration">'[1]Custom Automation HLQ'!$E$72</definedName>
    <definedName name="BuildEstimate">'[1]Delivery Cost Estimate'!$E$40</definedName>
    <definedName name="BuildHLQ">'[1]Delivery Cost Estimate'!$E$39</definedName>
    <definedName name="BuildSprints">'[1]Delivery Cost Estimate'!$D$99</definedName>
    <definedName name="CountDev">'[1]Delivery Cost Estimate'!$E$20</definedName>
    <definedName name="GoLiveSupportActuals">'[1]Delivery Cost Estimate'!$E$147</definedName>
    <definedName name="GoLiveSupportEstimate">'[1]Delivery Cost Estimate'!$E$146</definedName>
    <definedName name="GoLiveSupportHLQ">'[1]Delivery Cost Estimate'!$E$145</definedName>
    <definedName name="ProjectCostActuals">'[1]Delivery Cost Estimate'!$E$160</definedName>
    <definedName name="RangeDriver">'[1]Delivery Cost Estimate'!$E$13</definedName>
    <definedName name="SprintDuration">'[1]2 Week Sprint'!$C$2</definedName>
    <definedName name="SumFunctionalDevelopment">'[1]Delivery Cost Estimate'!$E$60</definedName>
    <definedName name="SumQA">'[1]Delivery Cost Estimate'!$E$91</definedName>
    <definedName name="SumTeamSize">'[1]Delivery Cost Estimate'!$E$18</definedName>
    <definedName name="UserAcceptanceTestingActuals">'[1]Delivery Cost Estimate'!$E$121</definedName>
    <definedName name="UserAcceptanceTestingEstimate">'[1]Delivery Cost Estimate'!$E$120</definedName>
    <definedName name="UserAcceptanceTestingHLQ">'[1]Delivery Cost Estimate'!$E$119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3" l="1"/>
  <c r="I18" i="3"/>
  <c r="L18" i="3"/>
  <c r="K18" i="3"/>
  <c r="L17" i="3"/>
  <c r="L16" i="3"/>
  <c r="L15" i="3"/>
  <c r="L14" i="3"/>
  <c r="L13" i="3"/>
  <c r="K17" i="3"/>
  <c r="K16" i="3"/>
  <c r="K15" i="3"/>
  <c r="K14" i="3"/>
  <c r="K13" i="3"/>
  <c r="J16" i="3"/>
  <c r="D3" i="3"/>
  <c r="E38" i="3"/>
  <c r="D29" i="3"/>
  <c r="D21" i="3"/>
  <c r="D16" i="3"/>
  <c r="P10" i="3"/>
  <c r="R9" i="3"/>
  <c r="Q9" i="3"/>
  <c r="R8" i="3"/>
  <c r="Q8" i="3"/>
  <c r="D9" i="3"/>
  <c r="R7" i="3"/>
  <c r="Q7" i="3"/>
  <c r="Q10" i="3" s="1"/>
  <c r="D3" i="2"/>
  <c r="D28" i="2"/>
  <c r="D34" i="2" s="1"/>
  <c r="D20" i="2"/>
  <c r="D8" i="2"/>
  <c r="D15" i="2"/>
  <c r="E37" i="2"/>
  <c r="P10" i="2"/>
  <c r="Q9" i="2" s="1"/>
  <c r="R9" i="2"/>
  <c r="D14" i="1"/>
  <c r="E7" i="1" s="1"/>
  <c r="C14" i="1"/>
  <c r="D7" i="1" s="1"/>
  <c r="D13" i="1"/>
  <c r="E6" i="1" s="1"/>
  <c r="C13" i="1"/>
  <c r="D6" i="1" s="1"/>
  <c r="D12" i="1"/>
  <c r="E5" i="1" s="1"/>
  <c r="C12" i="1"/>
  <c r="D5" i="1" s="1"/>
  <c r="D11" i="1"/>
  <c r="E4" i="1" s="1"/>
  <c r="C11" i="1"/>
  <c r="D4" i="1" s="1"/>
  <c r="D10" i="1"/>
  <c r="C10" i="1"/>
  <c r="D3" i="1" s="1"/>
  <c r="R10" i="3" l="1"/>
  <c r="D35" i="3"/>
  <c r="I8" i="3" s="1"/>
  <c r="I9" i="3" s="1"/>
  <c r="I8" i="2"/>
  <c r="J8" i="2" s="1"/>
  <c r="J9" i="2" s="1"/>
  <c r="Q8" i="2"/>
  <c r="R8" i="2"/>
  <c r="Q7" i="2"/>
  <c r="Q10" i="2" s="1"/>
  <c r="R7" i="2"/>
  <c r="C16" i="1"/>
  <c r="D16" i="1"/>
  <c r="E3" i="1"/>
  <c r="E8" i="1" s="1"/>
  <c r="D8" i="1"/>
  <c r="J8" i="3" l="1"/>
  <c r="J9" i="3" s="1"/>
  <c r="R10" i="2"/>
  <c r="I9" i="2"/>
  <c r="C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tc={CA24130B-2BA6-4FC6-8E72-B840D7542037}</author>
    <author>tc={68A9C62C-5ECD-49F6-B715-2F7D872505BA}</author>
  </authors>
  <commentList>
    <comment ref="H4" authorId="0" shapeId="0" xr:uid="{CA24130B-2BA6-4FC6-8E72-B840D75420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 if Analysis estimate</t>
      </text>
    </comment>
    <comment ref="B40" authorId="1" shapeId="0" xr:uid="{68A9C62C-5ECD-49F6-B715-2F7D872505BA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example:
- There will only be 1 environment - Produciton. This may impact support and live use. 
- This will be a supervised solution (ie user will need to be logged in)
- Project will be billed T&amp;M @ a rate of xxx
- Client will add a user with the appropriate licenses in Azure AD - (Power Automate RPA)
- Licensing is $40 p/m per environment (Power Automate with RPA)
- Production support xxx
- A new account will be set up for the Automation to access xxxx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tc={9B472CFD-DE28-E841-9F34-AAF842875092}</author>
    <author>tc={5916C73C-BA1E-F84F-B64B-56145CB48A26}</author>
    <author>tc={035FFF74-9FC4-E84B-9B1A-E896E3D4F85F}</author>
  </authors>
  <commentList>
    <comment ref="H4" authorId="0" shapeId="0" xr:uid="{9B472CFD-DE28-E841-9F34-AAF8428750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 if Analysis estimate</t>
      </text>
    </comment>
    <comment ref="B39" authorId="1" shapeId="0" xr:uid="{5916C73C-BA1E-F84F-B64B-56145CB48A26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example:
- There will only be 1 environment - Produciton. This may impact support and live use. 
- This will be a supervised solution (ie user will need to be logged in)
- Project will be billed T&amp;M @ a rate of xxx
- Client will add a user with the appropriate licenses in Azure AD - (Power Automate RPA)
- Licensing is $40 p/m per environment (Power Automate with RPA)
- Production support xxx
- A new account will be set up for the Automation to access xxxx</t>
      </text>
    </comment>
    <comment ref="B42" authorId="2" shapeId="0" xr:uid="{035FFF74-9FC4-E84B-9B1A-E896E3D4F85F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example:
- There will only be 1 environment - Produciton. This may impact support and live use. 
- This will be a supervised solution (ie user will need to be logged in)
- Project will be billed T&amp;M @ a rate of xxx
- Client will add a user with the appropriate licenses in Azure AD - (Power Automate RPA)
- Licensing is $40 p/m per environment (Power Automate with RPA)
- Production support xxx
- A new account will be set up for the Automation to access xxxx</t>
      </text>
    </comment>
  </commentList>
</comments>
</file>

<file path=xl/sharedStrings.xml><?xml version="1.0" encoding="utf-8"?>
<sst xmlns="http://schemas.openxmlformats.org/spreadsheetml/2006/main" count="105" uniqueCount="51">
  <si>
    <t>Phase</t>
  </si>
  <si>
    <t>Task</t>
  </si>
  <si>
    <t>Hours</t>
  </si>
  <si>
    <t>%</t>
  </si>
  <si>
    <t>Notes</t>
  </si>
  <si>
    <t>Rate</t>
  </si>
  <si>
    <t>Pre-Refresh Analysis</t>
  </si>
  <si>
    <t>1 week</t>
  </si>
  <si>
    <t>Contingency</t>
  </si>
  <si>
    <t>Planning with Grainger across all connected systems</t>
  </si>
  <si>
    <t>Range Driver</t>
  </si>
  <si>
    <t>Identify all Salesforce integrations/applications that require post refresh action &amp; document refresh steps</t>
  </si>
  <si>
    <t>Playbook document creation</t>
  </si>
  <si>
    <t>Dev Hours</t>
  </si>
  <si>
    <t>Lower Bound</t>
  </si>
  <si>
    <t>Upper Bound</t>
  </si>
  <si>
    <t>Backup of SIT and UAT configuraiton in version control</t>
  </si>
  <si>
    <t>Lower bound</t>
  </si>
  <si>
    <t>Email Alerts - Logic Apps</t>
  </si>
  <si>
    <t>Meetings and alignment</t>
  </si>
  <si>
    <t>Default Tags - Custom Web</t>
  </si>
  <si>
    <t>Refresh</t>
  </si>
  <si>
    <t>3 weeks</t>
  </si>
  <si>
    <t>Cost</t>
  </si>
  <si>
    <t>Wachlist - Custom Web</t>
  </si>
  <si>
    <t>Refresh UAT sandboxes (templates, monitoring progress, activation)</t>
  </si>
  <si>
    <t>Refresh SIT sandboxes (templates, monitoring progress, activation)</t>
  </si>
  <si>
    <t>Hours Lower Bound</t>
  </si>
  <si>
    <t>Hours Upper Bound</t>
  </si>
  <si>
    <t>Project Admin Phase</t>
  </si>
  <si>
    <t>Post Refresh Updates</t>
  </si>
  <si>
    <t>Team familiarization</t>
  </si>
  <si>
    <t>End-to-end Testing</t>
  </si>
  <si>
    <t>Project Management</t>
  </si>
  <si>
    <t>Total</t>
  </si>
  <si>
    <t>Client Meetings and alignment</t>
  </si>
  <si>
    <t>Obfuscation of customer emails (and other PII data if required) - SIT &amp; UAT</t>
  </si>
  <si>
    <t>Update of endpoints for HomeLet, RightMove, Grainger Website API - SIT &amp; UAT</t>
  </si>
  <si>
    <t>Assitance with Grainger integration setup (Conga, AdobeSign, GREP, Letting portal etc.)</t>
  </si>
  <si>
    <t>End-to-end testing - UAT</t>
  </si>
  <si>
    <t>End-to-end testing - SIT</t>
  </si>
  <si>
    <t>Assupmtions</t>
  </si>
  <si>
    <t>Exclusions</t>
  </si>
  <si>
    <t>Refresh SIT and UAT sandboxes (templates, monitoring progress, activation)</t>
  </si>
  <si>
    <t>End-to-end testing - SIT &amp; UAT</t>
  </si>
  <si>
    <t>20-22</t>
  </si>
  <si>
    <t>2-3</t>
  </si>
  <si>
    <t>Post-refresh updates</t>
  </si>
  <si>
    <t>10-12</t>
  </si>
  <si>
    <t>End-to-end testing</t>
  </si>
  <si>
    <t>Project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</si>
</sst>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[$£-809]* #,##0_-;\-[$£-809]* #,##0_-;_-[$£-809]* &quot;-&quot;??_-;_-@_-"/>
    <numFmt numFmtId="166" formatCode="_-[$£-809]* #,##0.00_-;\-[$£-809]* #,##0.00_-;_-[$£-809]* &quot;-&quot;??_-;_-@_-"/>
    <numFmt numFmtId="167" formatCode="_-[$$-409]* #,##0.00_ ;_-[$$-409]* \-#,##0.00\ ;_-[$$-409]* &quot;-&quot;??_ ;_-@_ "/>
    <numFmt numFmtId="168" formatCode="_([$$-409]* #,##0.00_);_([$$-409]* \(#,##0.00\);_([$$-409]* &quot;-&quot;??_);_(@_)"/>
    <numFmt numFmtId="169" formatCode="_(* #,##0_);_(* \(#,##0\);_(* &quot;-&quot;??_);_(@_)"/>
  </numFmts>
  <fonts count="10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rgb="FF000000"/>
      <name val="Verdana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rgb="FF000000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9" fontId="4" fillId="0" borderId="0" applyFont="0" applyFill="0" applyBorder="0" applyAlignment="0" applyProtection="0"/>
  </cellStyleXfs>
  <cellXfs count="54">
    <xf numFmtId="0" fontId="0" fillId="0" borderId="0" xfId="0"/>
    <xf numFmtId="0" fontId="3" fillId="2" borderId="1" xfId="0" applyFont="1" applyFill="1" applyBorder="1" applyAlignment="1">
      <alignment horizontal="justify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justify" vertical="center"/>
    </xf>
    <xf numFmtId="0" fontId="3" fillId="3" borderId="5" xfId="0" applyFont="1" applyFill="1" applyBorder="1" applyAlignment="1">
      <alignment horizontal="justify"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justify" vertical="center"/>
    </xf>
    <xf numFmtId="165" fontId="2" fillId="0" borderId="4" xfId="0" applyNumberFormat="1" applyFont="1" applyBorder="1" applyAlignment="1">
      <alignment horizontal="right" vertical="center"/>
    </xf>
    <xf numFmtId="165" fontId="3" fillId="3" borderId="6" xfId="0" applyNumberFormat="1" applyFont="1" applyFill="1" applyBorder="1" applyAlignment="1">
      <alignment horizontal="right" vertical="center"/>
    </xf>
    <xf numFmtId="49" fontId="2" fillId="0" borderId="4" xfId="0" applyNumberFormat="1" applyFont="1" applyBorder="1" applyAlignment="1">
      <alignment horizontal="center" vertical="center"/>
    </xf>
    <xf numFmtId="0" fontId="5" fillId="2" borderId="7" xfId="1" applyFont="1" applyFill="1" applyBorder="1"/>
    <xf numFmtId="0" fontId="4" fillId="2" borderId="7" xfId="1" applyFill="1" applyBorder="1"/>
    <xf numFmtId="0" fontId="4" fillId="0" borderId="0" xfId="1"/>
    <xf numFmtId="0" fontId="4" fillId="4" borderId="7" xfId="1" applyFill="1" applyBorder="1"/>
    <xf numFmtId="166" fontId="4" fillId="0" borderId="7" xfId="1" applyNumberFormat="1" applyBorder="1"/>
    <xf numFmtId="0" fontId="5" fillId="5" borderId="7" xfId="1" applyFont="1" applyFill="1" applyBorder="1"/>
    <xf numFmtId="0" fontId="4" fillId="5" borderId="7" xfId="1" applyFill="1" applyBorder="1"/>
    <xf numFmtId="0" fontId="4" fillId="0" borderId="7" xfId="1" applyBorder="1"/>
    <xf numFmtId="9" fontId="0" fillId="0" borderId="7" xfId="2" applyFont="1" applyBorder="1"/>
    <xf numFmtId="9" fontId="0" fillId="0" borderId="0" xfId="2" applyFont="1" applyBorder="1"/>
    <xf numFmtId="0" fontId="6" fillId="0" borderId="7" xfId="1" applyFont="1" applyBorder="1" applyAlignment="1">
      <alignment horizontal="left"/>
    </xf>
    <xf numFmtId="167" fontId="4" fillId="0" borderId="0" xfId="1" applyNumberFormat="1"/>
    <xf numFmtId="9" fontId="0" fillId="0" borderId="0" xfId="2" applyFont="1"/>
    <xf numFmtId="0" fontId="6" fillId="6" borderId="8" xfId="1" applyFont="1" applyFill="1" applyBorder="1" applyAlignment="1">
      <alignment horizontal="left"/>
    </xf>
    <xf numFmtId="168" fontId="4" fillId="0" borderId="7" xfId="1" applyNumberFormat="1" applyBorder="1"/>
    <xf numFmtId="0" fontId="6" fillId="7" borderId="8" xfId="1" applyFont="1" applyFill="1" applyBorder="1" applyAlignment="1">
      <alignment horizontal="left"/>
    </xf>
    <xf numFmtId="0" fontId="6" fillId="8" borderId="8" xfId="1" applyFont="1" applyFill="1" applyBorder="1" applyAlignment="1">
      <alignment horizontal="left"/>
    </xf>
    <xf numFmtId="0" fontId="7" fillId="0" borderId="0" xfId="1" applyFont="1"/>
    <xf numFmtId="167" fontId="7" fillId="0" borderId="0" xfId="1" applyNumberFormat="1" applyFont="1"/>
    <xf numFmtId="0" fontId="4" fillId="0" borderId="9" xfId="1" applyBorder="1"/>
    <xf numFmtId="168" fontId="4" fillId="0" borderId="9" xfId="1" applyNumberFormat="1" applyBorder="1"/>
    <xf numFmtId="0" fontId="4" fillId="0" borderId="7" xfId="1" applyBorder="1" applyAlignment="1">
      <alignment horizontal="left"/>
    </xf>
    <xf numFmtId="0" fontId="5" fillId="5" borderId="7" xfId="1" applyFont="1" applyFill="1" applyBorder="1" applyAlignment="1">
      <alignment horizontal="left"/>
    </xf>
    <xf numFmtId="0" fontId="4" fillId="5" borderId="0" xfId="1" applyFill="1"/>
    <xf numFmtId="0" fontId="4" fillId="0" borderId="7" xfId="1" applyBorder="1" applyAlignment="1">
      <alignment horizontal="left" indent="1"/>
    </xf>
    <xf numFmtId="0" fontId="4" fillId="0" borderId="10" xfId="1" applyBorder="1"/>
    <xf numFmtId="167" fontId="4" fillId="0" borderId="7" xfId="1" applyNumberFormat="1" applyBorder="1"/>
    <xf numFmtId="167" fontId="4" fillId="0" borderId="10" xfId="1" applyNumberFormat="1" applyBorder="1"/>
    <xf numFmtId="0" fontId="8" fillId="0" borderId="7" xfId="1" applyFont="1" applyBorder="1"/>
    <xf numFmtId="0" fontId="9" fillId="0" borderId="7" xfId="1" applyFont="1" applyBorder="1" applyAlignment="1">
      <alignment horizontal="left" vertical="center" indent="3"/>
    </xf>
    <xf numFmtId="0" fontId="9" fillId="0" borderId="7" xfId="1" applyFont="1" applyBorder="1" applyAlignment="1">
      <alignment horizontal="left" vertical="center" indent="2"/>
    </xf>
    <xf numFmtId="0" fontId="9" fillId="0" borderId="0" xfId="1" applyFont="1" applyAlignment="1">
      <alignment horizontal="left" vertical="center" indent="2"/>
    </xf>
    <xf numFmtId="0" fontId="0" fillId="9" borderId="0" xfId="0" applyFill="1"/>
    <xf numFmtId="0" fontId="4" fillId="10" borderId="7" xfId="1" applyFill="1" applyBorder="1"/>
    <xf numFmtId="0" fontId="4" fillId="10" borderId="0" xfId="1" applyFill="1"/>
    <xf numFmtId="0" fontId="6" fillId="10" borderId="7" xfId="1" applyFont="1" applyFill="1" applyBorder="1" applyAlignment="1">
      <alignment horizontal="left"/>
    </xf>
    <xf numFmtId="0" fontId="1" fillId="0" borderId="7" xfId="1" applyFont="1" applyBorder="1"/>
    <xf numFmtId="0" fontId="1" fillId="0" borderId="7" xfId="1" quotePrefix="1" applyFont="1" applyBorder="1"/>
    <xf numFmtId="166" fontId="5" fillId="0" borderId="9" xfId="1" applyNumberFormat="1" applyFont="1" applyBorder="1"/>
    <xf numFmtId="0" fontId="5" fillId="0" borderId="7" xfId="1" applyFont="1" applyBorder="1"/>
    <xf numFmtId="9" fontId="4" fillId="0" borderId="0" xfId="1" applyNumberFormat="1"/>
    <xf numFmtId="164" fontId="4" fillId="0" borderId="0" xfId="1" applyNumberFormat="1"/>
    <xf numFmtId="169" fontId="4" fillId="0" borderId="0" xfId="1" applyNumberFormat="1"/>
    <xf numFmtId="0" fontId="1" fillId="10" borderId="7" xfId="1" applyFont="1" applyFill="1" applyBorder="1"/>
  </cellXfs>
  <cellStyles count="3">
    <cellStyle name="Normal" xfId="0" builtinId="0"/>
    <cellStyle name="Normal 2" xfId="1" xr:uid="{0FD7E54B-E118-5B4A-951F-CDC54BA1BFC4}"/>
    <cellStyle name="Per cent 2" xfId="2" xr:uid="{A05FDE00-1706-A64B-A4DD-DFE199E199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65617</xdr:colOff>
      <xdr:row>9</xdr:row>
      <xdr:rowOff>148166</xdr:rowOff>
    </xdr:from>
    <xdr:to>
      <xdr:col>9</xdr:col>
      <xdr:colOff>345750</xdr:colOff>
      <xdr:row>19</xdr:row>
      <xdr:rowOff>13483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289E45-A05B-4603-AB1E-9E2D99169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84817" y="1858433"/>
          <a:ext cx="3870000" cy="174491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penboxsoftwareweb.sharepoint.com/sites/GraingerPLC/Project%20Documents/UAT%20Refresh/Grainger%20-%20UAT%20Refresh%20-%20Effort%20Estimate.xlsx" TargetMode="External"/><Relationship Id="rId1" Type="http://schemas.openxmlformats.org/officeDocument/2006/relationships/externalLinkPath" Target="/sites/GraingerPLC/Project%20Documents/UAT%20Refresh/Grainger%20-%20UAT%20Refresh%20-%20Effort%20Estim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tomation Questionnaire"/>
      <sheetName val="HLQ"/>
      <sheetName val="ROI"/>
      <sheetName val="2 Week Sprint"/>
      <sheetName val="Lookups"/>
      <sheetName val="Custom Automation HLQ"/>
      <sheetName val="Delivery Cost Estimate"/>
      <sheetName val="Effort Estimate"/>
      <sheetName val="Project PTA Task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haun Barrett" id="{535A76E2-10C2-A848-919D-3D35783D41A4}" userId="S::sbarrett@openboxsoftware.com::2e21295b-21c9-4734-b4c8-23b29a1a1ba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" dT="2022-01-18T14:35:10.05" personId="{535A76E2-10C2-A848-919D-3D35783D41A4}" id="{CA24130B-2BA6-4FC6-8E72-B840D7542037}">
    <text>Remove if Analysis estimate</text>
  </threadedComment>
  <threadedComment ref="B40" dT="2022-01-18T14:22:49.37" personId="{535A76E2-10C2-A848-919D-3D35783D41A4}" id="{68A9C62C-5ECD-49F6-B715-2F7D872505BA}">
    <text>For example:
- There will only be 1 environment - Produciton. This may impact support and live use. 
- This will be a supervised solution (ie user will need to be logged in)
- Project will be billed T&amp;M @ a rate of xxx
- Client will add a user with the appropriate licenses in Azure AD - (Power Automate RPA)
- Licensing is $40 p/m per environment (Power Automate with RPA)
- Production support xxx
- A new account will be set up for the Automation to access xxxx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" dT="2022-01-18T14:35:10.05" personId="{535A76E2-10C2-A848-919D-3D35783D41A4}" id="{9B472CFD-DE28-E841-9F34-AAF842875092}">
    <text>Remove if Analysis estimate</text>
  </threadedComment>
  <threadedComment ref="B39" dT="2022-01-18T14:22:49.37" personId="{535A76E2-10C2-A848-919D-3D35783D41A4}" id="{5916C73C-BA1E-F84F-B64B-56145CB48A26}">
    <text>For example:
- There will only be 1 environment - Produciton. This may impact support and live use. 
- This will be a supervised solution (ie user will need to be logged in)
- Project will be billed T&amp;M @ a rate of xxx
- Client will add a user with the appropriate licenses in Azure AD - (Power Automate RPA)
- Licensing is $40 p/m per environment (Power Automate with RPA)
- Production support xxx
- A new account will be set up for the Automation to access xxxx</text>
  </threadedComment>
  <threadedComment ref="B42" dT="2022-01-18T14:22:49.37" personId="{535A76E2-10C2-A848-919D-3D35783D41A4}" id="{035FFF74-9FC4-E84B-9B1A-E896E3D4F85F}">
    <text>For example:
- There will only be 1 environment - Produciton. This may impact support and live use. 
- This will be a supervised solution (ie user will need to be logged in)
- Project will be billed T&amp;M @ a rate of xxx
- Client will add a user with the appropriate licenses in Azure AD - (Power Automate RPA)
- Licensing is $40 p/m per environment (Power Automate with RPA)
- Production support xxx
- A new account will be set up for the Automation to access xxxx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03F8-2A20-4547-887C-D6CE78F435A7}">
  <dimension ref="A2:R50"/>
  <sheetViews>
    <sheetView zoomScale="80" zoomScaleNormal="80" workbookViewId="0">
      <selection activeCell="I35" sqref="I35"/>
    </sheetView>
  </sheetViews>
  <sheetFormatPr defaultColWidth="8.875" defaultRowHeight="15" x14ac:dyDescent="0.25"/>
  <cols>
    <col min="1" max="1" width="18.125" style="12" bestFit="1" customWidth="1"/>
    <col min="2" max="2" width="83.375" style="12" bestFit="1" customWidth="1"/>
    <col min="3" max="3" width="10.5" style="12" bestFit="1" customWidth="1"/>
    <col min="4" max="4" width="17.375" style="12" bestFit="1" customWidth="1"/>
    <col min="5" max="5" width="5.125" style="12" bestFit="1" customWidth="1"/>
    <col min="6" max="6" width="6.875" style="12" bestFit="1" customWidth="1"/>
    <col min="7" max="7" width="6.5" style="12" customWidth="1"/>
    <col min="8" max="8" width="18.125" style="12" bestFit="1" customWidth="1"/>
    <col min="9" max="9" width="16.25" style="12" bestFit="1" customWidth="1"/>
    <col min="10" max="10" width="16.25" style="12" customWidth="1"/>
    <col min="11" max="12" width="11" style="12" bestFit="1" customWidth="1"/>
    <col min="13" max="14" width="8.875" style="12"/>
    <col min="15" max="15" width="25.125" style="12" bestFit="1" customWidth="1"/>
    <col min="16" max="16" width="10" style="12" bestFit="1" customWidth="1"/>
    <col min="17" max="17" width="12.5" style="12" bestFit="1" customWidth="1"/>
    <col min="18" max="18" width="12.625" style="12" bestFit="1" customWidth="1"/>
    <col min="19" max="16384" width="8.875" style="12"/>
  </cols>
  <sheetData>
    <row r="2" spans="1:18" x14ac:dyDescent="0.25">
      <c r="A2" s="10" t="s">
        <v>0</v>
      </c>
      <c r="B2" s="10" t="s">
        <v>1</v>
      </c>
      <c r="C2" s="11"/>
      <c r="D2" s="10" t="s">
        <v>2</v>
      </c>
      <c r="E2" s="10" t="s">
        <v>3</v>
      </c>
      <c r="F2" s="10" t="s">
        <v>4</v>
      </c>
      <c r="H2" s="13" t="s">
        <v>5</v>
      </c>
      <c r="I2" s="14">
        <v>120</v>
      </c>
    </row>
    <row r="3" spans="1:18" ht="15.75" x14ac:dyDescent="0.25">
      <c r="A3" s="15" t="s">
        <v>6</v>
      </c>
      <c r="B3" s="16"/>
      <c r="C3" s="16"/>
      <c r="D3" s="16">
        <f>SUM(C4:C8)</f>
        <v>25</v>
      </c>
      <c r="E3" s="17"/>
      <c r="F3" s="17" t="s">
        <v>7</v>
      </c>
      <c r="H3" s="13" t="s">
        <v>8</v>
      </c>
      <c r="I3" s="18">
        <v>0.1</v>
      </c>
    </row>
    <row r="4" spans="1:18" ht="15.75" x14ac:dyDescent="0.25">
      <c r="A4" s="17"/>
      <c r="B4" s="12" t="s">
        <v>9</v>
      </c>
      <c r="C4" s="17">
        <v>4</v>
      </c>
      <c r="D4" s="17"/>
      <c r="E4" s="17"/>
      <c r="F4" s="17"/>
      <c r="H4" s="13" t="s">
        <v>10</v>
      </c>
      <c r="I4" s="18">
        <v>0.3</v>
      </c>
      <c r="K4" s="19"/>
    </row>
    <row r="5" spans="1:18" ht="15.75" x14ac:dyDescent="0.25">
      <c r="A5" s="17"/>
      <c r="B5" s="20" t="s">
        <v>11</v>
      </c>
      <c r="C5" s="17">
        <v>8</v>
      </c>
      <c r="D5" s="17"/>
      <c r="E5" s="17"/>
      <c r="F5" s="17"/>
      <c r="H5" s="19"/>
      <c r="I5" s="19"/>
      <c r="K5" s="19"/>
    </row>
    <row r="6" spans="1:18" ht="15.75" x14ac:dyDescent="0.25">
      <c r="A6" s="17"/>
      <c r="B6" s="17" t="s">
        <v>12</v>
      </c>
      <c r="C6" s="17">
        <v>8</v>
      </c>
      <c r="D6" s="17"/>
      <c r="E6" s="17"/>
      <c r="F6" s="17"/>
      <c r="I6" s="21"/>
      <c r="K6" s="22"/>
      <c r="P6" s="15" t="s">
        <v>13</v>
      </c>
      <c r="Q6" s="15" t="s">
        <v>14</v>
      </c>
      <c r="R6" s="15" t="s">
        <v>15</v>
      </c>
    </row>
    <row r="7" spans="1:18" x14ac:dyDescent="0.25">
      <c r="A7" s="17"/>
      <c r="B7" s="17" t="s">
        <v>16</v>
      </c>
      <c r="C7" s="17">
        <v>1</v>
      </c>
      <c r="D7" s="17"/>
      <c r="E7" s="17"/>
      <c r="F7" s="17"/>
      <c r="I7" s="10" t="s">
        <v>17</v>
      </c>
      <c r="J7" s="10" t="s">
        <v>15</v>
      </c>
      <c r="O7" s="23" t="s">
        <v>18</v>
      </c>
      <c r="P7" s="17">
        <v>8</v>
      </c>
      <c r="Q7" s="24">
        <f>(P7/P$10)*$I$11</f>
        <v>0</v>
      </c>
      <c r="R7" s="24">
        <f>(P7/P$10)*$J$11</f>
        <v>0</v>
      </c>
    </row>
    <row r="8" spans="1:18" x14ac:dyDescent="0.25">
      <c r="A8" s="17"/>
      <c r="B8" s="53" t="s">
        <v>19</v>
      </c>
      <c r="C8" s="43">
        <v>4</v>
      </c>
      <c r="D8" s="17"/>
      <c r="E8" s="17"/>
      <c r="F8" s="17"/>
      <c r="H8" s="17" t="s">
        <v>2</v>
      </c>
      <c r="I8" s="17">
        <f>D35*(I3+1)</f>
        <v>69.300000000000011</v>
      </c>
      <c r="J8" s="17">
        <f>I8*(I4+1)</f>
        <v>90.090000000000018</v>
      </c>
      <c r="O8" s="25" t="s">
        <v>20</v>
      </c>
      <c r="P8" s="17">
        <v>12</v>
      </c>
      <c r="Q8" s="24">
        <f>(P8/P$10)*$I$11</f>
        <v>0</v>
      </c>
      <c r="R8" s="24">
        <f>(P8/P$10)*$J$11</f>
        <v>0</v>
      </c>
    </row>
    <row r="9" spans="1:18" x14ac:dyDescent="0.25">
      <c r="A9" s="15" t="s">
        <v>21</v>
      </c>
      <c r="B9" s="15"/>
      <c r="C9" s="16"/>
      <c r="D9" s="16">
        <f>SUM(C10:C15)</f>
        <v>4</v>
      </c>
      <c r="E9" s="17"/>
      <c r="F9" s="17" t="s">
        <v>22</v>
      </c>
      <c r="H9" s="17" t="s">
        <v>23</v>
      </c>
      <c r="I9" s="14">
        <f>I8*I2</f>
        <v>8316.0000000000018</v>
      </c>
      <c r="J9" s="14">
        <f>J8*I2</f>
        <v>10810.800000000003</v>
      </c>
      <c r="K9" s="21"/>
      <c r="O9" s="26" t="s">
        <v>24</v>
      </c>
      <c r="P9" s="17">
        <v>4</v>
      </c>
      <c r="Q9" s="24">
        <f>(P9/P$10)*$I$11</f>
        <v>0</v>
      </c>
      <c r="R9" s="24">
        <f>(P9/P$10)*$J$11</f>
        <v>0</v>
      </c>
    </row>
    <row r="10" spans="1:18" ht="15.75" thickBot="1" x14ac:dyDescent="0.3">
      <c r="A10" s="17"/>
      <c r="B10" s="46" t="s">
        <v>25</v>
      </c>
      <c r="C10" s="17">
        <v>2</v>
      </c>
      <c r="D10" s="17"/>
      <c r="E10" s="17"/>
      <c r="F10" s="17"/>
      <c r="H10" s="27"/>
      <c r="I10" s="28"/>
      <c r="J10" s="28"/>
      <c r="O10" s="17"/>
      <c r="P10" s="29">
        <f>SUM(P7:P9)</f>
        <v>24</v>
      </c>
      <c r="Q10" s="30">
        <f>SUM(Q7:Q9)</f>
        <v>0</v>
      </c>
      <c r="R10" s="30">
        <f>SUM(R7:R9)</f>
        <v>0</v>
      </c>
    </row>
    <row r="11" spans="1:18" ht="15.75" thickTop="1" x14ac:dyDescent="0.25">
      <c r="A11" s="17"/>
      <c r="B11" s="53" t="s">
        <v>26</v>
      </c>
      <c r="C11" s="43">
        <v>2</v>
      </c>
      <c r="D11" s="17"/>
      <c r="E11" s="17"/>
      <c r="F11" s="17"/>
      <c r="H11" s="27"/>
      <c r="I11" s="28"/>
      <c r="J11" s="28"/>
    </row>
    <row r="12" spans="1:18" x14ac:dyDescent="0.25">
      <c r="A12" s="17"/>
      <c r="B12" s="20"/>
      <c r="C12" s="17"/>
      <c r="E12" s="17"/>
      <c r="F12" s="17"/>
      <c r="H12" s="10" t="s">
        <v>0</v>
      </c>
      <c r="I12" s="10" t="s">
        <v>27</v>
      </c>
      <c r="J12" s="10" t="s">
        <v>28</v>
      </c>
      <c r="K12" s="10" t="s">
        <v>14</v>
      </c>
      <c r="L12" s="10" t="s">
        <v>15</v>
      </c>
    </row>
    <row r="13" spans="1:18" x14ac:dyDescent="0.25">
      <c r="A13" s="17"/>
      <c r="B13" s="20"/>
      <c r="C13" s="17"/>
      <c r="D13" s="17"/>
      <c r="E13" s="17"/>
      <c r="F13" s="17"/>
      <c r="H13" s="15" t="s">
        <v>6</v>
      </c>
      <c r="I13" s="46">
        <v>25</v>
      </c>
      <c r="J13" s="17">
        <v>28</v>
      </c>
      <c r="K13" s="14">
        <f>I13*I2</f>
        <v>3000</v>
      </c>
      <c r="L13" s="14">
        <f>J13*$I$2</f>
        <v>3360</v>
      </c>
    </row>
    <row r="14" spans="1:18" x14ac:dyDescent="0.25">
      <c r="A14" s="17"/>
      <c r="B14" s="31"/>
      <c r="C14" s="17"/>
      <c r="D14" s="17"/>
      <c r="E14" s="17"/>
      <c r="F14" s="17"/>
      <c r="H14" s="15" t="s">
        <v>21</v>
      </c>
      <c r="I14" s="47">
        <v>4</v>
      </c>
      <c r="J14" s="17">
        <v>5</v>
      </c>
      <c r="K14" s="14">
        <f>I14*I2</f>
        <v>480</v>
      </c>
      <c r="L14" s="14">
        <f>J14*$I$2</f>
        <v>600</v>
      </c>
    </row>
    <row r="15" spans="1:18" x14ac:dyDescent="0.25">
      <c r="A15" s="17"/>
      <c r="B15" s="17"/>
      <c r="C15" s="17"/>
      <c r="D15" s="17"/>
      <c r="E15" s="17"/>
      <c r="F15" s="17"/>
      <c r="H15" s="32" t="s">
        <v>29</v>
      </c>
      <c r="I15" s="17">
        <v>8</v>
      </c>
      <c r="J15" s="17">
        <v>9</v>
      </c>
      <c r="K15" s="14">
        <f>I15*I2</f>
        <v>960</v>
      </c>
      <c r="L15" s="14">
        <f>J15*$I$2</f>
        <v>1080</v>
      </c>
    </row>
    <row r="16" spans="1:18" x14ac:dyDescent="0.25">
      <c r="A16" s="32" t="s">
        <v>29</v>
      </c>
      <c r="B16" s="33"/>
      <c r="C16" s="16"/>
      <c r="D16" s="16">
        <f>SUM(C17:C20)</f>
        <v>8</v>
      </c>
      <c r="E16" s="17"/>
      <c r="F16" s="17"/>
      <c r="H16" s="15" t="s">
        <v>30</v>
      </c>
      <c r="I16" s="17">
        <v>10</v>
      </c>
      <c r="J16" s="17">
        <f>(I16*$I$3)+I16</f>
        <v>11</v>
      </c>
      <c r="K16" s="14">
        <f>I16*I2</f>
        <v>1200</v>
      </c>
      <c r="L16" s="14">
        <f>J16*$I$2</f>
        <v>1320</v>
      </c>
    </row>
    <row r="17" spans="1:12" x14ac:dyDescent="0.25">
      <c r="A17" s="17"/>
      <c r="B17" s="34" t="s">
        <v>31</v>
      </c>
      <c r="C17" s="17">
        <v>0</v>
      </c>
      <c r="D17" s="17"/>
      <c r="E17" s="17"/>
      <c r="F17" s="17"/>
      <c r="H17" s="15" t="s">
        <v>32</v>
      </c>
      <c r="I17" s="17">
        <v>16</v>
      </c>
      <c r="J17" s="17">
        <v>18</v>
      </c>
      <c r="K17" s="14">
        <f>I17*I2</f>
        <v>1920</v>
      </c>
      <c r="L17" s="14">
        <f>J17*$I$2</f>
        <v>2160</v>
      </c>
    </row>
    <row r="18" spans="1:12" ht="15.75" thickBot="1" x14ac:dyDescent="0.3">
      <c r="A18" s="17"/>
      <c r="B18" s="34" t="s">
        <v>33</v>
      </c>
      <c r="C18" s="17">
        <v>2</v>
      </c>
      <c r="D18" s="17"/>
      <c r="E18" s="17"/>
      <c r="F18" s="17"/>
      <c r="H18" s="15" t="s">
        <v>34</v>
      </c>
      <c r="I18" s="49">
        <f>SUM(I13:I17)</f>
        <v>63</v>
      </c>
      <c r="J18" s="49">
        <f>SUM(J13:J17)</f>
        <v>71</v>
      </c>
      <c r="K18" s="48">
        <f>SUM(K13:K17)</f>
        <v>7560</v>
      </c>
      <c r="L18" s="48">
        <f>SUM(L13:L17)</f>
        <v>8520</v>
      </c>
    </row>
    <row r="19" spans="1:12" ht="15.75" thickTop="1" x14ac:dyDescent="0.25">
      <c r="A19" s="17"/>
      <c r="B19" s="53" t="s">
        <v>35</v>
      </c>
      <c r="C19" s="44">
        <v>6</v>
      </c>
      <c r="D19" s="17"/>
      <c r="E19" s="17"/>
      <c r="F19" s="17"/>
    </row>
    <row r="20" spans="1:12" x14ac:dyDescent="0.25">
      <c r="A20" s="17"/>
      <c r="B20" s="17"/>
      <c r="C20" s="17"/>
      <c r="D20" s="17"/>
      <c r="E20" s="17"/>
      <c r="F20" s="17"/>
      <c r="I20" s="51"/>
      <c r="J20" s="52"/>
    </row>
    <row r="21" spans="1:12" x14ac:dyDescent="0.25">
      <c r="A21" s="15" t="s">
        <v>30</v>
      </c>
      <c r="B21" s="16"/>
      <c r="C21" s="16"/>
      <c r="D21" s="16">
        <f>SUM(C22:C28)</f>
        <v>10</v>
      </c>
      <c r="E21" s="17"/>
      <c r="F21" s="17"/>
      <c r="I21" s="50"/>
      <c r="J21" s="52"/>
    </row>
    <row r="22" spans="1:12" x14ac:dyDescent="0.25">
      <c r="A22" s="17"/>
      <c r="B22" s="12" t="s">
        <v>36</v>
      </c>
      <c r="C22" s="17">
        <v>4</v>
      </c>
      <c r="E22" s="17"/>
      <c r="F22" s="17"/>
      <c r="I22" s="50"/>
    </row>
    <row r="23" spans="1:12" x14ac:dyDescent="0.25">
      <c r="A23" s="17"/>
      <c r="B23" s="20" t="s">
        <v>37</v>
      </c>
      <c r="C23" s="17">
        <v>2</v>
      </c>
      <c r="D23" s="17"/>
      <c r="E23" s="17"/>
      <c r="F23" s="17"/>
    </row>
    <row r="24" spans="1:12" x14ac:dyDescent="0.25">
      <c r="A24" s="17"/>
      <c r="B24" s="20" t="s">
        <v>38</v>
      </c>
      <c r="C24" s="17">
        <v>4</v>
      </c>
      <c r="D24" s="17"/>
      <c r="E24" s="17"/>
      <c r="F24" s="17"/>
    </row>
    <row r="25" spans="1:12" x14ac:dyDescent="0.25">
      <c r="A25" s="17"/>
      <c r="B25" s="20"/>
      <c r="C25" s="17"/>
      <c r="D25" s="17"/>
      <c r="E25" s="17"/>
      <c r="F25" s="17"/>
    </row>
    <row r="26" spans="1:12" x14ac:dyDescent="0.25">
      <c r="A26" s="17"/>
      <c r="B26" s="20"/>
      <c r="C26" s="17"/>
      <c r="D26" s="17"/>
      <c r="E26" s="17"/>
      <c r="F26" s="17"/>
    </row>
    <row r="27" spans="1:12" x14ac:dyDescent="0.25">
      <c r="A27" s="17"/>
      <c r="B27" s="20"/>
      <c r="C27" s="17"/>
      <c r="D27" s="17"/>
      <c r="E27" s="17"/>
      <c r="F27" s="17"/>
    </row>
    <row r="28" spans="1:12" x14ac:dyDescent="0.25">
      <c r="A28" s="17"/>
      <c r="B28" s="20"/>
      <c r="C28" s="17"/>
      <c r="D28" s="17"/>
      <c r="E28" s="17"/>
      <c r="F28" s="17"/>
    </row>
    <row r="29" spans="1:12" x14ac:dyDescent="0.25">
      <c r="A29" s="15" t="s">
        <v>32</v>
      </c>
      <c r="B29" s="16"/>
      <c r="C29" s="16"/>
      <c r="D29" s="16">
        <f>SUM(C30:C34)</f>
        <v>16</v>
      </c>
      <c r="E29" s="17"/>
      <c r="F29" s="17"/>
    </row>
    <row r="30" spans="1:12" x14ac:dyDescent="0.25">
      <c r="A30" s="17"/>
      <c r="B30" s="20" t="s">
        <v>39</v>
      </c>
      <c r="C30" s="17">
        <v>10</v>
      </c>
      <c r="D30" s="17"/>
      <c r="E30" s="17"/>
      <c r="F30" s="17"/>
    </row>
    <row r="31" spans="1:12" x14ac:dyDescent="0.25">
      <c r="A31" s="17"/>
      <c r="B31" s="45" t="s">
        <v>40</v>
      </c>
      <c r="C31" s="43">
        <v>6</v>
      </c>
      <c r="D31" s="17"/>
      <c r="E31" s="17"/>
      <c r="F31" s="17"/>
    </row>
    <row r="32" spans="1:12" x14ac:dyDescent="0.25">
      <c r="A32" s="17"/>
      <c r="B32" s="20"/>
      <c r="C32" s="17"/>
      <c r="D32" s="17"/>
      <c r="E32" s="17"/>
      <c r="F32" s="17"/>
    </row>
    <row r="33" spans="1:6" x14ac:dyDescent="0.25">
      <c r="A33" s="17"/>
      <c r="B33" s="20"/>
      <c r="C33" s="17"/>
      <c r="D33" s="17"/>
      <c r="E33" s="17"/>
      <c r="F33" s="17"/>
    </row>
    <row r="34" spans="1:6" x14ac:dyDescent="0.25">
      <c r="A34" s="17"/>
      <c r="B34" s="17"/>
      <c r="C34" s="17"/>
      <c r="D34" s="17"/>
      <c r="E34" s="17"/>
      <c r="F34" s="17"/>
    </row>
    <row r="35" spans="1:6" ht="15.75" thickBot="1" x14ac:dyDescent="0.3">
      <c r="D35" s="35">
        <f>SUM(D3:D34)</f>
        <v>63</v>
      </c>
    </row>
    <row r="36" spans="1:6" ht="15.75" hidden="1" thickTop="1" x14ac:dyDescent="0.25"/>
    <row r="37" spans="1:6" ht="15.75" hidden="1" thickTop="1" x14ac:dyDescent="0.25">
      <c r="A37" s="17"/>
      <c r="B37" s="17"/>
      <c r="C37" s="36"/>
      <c r="D37" s="17"/>
      <c r="E37" s="36"/>
    </row>
    <row r="38" spans="1:6" ht="16.5" hidden="1" thickTop="1" thickBot="1" x14ac:dyDescent="0.3">
      <c r="E38" s="37">
        <f>SUM(E37:E37)</f>
        <v>0</v>
      </c>
    </row>
    <row r="39" spans="1:6" ht="15.75" hidden="1" thickTop="1" x14ac:dyDescent="0.25"/>
    <row r="40" spans="1:6" ht="15.75" hidden="1" thickTop="1" x14ac:dyDescent="0.25">
      <c r="B40" s="38" t="s">
        <v>41</v>
      </c>
    </row>
    <row r="41" spans="1:6" ht="15.75" hidden="1" thickTop="1" x14ac:dyDescent="0.25">
      <c r="B41" s="39"/>
    </row>
    <row r="42" spans="1:6" ht="15.75" thickTop="1" x14ac:dyDescent="0.25">
      <c r="B42" s="41"/>
    </row>
    <row r="43" spans="1:6" x14ac:dyDescent="0.25">
      <c r="B43" s="41"/>
    </row>
    <row r="44" spans="1:6" x14ac:dyDescent="0.25">
      <c r="B44" s="41"/>
    </row>
    <row r="45" spans="1:6" x14ac:dyDescent="0.25">
      <c r="B45" s="41"/>
    </row>
    <row r="46" spans="1:6" x14ac:dyDescent="0.25">
      <c r="B46" s="41"/>
    </row>
    <row r="47" spans="1:6" x14ac:dyDescent="0.25">
      <c r="B47" s="41"/>
    </row>
    <row r="48" spans="1:6" x14ac:dyDescent="0.25">
      <c r="B48" s="41"/>
    </row>
    <row r="49" spans="2:2" x14ac:dyDescent="0.25">
      <c r="B49" s="41"/>
    </row>
    <row r="50" spans="2:2" x14ac:dyDescent="0.25">
      <c r="B50" s="41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7B21-6FBA-924F-A1FD-73A9155B9EA8}">
  <dimension ref="A2:R49"/>
  <sheetViews>
    <sheetView tabSelected="1" zoomScale="90" zoomScaleNormal="90" workbookViewId="0">
      <selection activeCell="H33" sqref="H33"/>
    </sheetView>
  </sheetViews>
  <sheetFormatPr defaultColWidth="8.875" defaultRowHeight="15" x14ac:dyDescent="0.25"/>
  <cols>
    <col min="1" max="1" width="21.5" style="12" bestFit="1" customWidth="1"/>
    <col min="2" max="2" width="90" style="12" bestFit="1" customWidth="1"/>
    <col min="3" max="3" width="10.5" style="12" bestFit="1" customWidth="1"/>
    <col min="4" max="4" width="17.375" style="12" bestFit="1" customWidth="1"/>
    <col min="5" max="5" width="15.375" style="12" bestFit="1" customWidth="1"/>
    <col min="6" max="6" width="21.125" style="12" customWidth="1"/>
    <col min="7" max="7" width="6.5" style="12" customWidth="1"/>
    <col min="8" max="8" width="34.625" style="12" customWidth="1"/>
    <col min="9" max="9" width="12.5" style="12" bestFit="1" customWidth="1"/>
    <col min="10" max="10" width="15.625" style="12" customWidth="1"/>
    <col min="11" max="11" width="12.5" style="12" bestFit="1" customWidth="1"/>
    <col min="12" max="14" width="8.875" style="12"/>
    <col min="15" max="15" width="25.125" style="12" bestFit="1" customWidth="1"/>
    <col min="16" max="16" width="10" style="12" bestFit="1" customWidth="1"/>
    <col min="17" max="17" width="12.5" style="12" bestFit="1" customWidth="1"/>
    <col min="18" max="18" width="12.625" style="12" bestFit="1" customWidth="1"/>
    <col min="19" max="16384" width="8.875" style="12"/>
  </cols>
  <sheetData>
    <row r="2" spans="1:18" x14ac:dyDescent="0.25">
      <c r="A2" s="10" t="s">
        <v>0</v>
      </c>
      <c r="B2" s="10" t="s">
        <v>1</v>
      </c>
      <c r="C2" s="11"/>
      <c r="D2" s="10" t="s">
        <v>2</v>
      </c>
      <c r="E2" s="10" t="s">
        <v>3</v>
      </c>
      <c r="F2" s="10" t="s">
        <v>4</v>
      </c>
      <c r="H2" s="13" t="s">
        <v>5</v>
      </c>
      <c r="I2" s="14">
        <v>120</v>
      </c>
    </row>
    <row r="3" spans="1:18" ht="15.75" x14ac:dyDescent="0.25">
      <c r="A3" s="15" t="s">
        <v>6</v>
      </c>
      <c r="B3" s="16"/>
      <c r="C3" s="16"/>
      <c r="D3" s="16">
        <f>SUM(C4:C7)</f>
        <v>21</v>
      </c>
      <c r="E3" s="17"/>
      <c r="F3" s="17" t="s">
        <v>7</v>
      </c>
      <c r="H3" s="13" t="s">
        <v>8</v>
      </c>
      <c r="I3" s="18">
        <v>0.1</v>
      </c>
    </row>
    <row r="4" spans="1:18" ht="15.75" x14ac:dyDescent="0.25">
      <c r="A4" s="17"/>
      <c r="B4" s="12" t="s">
        <v>9</v>
      </c>
      <c r="C4" s="17">
        <v>4</v>
      </c>
      <c r="D4" s="17"/>
      <c r="E4" s="17"/>
      <c r="F4" s="17"/>
      <c r="H4" s="13" t="s">
        <v>10</v>
      </c>
      <c r="I4" s="18">
        <v>0.3</v>
      </c>
      <c r="K4" s="19"/>
    </row>
    <row r="5" spans="1:18" ht="15.75" x14ac:dyDescent="0.25">
      <c r="A5" s="17"/>
      <c r="B5" s="20" t="s">
        <v>11</v>
      </c>
      <c r="C5" s="17">
        <v>8</v>
      </c>
      <c r="D5" s="17"/>
      <c r="E5" s="17"/>
      <c r="F5" s="17"/>
      <c r="H5" s="19"/>
      <c r="I5" s="19"/>
      <c r="K5" s="19"/>
    </row>
    <row r="6" spans="1:18" ht="15.75" x14ac:dyDescent="0.25">
      <c r="A6" s="17"/>
      <c r="B6" s="12" t="s">
        <v>12</v>
      </c>
      <c r="C6" s="12">
        <v>8</v>
      </c>
      <c r="D6" s="17"/>
      <c r="E6" s="17"/>
      <c r="F6" s="17"/>
      <c r="I6" s="21"/>
      <c r="K6" s="22"/>
      <c r="P6" s="15" t="s">
        <v>13</v>
      </c>
      <c r="Q6" s="15" t="s">
        <v>14</v>
      </c>
      <c r="R6" s="15" t="s">
        <v>15</v>
      </c>
    </row>
    <row r="7" spans="1:18" x14ac:dyDescent="0.25">
      <c r="A7" s="17"/>
      <c r="B7" s="17" t="s">
        <v>16</v>
      </c>
      <c r="C7" s="17">
        <v>1</v>
      </c>
      <c r="D7" s="17"/>
      <c r="E7" s="17"/>
      <c r="F7" s="17"/>
      <c r="I7" s="10" t="s">
        <v>17</v>
      </c>
      <c r="J7" s="10" t="s">
        <v>15</v>
      </c>
      <c r="O7" s="23" t="s">
        <v>18</v>
      </c>
      <c r="P7" s="17">
        <v>8</v>
      </c>
      <c r="Q7" s="24">
        <f>(P7/P$10)*$I$11</f>
        <v>0</v>
      </c>
      <c r="R7" s="24">
        <f>(P7/P$10)*$J$11</f>
        <v>0</v>
      </c>
    </row>
    <row r="8" spans="1:18" x14ac:dyDescent="0.25">
      <c r="A8" s="15" t="s">
        <v>21</v>
      </c>
      <c r="B8" s="15"/>
      <c r="C8" s="16"/>
      <c r="D8" s="16">
        <f>SUM(C9:C14)</f>
        <v>2</v>
      </c>
      <c r="E8" s="17"/>
      <c r="F8" s="17" t="s">
        <v>22</v>
      </c>
      <c r="H8" s="17" t="s">
        <v>2</v>
      </c>
      <c r="I8" s="17">
        <f>D34*(I3+1)</f>
        <v>49.500000000000007</v>
      </c>
      <c r="J8" s="17">
        <f>I8*(I4+1)</f>
        <v>64.350000000000009</v>
      </c>
      <c r="O8" s="25" t="s">
        <v>20</v>
      </c>
      <c r="P8" s="17">
        <v>12</v>
      </c>
      <c r="Q8" s="24">
        <f>(P8/P$10)*$I$11</f>
        <v>0</v>
      </c>
      <c r="R8" s="24">
        <f>(P8/P$10)*$J$11</f>
        <v>0</v>
      </c>
    </row>
    <row r="9" spans="1:18" x14ac:dyDescent="0.25">
      <c r="A9" s="17"/>
      <c r="B9" s="12" t="s">
        <v>43</v>
      </c>
      <c r="C9" s="17">
        <v>2</v>
      </c>
      <c r="D9" s="17"/>
      <c r="E9" s="17"/>
      <c r="F9" s="17"/>
      <c r="H9" s="17" t="s">
        <v>23</v>
      </c>
      <c r="I9" s="14">
        <f>I8*I2</f>
        <v>5940.0000000000009</v>
      </c>
      <c r="J9" s="14">
        <f>J8*I2</f>
        <v>7722.0000000000009</v>
      </c>
      <c r="K9" s="21"/>
      <c r="O9" s="26" t="s">
        <v>24</v>
      </c>
      <c r="P9" s="17">
        <v>4</v>
      </c>
      <c r="Q9" s="24">
        <f>(P9/P$10)*$I$11</f>
        <v>0</v>
      </c>
      <c r="R9" s="24">
        <f>(P9/P$10)*$J$11</f>
        <v>0</v>
      </c>
    </row>
    <row r="10" spans="1:18" ht="15.75" thickBot="1" x14ac:dyDescent="0.3">
      <c r="A10" s="17"/>
      <c r="B10" s="20"/>
      <c r="C10" s="17"/>
      <c r="D10" s="17"/>
      <c r="E10" s="17"/>
      <c r="F10" s="17"/>
      <c r="H10" s="27"/>
      <c r="I10" s="28"/>
      <c r="J10" s="28"/>
      <c r="O10" s="17"/>
      <c r="P10" s="29">
        <f>SUM(P7:P9)</f>
        <v>24</v>
      </c>
      <c r="Q10" s="30">
        <f>SUM(Q7:Q9)</f>
        <v>0</v>
      </c>
      <c r="R10" s="30">
        <f>SUM(R7:R9)</f>
        <v>0</v>
      </c>
    </row>
    <row r="11" spans="1:18" ht="15.75" thickTop="1" x14ac:dyDescent="0.25">
      <c r="A11" s="17"/>
      <c r="B11" s="20"/>
      <c r="C11" s="17"/>
      <c r="E11" s="17"/>
      <c r="F11" s="17"/>
      <c r="H11" s="27"/>
      <c r="I11" s="28"/>
      <c r="J11" s="28"/>
    </row>
    <row r="12" spans="1:18" x14ac:dyDescent="0.25">
      <c r="A12" s="17"/>
      <c r="B12" s="20"/>
      <c r="C12" s="17"/>
      <c r="D12" s="17"/>
      <c r="E12" s="17"/>
      <c r="F12" s="17"/>
      <c r="H12" s="27"/>
      <c r="I12" s="28"/>
      <c r="J12" s="28"/>
    </row>
    <row r="13" spans="1:18" x14ac:dyDescent="0.25">
      <c r="A13" s="17"/>
      <c r="B13" s="31"/>
      <c r="C13" s="17"/>
      <c r="D13" s="17"/>
      <c r="E13" s="17"/>
      <c r="F13" s="17"/>
    </row>
    <row r="14" spans="1:18" x14ac:dyDescent="0.25">
      <c r="A14" s="17"/>
      <c r="B14" s="17"/>
      <c r="C14" s="17"/>
      <c r="D14" s="17"/>
      <c r="E14" s="17"/>
      <c r="F14" s="17"/>
    </row>
    <row r="15" spans="1:18" x14ac:dyDescent="0.25">
      <c r="A15" s="32" t="s">
        <v>29</v>
      </c>
      <c r="B15" s="33"/>
      <c r="C15" s="16"/>
      <c r="D15" s="16">
        <f>SUM(C16:C19)</f>
        <v>2</v>
      </c>
      <c r="E15" s="17"/>
      <c r="F15" s="17"/>
    </row>
    <row r="16" spans="1:18" x14ac:dyDescent="0.25">
      <c r="A16" s="17"/>
      <c r="B16" s="34" t="s">
        <v>31</v>
      </c>
      <c r="C16" s="17">
        <v>0</v>
      </c>
      <c r="D16" s="17"/>
      <c r="E16" s="17"/>
      <c r="F16" s="17"/>
    </row>
    <row r="17" spans="1:6" x14ac:dyDescent="0.25">
      <c r="A17" s="17"/>
      <c r="B17" s="34" t="s">
        <v>33</v>
      </c>
      <c r="C17" s="17">
        <v>2</v>
      </c>
      <c r="D17" s="17"/>
      <c r="E17" s="17"/>
      <c r="F17" s="17"/>
    </row>
    <row r="18" spans="1:6" x14ac:dyDescent="0.25">
      <c r="A18" s="17"/>
      <c r="D18" s="17"/>
      <c r="E18" s="17"/>
      <c r="F18" s="17"/>
    </row>
    <row r="19" spans="1:6" x14ac:dyDescent="0.25">
      <c r="A19" s="17"/>
      <c r="B19" s="17"/>
      <c r="C19" s="17"/>
      <c r="D19" s="17"/>
      <c r="E19" s="17"/>
      <c r="F19" s="17"/>
    </row>
    <row r="20" spans="1:6" x14ac:dyDescent="0.25">
      <c r="A20" s="15" t="s">
        <v>30</v>
      </c>
      <c r="B20" s="16"/>
      <c r="C20" s="16"/>
      <c r="D20" s="16">
        <f>SUM(C21:C27)</f>
        <v>10</v>
      </c>
      <c r="E20" s="17"/>
      <c r="F20" s="17"/>
    </row>
    <row r="21" spans="1:6" x14ac:dyDescent="0.25">
      <c r="A21" s="17"/>
      <c r="B21" s="12" t="s">
        <v>36</v>
      </c>
      <c r="C21" s="17">
        <v>4</v>
      </c>
      <c r="E21" s="17"/>
      <c r="F21" s="17"/>
    </row>
    <row r="22" spans="1:6" x14ac:dyDescent="0.25">
      <c r="A22" s="17"/>
      <c r="B22" s="20" t="s">
        <v>37</v>
      </c>
      <c r="C22" s="17">
        <v>2</v>
      </c>
      <c r="D22" s="17"/>
      <c r="E22" s="17"/>
      <c r="F22" s="17"/>
    </row>
    <row r="23" spans="1:6" x14ac:dyDescent="0.25">
      <c r="A23" s="17"/>
      <c r="B23" s="20" t="s">
        <v>38</v>
      </c>
      <c r="C23" s="17">
        <v>4</v>
      </c>
      <c r="D23" s="17"/>
      <c r="E23" s="17"/>
      <c r="F23" s="17"/>
    </row>
    <row r="24" spans="1:6" x14ac:dyDescent="0.25">
      <c r="A24" s="17"/>
      <c r="B24" s="20"/>
      <c r="C24" s="17"/>
      <c r="D24" s="17"/>
      <c r="E24" s="17"/>
      <c r="F24" s="17"/>
    </row>
    <row r="25" spans="1:6" x14ac:dyDescent="0.25">
      <c r="A25" s="17"/>
      <c r="B25" s="20"/>
      <c r="C25" s="17"/>
      <c r="D25" s="17"/>
      <c r="E25" s="17"/>
      <c r="F25" s="17"/>
    </row>
    <row r="26" spans="1:6" x14ac:dyDescent="0.25">
      <c r="A26" s="17"/>
      <c r="B26" s="20"/>
      <c r="C26" s="17"/>
      <c r="D26" s="17"/>
      <c r="E26" s="17"/>
      <c r="F26" s="17"/>
    </row>
    <row r="27" spans="1:6" x14ac:dyDescent="0.25">
      <c r="A27" s="17"/>
      <c r="B27" s="20"/>
      <c r="C27" s="17"/>
      <c r="D27" s="17"/>
      <c r="E27" s="17"/>
      <c r="F27" s="17"/>
    </row>
    <row r="28" spans="1:6" x14ac:dyDescent="0.25">
      <c r="A28" s="15" t="s">
        <v>32</v>
      </c>
      <c r="B28" s="16"/>
      <c r="C28" s="16"/>
      <c r="D28" s="16">
        <f>SUM(C29:C33)</f>
        <v>10</v>
      </c>
      <c r="E28" s="17"/>
      <c r="F28" s="17"/>
    </row>
    <row r="29" spans="1:6" x14ac:dyDescent="0.25">
      <c r="A29" s="17"/>
      <c r="B29" s="20" t="s">
        <v>44</v>
      </c>
      <c r="C29" s="17">
        <v>10</v>
      </c>
      <c r="D29" s="17"/>
      <c r="E29" s="17"/>
      <c r="F29" s="17"/>
    </row>
    <row r="30" spans="1:6" x14ac:dyDescent="0.25">
      <c r="A30" s="17"/>
      <c r="B30" s="20"/>
      <c r="C30" s="17"/>
      <c r="D30" s="17"/>
      <c r="E30" s="17"/>
      <c r="F30" s="17"/>
    </row>
    <row r="31" spans="1:6" x14ac:dyDescent="0.25">
      <c r="A31" s="17"/>
      <c r="B31" s="20"/>
      <c r="C31" s="17"/>
      <c r="D31" s="17"/>
      <c r="E31" s="17"/>
      <c r="F31" s="17"/>
    </row>
    <row r="32" spans="1:6" x14ac:dyDescent="0.25">
      <c r="A32" s="17"/>
      <c r="B32" s="20"/>
      <c r="C32" s="17"/>
      <c r="D32" s="17"/>
      <c r="E32" s="17"/>
      <c r="F32" s="17"/>
    </row>
    <row r="33" spans="1:6" x14ac:dyDescent="0.25">
      <c r="A33" s="17"/>
      <c r="B33" s="17"/>
      <c r="C33" s="17"/>
      <c r="D33" s="17"/>
      <c r="E33" s="17"/>
      <c r="F33" s="17"/>
    </row>
    <row r="34" spans="1:6" ht="15.75" thickBot="1" x14ac:dyDescent="0.3">
      <c r="D34" s="35">
        <f>SUM(D3:D33)</f>
        <v>45</v>
      </c>
    </row>
    <row r="35" spans="1:6" ht="15.75" thickTop="1" x14ac:dyDescent="0.25"/>
    <row r="36" spans="1:6" hidden="1" x14ac:dyDescent="0.25">
      <c r="A36" s="17"/>
      <c r="B36" s="17"/>
      <c r="C36" s="36"/>
      <c r="D36" s="17"/>
      <c r="E36" s="36"/>
    </row>
    <row r="37" spans="1:6" ht="15.75" hidden="1" thickBot="1" x14ac:dyDescent="0.3">
      <c r="E37" s="37">
        <f>SUM(E36:E36)</f>
        <v>0</v>
      </c>
    </row>
    <row r="38" spans="1:6" hidden="1" x14ac:dyDescent="0.25"/>
    <row r="39" spans="1:6" hidden="1" x14ac:dyDescent="0.25">
      <c r="B39" s="38" t="s">
        <v>41</v>
      </c>
    </row>
    <row r="40" spans="1:6" hidden="1" x14ac:dyDescent="0.25">
      <c r="B40" s="39"/>
    </row>
    <row r="41" spans="1:6" hidden="1" x14ac:dyDescent="0.25">
      <c r="B41" s="39"/>
    </row>
    <row r="42" spans="1:6" x14ac:dyDescent="0.25">
      <c r="B42" s="38" t="s">
        <v>42</v>
      </c>
    </row>
    <row r="43" spans="1:6" x14ac:dyDescent="0.25">
      <c r="B43" s="40"/>
    </row>
    <row r="44" spans="1:6" x14ac:dyDescent="0.25">
      <c r="B44" s="40"/>
    </row>
    <row r="45" spans="1:6" x14ac:dyDescent="0.25">
      <c r="B45" s="40"/>
    </row>
    <row r="46" spans="1:6" x14ac:dyDescent="0.25">
      <c r="B46" s="40"/>
    </row>
    <row r="47" spans="1:6" x14ac:dyDescent="0.25">
      <c r="B47" s="41"/>
    </row>
    <row r="48" spans="1:6" x14ac:dyDescent="0.25">
      <c r="B48" s="41"/>
    </row>
    <row r="49" spans="2:2" x14ac:dyDescent="0.25">
      <c r="B49" s="41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1DB89-51BC-CB41-8E68-0C3F95F21058}">
  <dimension ref="A1:F16"/>
  <sheetViews>
    <sheetView workbookViewId="0">
      <selection activeCell="C7" sqref="C7"/>
    </sheetView>
  </sheetViews>
  <sheetFormatPr defaultColWidth="11" defaultRowHeight="15.75" x14ac:dyDescent="0.25"/>
  <cols>
    <col min="1" max="1" width="10.875" style="42"/>
    <col min="2" max="2" width="15" customWidth="1"/>
    <col min="6" max="6" width="10.875" style="42"/>
  </cols>
  <sheetData>
    <row r="1" spans="2:5" s="42" customFormat="1" ht="16.5" thickBot="1" x14ac:dyDescent="0.3"/>
    <row r="2" spans="2:5" ht="26.25" thickBot="1" x14ac:dyDescent="0.3">
      <c r="B2" s="1" t="s">
        <v>0</v>
      </c>
      <c r="C2" s="2" t="s">
        <v>2</v>
      </c>
      <c r="D2" s="3" t="s">
        <v>14</v>
      </c>
      <c r="E2" s="3" t="s">
        <v>15</v>
      </c>
    </row>
    <row r="3" spans="2:5" ht="26.25" thickBot="1" x14ac:dyDescent="0.3">
      <c r="B3" s="6" t="s">
        <v>6</v>
      </c>
      <c r="C3" s="9" t="s">
        <v>45</v>
      </c>
      <c r="D3" s="7">
        <f>C10*120</f>
        <v>2400</v>
      </c>
      <c r="E3" s="7">
        <f>D10*120</f>
        <v>2640</v>
      </c>
    </row>
    <row r="4" spans="2:5" ht="16.5" thickBot="1" x14ac:dyDescent="0.3">
      <c r="B4" s="6" t="s">
        <v>21</v>
      </c>
      <c r="C4" s="9" t="s">
        <v>46</v>
      </c>
      <c r="D4" s="7">
        <f t="shared" ref="D4:E7" si="0">C11*120</f>
        <v>240</v>
      </c>
      <c r="E4" s="7">
        <f t="shared" si="0"/>
        <v>360</v>
      </c>
    </row>
    <row r="5" spans="2:5" ht="26.25" thickBot="1" x14ac:dyDescent="0.3">
      <c r="B5" s="6" t="s">
        <v>47</v>
      </c>
      <c r="C5" s="9" t="s">
        <v>48</v>
      </c>
      <c r="D5" s="7">
        <f t="shared" si="0"/>
        <v>1200</v>
      </c>
      <c r="E5" s="7">
        <f t="shared" si="0"/>
        <v>1440</v>
      </c>
    </row>
    <row r="6" spans="2:5" ht="26.25" thickBot="1" x14ac:dyDescent="0.3">
      <c r="B6" s="6" t="s">
        <v>49</v>
      </c>
      <c r="C6" s="9" t="s">
        <v>48</v>
      </c>
      <c r="D6" s="7">
        <f t="shared" si="0"/>
        <v>1200</v>
      </c>
      <c r="E6" s="7">
        <f t="shared" si="0"/>
        <v>1440</v>
      </c>
    </row>
    <row r="7" spans="2:5" ht="26.25" thickBot="1" x14ac:dyDescent="0.3">
      <c r="B7" s="6" t="s">
        <v>50</v>
      </c>
      <c r="C7" s="9" t="s">
        <v>46</v>
      </c>
      <c r="D7" s="7">
        <f t="shared" si="0"/>
        <v>240</v>
      </c>
      <c r="E7" s="7">
        <f t="shared" si="0"/>
        <v>360</v>
      </c>
    </row>
    <row r="8" spans="2:5" ht="16.5" thickBot="1" x14ac:dyDescent="0.3">
      <c r="B8" s="4" t="s">
        <v>34</v>
      </c>
      <c r="C8" s="5" t="str">
        <f>ROUND(C16,0)&amp;" - "&amp;ROUND(D16,0)</f>
        <v>44 - 52</v>
      </c>
      <c r="D8" s="8">
        <f>SUM(D3:D7)</f>
        <v>5280</v>
      </c>
      <c r="E8" s="8">
        <f>SUM(E3:E7)</f>
        <v>6240</v>
      </c>
    </row>
    <row r="9" spans="2:5" s="42" customFormat="1" ht="16.5" thickTop="1" x14ac:dyDescent="0.25"/>
    <row r="10" spans="2:5" x14ac:dyDescent="0.25">
      <c r="C10">
        <f>LEFT(C3,FIND("-",C3)-1)*1</f>
        <v>20</v>
      </c>
      <c r="D10">
        <f>MID(C3,FIND("-",C3)+1,LEN(C3)-FIND("-",C3)+1)*1</f>
        <v>22</v>
      </c>
    </row>
    <row r="11" spans="2:5" x14ac:dyDescent="0.25">
      <c r="C11">
        <f t="shared" ref="C11:C14" si="1">LEFT(C4,FIND("-",C4)-1)*1</f>
        <v>2</v>
      </c>
      <c r="D11">
        <f t="shared" ref="D11:D14" si="2">MID(C4,FIND("-",C4)+1,LEN(C4)-FIND("-",C4)+1)*1</f>
        <v>3</v>
      </c>
    </row>
    <row r="12" spans="2:5" x14ac:dyDescent="0.25">
      <c r="C12">
        <f t="shared" si="1"/>
        <v>10</v>
      </c>
      <c r="D12">
        <f t="shared" si="2"/>
        <v>12</v>
      </c>
    </row>
    <row r="13" spans="2:5" x14ac:dyDescent="0.25">
      <c r="C13">
        <f t="shared" si="1"/>
        <v>10</v>
      </c>
      <c r="D13">
        <f t="shared" si="2"/>
        <v>12</v>
      </c>
    </row>
    <row r="14" spans="2:5" x14ac:dyDescent="0.25">
      <c r="C14">
        <f t="shared" si="1"/>
        <v>2</v>
      </c>
      <c r="D14">
        <f t="shared" si="2"/>
        <v>3</v>
      </c>
    </row>
    <row r="16" spans="2:5" x14ac:dyDescent="0.25">
      <c r="C16">
        <f>SUM(C10:C14)</f>
        <v>44</v>
      </c>
      <c r="D16">
        <f>SUM(D10:D14)</f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03083B-4A21-424D-B3B9-F573B12850B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316BF4A5-F3E5-41F7-9AA3-07F53FD2AE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EAD39E-F8F2-4B13-B9B2-20218E8392DA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  <ds:schemaRef ds:uri="1ffbd5dc-7a64-4097-8396-87f6c90b212f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2C64003-5796-4C7D-870A-F1BC5AA925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Updated Effort Estimate</vt:lpstr>
      <vt:lpstr>Original Effort Estimate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Shaun Barrett</cp:lastModifiedBy>
  <cp:revision/>
  <dcterms:created xsi:type="dcterms:W3CDTF">2024-04-05T16:18:14Z</dcterms:created>
  <dcterms:modified xsi:type="dcterms:W3CDTF">2025-09-02T13:25:57Z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Client_x0020_Project">
    <vt:lpwstr/>
  </property>
  <property fmtid="{D5CDD505-2E9C-101B-9397-08002B2CF9AE}" pid="8" name="MediaServiceImageTags">
    <vt:lpwstr/>
  </property>
  <property fmtid="{D5CDD505-2E9C-101B-9397-08002B2CF9AE}" pid="9" name="Project_x0020_Document_x0020_Type">
    <vt:lpwstr>4;#Generic Project Document|258c2ed6-b93b-4ffe-8901-a23f2dc98ec9</vt:lpwstr>
  </property>
  <property fmtid="{D5CDD505-2E9C-101B-9397-08002B2CF9AE}" pid="10" name="lcf76f155ced4ddcb4097134ff3c332f">
    <vt:lpwstr/>
  </property>
</Properties>
</file>