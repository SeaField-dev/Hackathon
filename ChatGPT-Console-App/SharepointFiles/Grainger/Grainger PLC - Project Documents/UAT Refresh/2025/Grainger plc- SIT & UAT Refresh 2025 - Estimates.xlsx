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UAT Refresh/2025/"/>
    </mc:Choice>
  </mc:AlternateContent>
  <xr:revisionPtr revIDLastSave="545" documentId="8_{FBE3DEF7-5AEC-8A47-AB85-81D5D0E52365}" xr6:coauthVersionLast="47" xr6:coauthVersionMax="47" xr10:uidLastSave="{83740A2E-C805-4D90-962B-CF1EE354CBF4}"/>
  <bookViews>
    <workbookView xWindow="28680" yWindow="-120" windowWidth="29040" windowHeight="15720" activeTab="1" xr2:uid="{C759EEDD-7E8F-E643-AB5C-F2F158F0C2A6}"/>
  </bookViews>
  <sheets>
    <sheet name="2025 Effort Estimate" sheetId="3" r:id="rId1"/>
    <sheet name="2025 Timeline" sheetId="5" r:id="rId2"/>
    <sheet name="2024 Actuals" sheetId="4" r:id="rId3"/>
  </sheets>
  <externalReferences>
    <externalReference r:id="rId4"/>
  </externalReferences>
  <definedNames>
    <definedName name="AnalysisActuals">'[1]Delivery Cost Estimate'!$E$27</definedName>
    <definedName name="AnalysisEstimate">'[1]Delivery Cost Estimate'!$E$26</definedName>
    <definedName name="AnalysisHLQ">'[1]Delivery Cost Estimate'!$E$25</definedName>
    <definedName name="BlendedRateGBP">'[1]2 Week Sprint'!$I$8</definedName>
    <definedName name="BlendedRateUSD">'[1]2 Week Sprint'!$J$8</definedName>
    <definedName name="BuildActuals">'[1]Delivery Cost Estimate'!$E$41</definedName>
    <definedName name="BuildContingency_UnanticipatedComplexity">'[1]Delivery Cost Estimate'!$E$116</definedName>
    <definedName name="BuildDuration">'[1]Custom Automation HLQ'!$E$72</definedName>
    <definedName name="BuildEstimate">'[1]Delivery Cost Estimate'!$E$40</definedName>
    <definedName name="BuildHLQ">'[1]Delivery Cost Estimate'!$E$39</definedName>
    <definedName name="BuildSprints">'[1]Delivery Cost Estimate'!$D$99</definedName>
    <definedName name="CountDev">'[1]Delivery Cost Estimate'!$E$20</definedName>
    <definedName name="GoLiveSupportActuals">'[1]Delivery Cost Estimate'!$E$147</definedName>
    <definedName name="GoLiveSupportEstimate">'[1]Delivery Cost Estimate'!$E$146</definedName>
    <definedName name="GoLiveSupportHLQ">'[1]Delivery Cost Estimate'!$E$145</definedName>
    <definedName name="ProjectCostActuals">'[1]Delivery Cost Estimate'!$E$160</definedName>
    <definedName name="RangeDriver">'[1]Delivery Cost Estimate'!$E$13</definedName>
    <definedName name="SprintDuration">'[1]2 Week Sprint'!$C$2</definedName>
    <definedName name="SumFunctionalDevelopment">'[1]Delivery Cost Estimate'!$E$60</definedName>
    <definedName name="SumQA">'[1]Delivery Cost Estimate'!$E$91</definedName>
    <definedName name="SumTeamSize">'[1]Delivery Cost Estimate'!$E$18</definedName>
    <definedName name="UserAcceptanceTestingActuals">'[1]Delivery Cost Estimate'!$E$121</definedName>
    <definedName name="UserAcceptanceTestingEstimate">'[1]Delivery Cost Estimate'!$E$120</definedName>
    <definedName name="UserAcceptanceTestingHLQ">'[1]Delivery Cost Estimate'!$E$119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3" l="1"/>
  <c r="L25" i="3"/>
  <c r="L24" i="3"/>
  <c r="L23" i="3"/>
  <c r="M26" i="3"/>
  <c r="M25" i="3"/>
  <c r="M24" i="3"/>
  <c r="M23" i="3"/>
  <c r="E37" i="4"/>
  <c r="D28" i="4"/>
  <c r="D20" i="4"/>
  <c r="I17" i="4"/>
  <c r="L16" i="4"/>
  <c r="K16" i="4"/>
  <c r="K15" i="4"/>
  <c r="J15" i="4"/>
  <c r="L15" i="4" s="1"/>
  <c r="D15" i="4"/>
  <c r="L14" i="4"/>
  <c r="K14" i="4"/>
  <c r="L13" i="4"/>
  <c r="K13" i="4"/>
  <c r="K17" i="4" s="1"/>
  <c r="L12" i="4"/>
  <c r="K12" i="4"/>
  <c r="P9" i="4"/>
  <c r="Q8" i="4" s="1"/>
  <c r="D8" i="4"/>
  <c r="D2" i="4"/>
  <c r="D34" i="4" s="1"/>
  <c r="I7" i="4" s="1"/>
  <c r="J17" i="4" l="1"/>
  <c r="L17" i="4"/>
  <c r="R8" i="4"/>
  <c r="I8" i="4"/>
  <c r="J7" i="4"/>
  <c r="J8" i="4" s="1"/>
  <c r="Q6" i="4"/>
  <c r="R6" i="4"/>
  <c r="R7" i="4"/>
  <c r="Q7" i="4"/>
  <c r="R9" i="4" l="1"/>
  <c r="Q9" i="4"/>
  <c r="D3" i="3"/>
  <c r="J13" i="3" s="1"/>
  <c r="D23" i="3"/>
  <c r="J17" i="3" s="1"/>
  <c r="D18" i="3"/>
  <c r="J16" i="3" s="1"/>
  <c r="D13" i="3"/>
  <c r="J15" i="3" s="1"/>
  <c r="Q10" i="3"/>
  <c r="R9" i="3" s="1"/>
  <c r="D9" i="3"/>
  <c r="J14" i="3" s="1"/>
  <c r="L14" i="3" s="1"/>
  <c r="J27" i="3" l="1"/>
  <c r="L27" i="3" s="1"/>
  <c r="K17" i="3"/>
  <c r="L17" i="3"/>
  <c r="K15" i="3"/>
  <c r="J25" i="3"/>
  <c r="J24" i="3"/>
  <c r="K14" i="3"/>
  <c r="R8" i="3"/>
  <c r="S9" i="3"/>
  <c r="J26" i="3"/>
  <c r="K16" i="3"/>
  <c r="D27" i="3"/>
  <c r="J8" i="3" s="1"/>
  <c r="J9" i="3" s="1"/>
  <c r="L15" i="3"/>
  <c r="R7" i="3"/>
  <c r="R10" i="3" s="1"/>
  <c r="L16" i="3"/>
  <c r="S7" i="3"/>
  <c r="S10" i="3" s="1"/>
  <c r="S8" i="3"/>
  <c r="J23" i="3" l="1"/>
  <c r="L13" i="3"/>
  <c r="L18" i="3" s="1"/>
  <c r="K13" i="3"/>
  <c r="J18" i="3"/>
  <c r="K25" i="3"/>
  <c r="M15" i="3"/>
  <c r="K27" i="3"/>
  <c r="M27" i="3" s="1"/>
  <c r="M17" i="3"/>
  <c r="K26" i="3"/>
  <c r="M16" i="3"/>
  <c r="K24" i="3"/>
  <c r="M14" i="3"/>
  <c r="K8" i="3"/>
  <c r="K9" i="3" s="1"/>
  <c r="K23" i="3" l="1"/>
  <c r="M13" i="3"/>
  <c r="M18" i="3" s="1"/>
  <c r="K18" i="3"/>
  <c r="J28" i="3"/>
  <c r="L28" i="3"/>
  <c r="K28" i="3" l="1"/>
  <c r="M2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tc={CA24130B-2BA6-4FC6-8E72-B840D7542037}</author>
  </authors>
  <commentList>
    <comment ref="I4" authorId="0" shapeId="0" xr:uid="{CA24130B-2BA6-4FC6-8E72-B840D75420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 if Analysis estimate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tc={5BF9A6CD-C70D-4F7B-A6A1-FE0716427D39}</author>
    <author>tc={E96DF191-CBDD-42B0-9D9E-2FA6CA1CF6E0}</author>
  </authors>
  <commentList>
    <comment ref="H3" authorId="0" shapeId="0" xr:uid="{5BF9A6CD-C70D-4F7B-A6A1-FE0716427D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 if Analysis estimate</t>
      </text>
    </comment>
    <comment ref="B39" authorId="1" shapeId="0" xr:uid="{E96DF191-CBDD-42B0-9D9E-2FA6CA1CF6E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example:
- There will only be 1 environment - Produciton. This may impact support and live use. 
- This will be a supervised solution (ie user will need to be logged in)
- Project will be billed T&amp;M @ a rate of xxx
- Client will add a user with the appropriate licenses in Azure AD - (Power Automate RPA)
- Licensing is $40 p/m per environment (Power Automate with RPA)
- Production support xxx
- A new account will be set up for the Automation to access xxxx</t>
      </text>
    </comment>
  </commentList>
</comments>
</file>

<file path=xl/sharedStrings.xml><?xml version="1.0" encoding="utf-8"?>
<sst xmlns="http://schemas.openxmlformats.org/spreadsheetml/2006/main" count="150" uniqueCount="60">
  <si>
    <t>Phase</t>
  </si>
  <si>
    <t>Task</t>
  </si>
  <si>
    <t>Hours</t>
  </si>
  <si>
    <t>%</t>
  </si>
  <si>
    <t>Notes</t>
  </si>
  <si>
    <t>Rate</t>
  </si>
  <si>
    <t>Pre-Refresh Analysis</t>
  </si>
  <si>
    <t>1 week</t>
  </si>
  <si>
    <t>Contingency</t>
  </si>
  <si>
    <t>Planning with Grainger across all connected systems</t>
  </si>
  <si>
    <t>Range Driver</t>
  </si>
  <si>
    <t>Identify all Salesforce integrations/applications that require post refresh action &amp; document refresh steps</t>
  </si>
  <si>
    <t>Dev Hours</t>
  </si>
  <si>
    <t>Lower Bound</t>
  </si>
  <si>
    <t>Upper Bound</t>
  </si>
  <si>
    <t>Backup of SIT and UAT configuraiton in version control</t>
  </si>
  <si>
    <t>Lower bound</t>
  </si>
  <si>
    <t>Email Alerts - Logic Apps</t>
  </si>
  <si>
    <t>Meetings and alignment</t>
  </si>
  <si>
    <t>Default Tags - Custom Web</t>
  </si>
  <si>
    <t>Refresh</t>
  </si>
  <si>
    <t>3 weeks</t>
  </si>
  <si>
    <t>Cost</t>
  </si>
  <si>
    <t>Wachlist - Custom Web</t>
  </si>
  <si>
    <t>Refresh UAT sandboxes (templates, monitoring progress, activation)</t>
  </si>
  <si>
    <t>Refresh SIT sandboxes (templates, monitoring progress, activation)</t>
  </si>
  <si>
    <t>Hours Lower Bound</t>
  </si>
  <si>
    <t>Hours Upper Bound</t>
  </si>
  <si>
    <t>Project Admin Phase</t>
  </si>
  <si>
    <t>Post Refresh Updates</t>
  </si>
  <si>
    <t>Team familiarization</t>
  </si>
  <si>
    <t>End-to-end Testing</t>
  </si>
  <si>
    <t>Project Management</t>
  </si>
  <si>
    <t>Total</t>
  </si>
  <si>
    <t>Client Meetings and alignment</t>
  </si>
  <si>
    <t>Obfuscation of customer emails (and other PII data if required) - SIT &amp; UAT</t>
  </si>
  <si>
    <t>Update of endpoints for HomeLet, RightMove, Grainger Website API - SIT &amp; UAT</t>
  </si>
  <si>
    <t>End-to-end testing - UAT</t>
  </si>
  <si>
    <t>End-to-end testing - SIT</t>
  </si>
  <si>
    <t>Assupmtions</t>
  </si>
  <si>
    <t>Assitance with Grainger integration setup (Conga, AdobeSign, GREP, Letting portal etc.) - SIT</t>
  </si>
  <si>
    <t>Update current Playbook - SIT &amp; UAT</t>
  </si>
  <si>
    <t>Client Version</t>
  </si>
  <si>
    <t>Internal Version</t>
  </si>
  <si>
    <t>Playbook document creation</t>
  </si>
  <si>
    <t>Assitance with Grainger integration setup (Conga, AdobeSign, GREP, Letting portal etc.)</t>
  </si>
  <si>
    <t>over 3 weeks</t>
  </si>
  <si>
    <t>3 weeks?</t>
  </si>
  <si>
    <t>Mon</t>
  </si>
  <si>
    <t>Tue</t>
  </si>
  <si>
    <t>Wed</t>
  </si>
  <si>
    <t>Thu</t>
  </si>
  <si>
    <t>Fri</t>
  </si>
  <si>
    <t>Sat</t>
  </si>
  <si>
    <t>Sun</t>
  </si>
  <si>
    <t>Analysis</t>
  </si>
  <si>
    <t>UAT available</t>
  </si>
  <si>
    <t>SIT Refresh (SIT unavailable)</t>
  </si>
  <si>
    <t>UAT Refresh (UAT unavailable)</t>
  </si>
  <si>
    <t>SIT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</si>
</sst>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[$£-809]* #,##0.00_-;\-[$£-809]* #,##0.00_-;_-[$£-809]* &quot;-&quot;??_-;_-@_-"/>
    <numFmt numFmtId="166" formatCode="_-[$$-409]* #,##0.00_ ;_-[$$-409]* \-#,##0.00\ ;_-[$$-409]* &quot;-&quot;??_ ;_-@_ "/>
    <numFmt numFmtId="167" formatCode="_([$$-409]* #,##0.00_);_([$$-409]* \(#,##0.00\);_([$$-409]* &quot;-&quot;??_);_(@_)"/>
    <numFmt numFmtId="168" formatCode="_(* #,##0_);_(* \(#,##0\);_(* &quot;-&quot;??_);_(@_)"/>
  </numFmts>
  <fonts count="1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9"/>
      <color rgb="FF000000"/>
      <name val="Verdana"/>
      <family val="2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9" fontId="4" fillId="0" borderId="0" applyFont="0" applyFill="0" applyBorder="0" applyAlignment="0" applyProtection="0"/>
  </cellStyleXfs>
  <cellXfs count="75">
    <xf numFmtId="0" fontId="0" fillId="0" borderId="0" xfId="0"/>
    <xf numFmtId="0" fontId="5" fillId="2" borderId="1" xfId="1" applyFont="1" applyFill="1" applyBorder="1"/>
    <xf numFmtId="0" fontId="4" fillId="2" borderId="1" xfId="1" applyFill="1" applyBorder="1"/>
    <xf numFmtId="0" fontId="4" fillId="0" borderId="0" xfId="1"/>
    <xf numFmtId="0" fontId="4" fillId="3" borderId="1" xfId="1" applyFill="1" applyBorder="1"/>
    <xf numFmtId="165" fontId="4" fillId="0" borderId="1" xfId="1" applyNumberFormat="1" applyBorder="1"/>
    <xf numFmtId="0" fontId="5" fillId="4" borderId="1" xfId="1" applyFont="1" applyFill="1" applyBorder="1"/>
    <xf numFmtId="0" fontId="4" fillId="4" borderId="1" xfId="1" applyFill="1" applyBorder="1"/>
    <xf numFmtId="0" fontId="4" fillId="0" borderId="1" xfId="1" applyBorder="1"/>
    <xf numFmtId="9" fontId="0" fillId="0" borderId="1" xfId="2" applyFont="1" applyBorder="1"/>
    <xf numFmtId="9" fontId="0" fillId="0" borderId="0" xfId="2" applyFont="1" applyBorder="1"/>
    <xf numFmtId="0" fontId="6" fillId="0" borderId="1" xfId="1" applyFont="1" applyBorder="1" applyAlignment="1">
      <alignment horizontal="left"/>
    </xf>
    <xf numFmtId="166" fontId="4" fillId="0" borderId="0" xfId="1" applyNumberFormat="1"/>
    <xf numFmtId="9" fontId="0" fillId="0" borderId="0" xfId="2" applyFont="1"/>
    <xf numFmtId="0" fontId="6" fillId="5" borderId="2" xfId="1" applyFont="1" applyFill="1" applyBorder="1" applyAlignment="1">
      <alignment horizontal="left"/>
    </xf>
    <xf numFmtId="167" fontId="4" fillId="0" borderId="1" xfId="1" applyNumberFormat="1" applyBorder="1"/>
    <xf numFmtId="0" fontId="6" fillId="6" borderId="2" xfId="1" applyFont="1" applyFill="1" applyBorder="1" applyAlignment="1">
      <alignment horizontal="left"/>
    </xf>
    <xf numFmtId="0" fontId="6" fillId="7" borderId="2" xfId="1" applyFont="1" applyFill="1" applyBorder="1" applyAlignment="1">
      <alignment horizontal="left"/>
    </xf>
    <xf numFmtId="0" fontId="7" fillId="0" borderId="0" xfId="1" applyFont="1"/>
    <xf numFmtId="166" fontId="7" fillId="0" borderId="0" xfId="1" applyNumberFormat="1" applyFont="1"/>
    <xf numFmtId="0" fontId="4" fillId="0" borderId="3" xfId="1" applyBorder="1"/>
    <xf numFmtId="167" fontId="4" fillId="0" borderId="3" xfId="1" applyNumberFormat="1" applyBorder="1"/>
    <xf numFmtId="0" fontId="4" fillId="0" borderId="1" xfId="1" applyBorder="1" applyAlignment="1">
      <alignment horizontal="left"/>
    </xf>
    <xf numFmtId="0" fontId="5" fillId="4" borderId="1" xfId="1" applyFont="1" applyFill="1" applyBorder="1" applyAlignment="1">
      <alignment horizontal="left"/>
    </xf>
    <xf numFmtId="0" fontId="4" fillId="4" borderId="0" xfId="1" applyFill="1"/>
    <xf numFmtId="0" fontId="4" fillId="0" borderId="1" xfId="1" applyBorder="1" applyAlignment="1">
      <alignment horizontal="left" indent="1"/>
    </xf>
    <xf numFmtId="0" fontId="4" fillId="0" borderId="4" xfId="1" applyBorder="1"/>
    <xf numFmtId="166" fontId="4" fillId="0" borderId="1" xfId="1" applyNumberFormat="1" applyBorder="1"/>
    <xf numFmtId="166" fontId="4" fillId="0" borderId="4" xfId="1" applyNumberFormat="1" applyBorder="1"/>
    <xf numFmtId="0" fontId="8" fillId="0" borderId="1" xfId="1" applyFont="1" applyBorder="1"/>
    <xf numFmtId="0" fontId="9" fillId="0" borderId="1" xfId="1" applyFont="1" applyBorder="1" applyAlignment="1">
      <alignment horizontal="left" vertical="center" indent="3"/>
    </xf>
    <xf numFmtId="0" fontId="9" fillId="0" borderId="0" xfId="1" applyFont="1" applyAlignment="1">
      <alignment horizontal="left" vertical="center" indent="2"/>
    </xf>
    <xf numFmtId="0" fontId="4" fillId="8" borderId="1" xfId="1" applyFill="1" applyBorder="1"/>
    <xf numFmtId="0" fontId="4" fillId="8" borderId="0" xfId="1" applyFill="1"/>
    <xf numFmtId="0" fontId="6" fillId="8" borderId="1" xfId="1" applyFont="1" applyFill="1" applyBorder="1" applyAlignment="1">
      <alignment horizontal="left"/>
    </xf>
    <xf numFmtId="0" fontId="3" fillId="0" borderId="1" xfId="1" applyFont="1" applyBorder="1"/>
    <xf numFmtId="165" fontId="5" fillId="0" borderId="3" xfId="1" applyNumberFormat="1" applyFont="1" applyBorder="1"/>
    <xf numFmtId="0" fontId="5" fillId="0" borderId="1" xfId="1" applyFont="1" applyBorder="1"/>
    <xf numFmtId="0" fontId="2" fillId="0" borderId="1" xfId="1" applyFont="1" applyBorder="1"/>
    <xf numFmtId="0" fontId="4" fillId="0" borderId="8" xfId="1" applyBorder="1"/>
    <xf numFmtId="0" fontId="4" fillId="0" borderId="9" xfId="1" applyBorder="1"/>
    <xf numFmtId="164" fontId="4" fillId="0" borderId="9" xfId="1" applyNumberFormat="1" applyBorder="1"/>
    <xf numFmtId="168" fontId="4" fillId="0" borderId="9" xfId="1" applyNumberFormat="1" applyBorder="1"/>
    <xf numFmtId="0" fontId="4" fillId="0" borderId="10" xfId="1" applyBorder="1"/>
    <xf numFmtId="0" fontId="4" fillId="0" borderId="11" xfId="1" applyBorder="1"/>
    <xf numFmtId="0" fontId="4" fillId="0" borderId="12" xfId="1" applyBorder="1"/>
    <xf numFmtId="0" fontId="4" fillId="0" borderId="13" xfId="1" applyBorder="1"/>
    <xf numFmtId="0" fontId="4" fillId="0" borderId="5" xfId="1" applyBorder="1"/>
    <xf numFmtId="165" fontId="4" fillId="0" borderId="5" xfId="1" applyNumberFormat="1" applyBorder="1"/>
    <xf numFmtId="0" fontId="4" fillId="0" borderId="14" xfId="1" applyBorder="1"/>
    <xf numFmtId="0" fontId="1" fillId="8" borderId="1" xfId="1" applyFont="1" applyFill="1" applyBorder="1"/>
    <xf numFmtId="0" fontId="1" fillId="0" borderId="1" xfId="1" applyFont="1" applyBorder="1"/>
    <xf numFmtId="0" fontId="1" fillId="0" borderId="1" xfId="1" quotePrefix="1" applyFont="1" applyBorder="1"/>
    <xf numFmtId="164" fontId="4" fillId="0" borderId="0" xfId="1" applyNumberFormat="1"/>
    <xf numFmtId="168" fontId="4" fillId="0" borderId="0" xfId="1" applyNumberFormat="1"/>
    <xf numFmtId="9" fontId="4" fillId="0" borderId="0" xfId="1" applyNumberFormat="1"/>
    <xf numFmtId="0" fontId="0" fillId="0" borderId="1" xfId="0" applyBorder="1"/>
    <xf numFmtId="0" fontId="0" fillId="4" borderId="1" xfId="0" applyFill="1" applyBorder="1"/>
    <xf numFmtId="16" fontId="11" fillId="0" borderId="1" xfId="0" applyNumberFormat="1" applyFont="1" applyBorder="1"/>
    <xf numFmtId="16" fontId="11" fillId="4" borderId="1" xfId="0" applyNumberFormat="1" applyFont="1" applyFill="1" applyBorder="1"/>
    <xf numFmtId="0" fontId="5" fillId="3" borderId="1" xfId="1" applyFont="1" applyFill="1" applyBorder="1" applyAlignment="1">
      <alignment horizontal="center"/>
    </xf>
    <xf numFmtId="0" fontId="5" fillId="3" borderId="6" xfId="1" applyFont="1" applyFill="1" applyBorder="1" applyAlignment="1">
      <alignment horizontal="center"/>
    </xf>
    <xf numFmtId="0" fontId="5" fillId="3" borderId="7" xfId="1" applyFont="1" applyFill="1" applyBorder="1" applyAlignment="1">
      <alignment horizontal="center"/>
    </xf>
    <xf numFmtId="0" fontId="12" fillId="11" borderId="2" xfId="0" applyFont="1" applyFill="1" applyBorder="1" applyAlignment="1">
      <alignment horizontal="center"/>
    </xf>
    <xf numFmtId="0" fontId="12" fillId="11" borderId="6" xfId="0" applyFont="1" applyFill="1" applyBorder="1" applyAlignment="1">
      <alignment horizontal="center"/>
    </xf>
    <xf numFmtId="0" fontId="12" fillId="11" borderId="7" xfId="0" applyFont="1" applyFill="1" applyBorder="1" applyAlignment="1">
      <alignment horizontal="center"/>
    </xf>
    <xf numFmtId="0" fontId="11" fillId="10" borderId="2" xfId="0" applyFont="1" applyFill="1" applyBorder="1" applyAlignment="1">
      <alignment horizontal="center"/>
    </xf>
    <xf numFmtId="0" fontId="11" fillId="10" borderId="6" xfId="0" applyFont="1" applyFill="1" applyBorder="1" applyAlignment="1">
      <alignment horizontal="center"/>
    </xf>
    <xf numFmtId="0" fontId="11" fillId="10" borderId="7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11" fillId="9" borderId="7" xfId="0" applyFont="1" applyFill="1" applyBorder="1" applyAlignment="1">
      <alignment horizontal="center"/>
    </xf>
    <xf numFmtId="0" fontId="11" fillId="11" borderId="2" xfId="0" applyFont="1" applyFill="1" applyBorder="1" applyAlignment="1">
      <alignment horizontal="center"/>
    </xf>
    <xf numFmtId="0" fontId="11" fillId="11" borderId="6" xfId="0" applyFont="1" applyFill="1" applyBorder="1" applyAlignment="1">
      <alignment horizontal="center"/>
    </xf>
    <xf numFmtId="0" fontId="11" fillId="11" borderId="7" xfId="0" applyFont="1" applyFill="1" applyBorder="1" applyAlignment="1">
      <alignment horizontal="center"/>
    </xf>
  </cellXfs>
  <cellStyles count="3">
    <cellStyle name="Normal" xfId="0" builtinId="0"/>
    <cellStyle name="Normal 2" xfId="1" xr:uid="{0FD7E54B-E118-5B4A-951F-CDC54BA1BFC4}"/>
    <cellStyle name="Per cent 2" xfId="2" xr:uid="{A05FDE00-1706-A64B-A4DD-DFE199E199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147638</xdr:rowOff>
    </xdr:from>
    <xdr:to>
      <xdr:col>11</xdr:col>
      <xdr:colOff>829686</xdr:colOff>
      <xdr:row>57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410ED-A627-6644-C5F9-EE3C90253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10338"/>
          <a:ext cx="16793586" cy="33385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penboxsoftwareweb.sharepoint.com/sites/GraingerPLC/Project%20Documents/UAT%20Refresh/Grainger%20-%20UAT%20Refresh%20-%20Effort%20Estimate.xlsx" TargetMode="External"/><Relationship Id="rId1" Type="http://schemas.openxmlformats.org/officeDocument/2006/relationships/externalLinkPath" Target="/sites/GraingerPLC/Project%20Documents/UAT%20Refresh/Grainger%20-%20UAT%20Refresh%20-%20Effort%20Estim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tomation Questionnaire"/>
      <sheetName val="HLQ"/>
      <sheetName val="ROI"/>
      <sheetName val="2 Week Sprint"/>
      <sheetName val="Lookups"/>
      <sheetName val="Custom Automation HLQ"/>
      <sheetName val="Delivery Cost Estimate"/>
      <sheetName val="Effort Estimate"/>
      <sheetName val="Project PTA Task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haun Barrett" id="{535A76E2-10C2-A848-919D-3D35783D41A4}" userId="S::sbarrett@openboxsoftware.com::2e21295b-21c9-4734-b4c8-23b29a1a1ba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" dT="2022-01-18T14:35:10.05" personId="{535A76E2-10C2-A848-919D-3D35783D41A4}" id="{CA24130B-2BA6-4FC6-8E72-B840D7542037}">
    <text>Remove if Analysis estimate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3" dT="2022-01-18T14:35:10.05" personId="{535A76E2-10C2-A848-919D-3D35783D41A4}" id="{5BF9A6CD-C70D-4F7B-A6A1-FE0716427D39}">
    <text>Remove if Analysis estimate</text>
  </threadedComment>
  <threadedComment ref="B39" dT="2022-01-18T14:22:49.37" personId="{535A76E2-10C2-A848-919D-3D35783D41A4}" id="{E96DF191-CBDD-42B0-9D9E-2FA6CA1CF6E0}">
    <text>For example:
- There will only be 1 environment - Produciton. This may impact support and live use. 
- This will be a supervised solution (ie user will need to be logged in)
- Project will be billed T&amp;M @ a rate of xxx
- Client will add a user with the appropriate licenses in Azure AD - (Power Automate RPA)
- Licensing is $40 p/m per environment (Power Automate with RPA)
- Production support xxx
- A new account will be set up for the Automation to access xxxx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03F8-2A20-4547-887C-D6CE78F435A7}">
  <dimension ref="A2:S42"/>
  <sheetViews>
    <sheetView zoomScaleNormal="100" workbookViewId="0">
      <selection activeCell="B29" sqref="B29"/>
    </sheetView>
  </sheetViews>
  <sheetFormatPr defaultColWidth="8.8984375" defaultRowHeight="14.4" x14ac:dyDescent="0.3"/>
  <cols>
    <col min="1" max="1" width="18.09765625" style="3" bestFit="1" customWidth="1"/>
    <col min="2" max="2" width="83.3984375" style="3" bestFit="1" customWidth="1"/>
    <col min="3" max="3" width="10.5" style="3" bestFit="1" customWidth="1"/>
    <col min="4" max="4" width="17.3984375" style="3" bestFit="1" customWidth="1"/>
    <col min="5" max="5" width="5.09765625" style="3" bestFit="1" customWidth="1"/>
    <col min="6" max="6" width="10.5" style="3" bestFit="1" customWidth="1"/>
    <col min="7" max="7" width="3" style="3" customWidth="1"/>
    <col min="8" max="8" width="5.3984375" style="3" customWidth="1"/>
    <col min="9" max="9" width="18.09765625" style="3" bestFit="1" customWidth="1"/>
    <col min="10" max="10" width="16.19921875" style="3" bestFit="1" customWidth="1"/>
    <col min="11" max="11" width="16.19921875" style="3" customWidth="1"/>
    <col min="12" max="13" width="11" style="3" bestFit="1" customWidth="1"/>
    <col min="14" max="14" width="5" style="3" customWidth="1"/>
    <col min="15" max="15" width="8.8984375" style="3"/>
    <col min="16" max="16" width="25.09765625" style="3" bestFit="1" customWidth="1"/>
    <col min="17" max="17" width="10" style="3" bestFit="1" customWidth="1"/>
    <col min="18" max="18" width="12.5" style="3" bestFit="1" customWidth="1"/>
    <col min="19" max="19" width="12.59765625" style="3" bestFit="1" customWidth="1"/>
    <col min="20" max="16384" width="8.8984375" style="3"/>
  </cols>
  <sheetData>
    <row r="2" spans="1:19" x14ac:dyDescent="0.3">
      <c r="A2" s="1" t="s">
        <v>0</v>
      </c>
      <c r="B2" s="1" t="s">
        <v>1</v>
      </c>
      <c r="C2" s="2"/>
      <c r="D2" s="1" t="s">
        <v>2</v>
      </c>
      <c r="E2" s="1" t="s">
        <v>3</v>
      </c>
      <c r="F2" s="1" t="s">
        <v>4</v>
      </c>
      <c r="I2" s="4" t="s">
        <v>5</v>
      </c>
      <c r="J2" s="5">
        <v>126</v>
      </c>
    </row>
    <row r="3" spans="1:19" ht="15.6" x14ac:dyDescent="0.3">
      <c r="A3" s="6" t="s">
        <v>6</v>
      </c>
      <c r="B3" s="7"/>
      <c r="C3" s="7"/>
      <c r="D3" s="7">
        <f>SUM(C4:C8)</f>
        <v>13</v>
      </c>
      <c r="E3" s="8"/>
      <c r="F3" s="8" t="s">
        <v>7</v>
      </c>
      <c r="I3" s="4" t="s">
        <v>8</v>
      </c>
      <c r="J3" s="9">
        <v>0.1</v>
      </c>
    </row>
    <row r="4" spans="1:19" ht="15.6" x14ac:dyDescent="0.3">
      <c r="A4" s="8"/>
      <c r="B4" s="3" t="s">
        <v>9</v>
      </c>
      <c r="C4" s="8">
        <v>2</v>
      </c>
      <c r="D4" s="8"/>
      <c r="E4" s="8"/>
      <c r="F4" s="8"/>
      <c r="I4" s="4" t="s">
        <v>10</v>
      </c>
      <c r="J4" s="9">
        <v>0.3</v>
      </c>
      <c r="L4" s="10"/>
    </row>
    <row r="5" spans="1:19" ht="15.6" x14ac:dyDescent="0.3">
      <c r="A5" s="8"/>
      <c r="B5" s="11" t="s">
        <v>11</v>
      </c>
      <c r="C5" s="8">
        <v>4</v>
      </c>
      <c r="D5" s="8"/>
      <c r="E5" s="8"/>
      <c r="F5" s="8"/>
      <c r="I5" s="10"/>
      <c r="J5" s="10"/>
      <c r="L5" s="10"/>
    </row>
    <row r="6" spans="1:19" ht="15.6" x14ac:dyDescent="0.3">
      <c r="A6" s="8"/>
      <c r="B6" s="38" t="s">
        <v>41</v>
      </c>
      <c r="C6" s="8">
        <v>4</v>
      </c>
      <c r="D6" s="8"/>
      <c r="E6" s="8"/>
      <c r="F6" s="8"/>
      <c r="J6" s="12"/>
      <c r="L6" s="13"/>
      <c r="Q6" s="6" t="s">
        <v>12</v>
      </c>
      <c r="R6" s="6" t="s">
        <v>13</v>
      </c>
      <c r="S6" s="6" t="s">
        <v>14</v>
      </c>
    </row>
    <row r="7" spans="1:19" x14ac:dyDescent="0.3">
      <c r="A7" s="8"/>
      <c r="B7" s="8" t="s">
        <v>15</v>
      </c>
      <c r="C7" s="8">
        <v>1</v>
      </c>
      <c r="D7" s="8"/>
      <c r="E7" s="8"/>
      <c r="F7" s="8"/>
      <c r="J7" s="1" t="s">
        <v>16</v>
      </c>
      <c r="K7" s="1" t="s">
        <v>14</v>
      </c>
      <c r="P7" s="14" t="s">
        <v>17</v>
      </c>
      <c r="Q7" s="8">
        <v>8</v>
      </c>
      <c r="R7" s="15">
        <f>(Q7/Q$10)*$J$11</f>
        <v>0</v>
      </c>
      <c r="S7" s="15">
        <f>(Q7/Q$10)*$K$11</f>
        <v>0</v>
      </c>
    </row>
    <row r="8" spans="1:19" x14ac:dyDescent="0.3">
      <c r="A8" s="8"/>
      <c r="B8" s="35" t="s">
        <v>18</v>
      </c>
      <c r="C8" s="8">
        <v>2</v>
      </c>
      <c r="D8" s="8"/>
      <c r="E8" s="8"/>
      <c r="F8" s="8"/>
      <c r="I8" s="8" t="s">
        <v>2</v>
      </c>
      <c r="J8" s="8">
        <f>D27*(J3+1)</f>
        <v>60.500000000000007</v>
      </c>
      <c r="K8" s="8">
        <f>J8*(J4+1)</f>
        <v>78.650000000000006</v>
      </c>
      <c r="P8" s="16" t="s">
        <v>19</v>
      </c>
      <c r="Q8" s="8">
        <v>12</v>
      </c>
      <c r="R8" s="15">
        <f>(Q8/Q$10)*$J$11</f>
        <v>0</v>
      </c>
      <c r="S8" s="15">
        <f>(Q8/Q$10)*$K$11</f>
        <v>0</v>
      </c>
    </row>
    <row r="9" spans="1:19" x14ac:dyDescent="0.3">
      <c r="A9" s="6" t="s">
        <v>20</v>
      </c>
      <c r="B9" s="6"/>
      <c r="C9" s="7"/>
      <c r="D9" s="7">
        <f>SUM(C10:C12)</f>
        <v>4</v>
      </c>
      <c r="E9" s="8"/>
      <c r="F9" s="51" t="s">
        <v>47</v>
      </c>
      <c r="I9" s="8" t="s">
        <v>22</v>
      </c>
      <c r="J9" s="5">
        <f>J8*J2</f>
        <v>7623.0000000000009</v>
      </c>
      <c r="K9" s="5">
        <f>K8*J2</f>
        <v>9909.9000000000015</v>
      </c>
      <c r="L9" s="12"/>
      <c r="P9" s="17" t="s">
        <v>23</v>
      </c>
      <c r="Q9" s="8">
        <v>4</v>
      </c>
      <c r="R9" s="15">
        <f>(Q9/Q$10)*$J$11</f>
        <v>0</v>
      </c>
      <c r="S9" s="15">
        <f>(Q9/Q$10)*$K$11</f>
        <v>0</v>
      </c>
    </row>
    <row r="10" spans="1:19" ht="15" thickBot="1" x14ac:dyDescent="0.35">
      <c r="A10" s="8"/>
      <c r="B10" s="35" t="s">
        <v>24</v>
      </c>
      <c r="C10" s="8">
        <v>2</v>
      </c>
      <c r="D10" s="8"/>
      <c r="E10" s="8"/>
      <c r="F10" s="8"/>
      <c r="I10" s="18"/>
      <c r="J10" s="19"/>
      <c r="K10" s="19"/>
      <c r="P10" s="8"/>
      <c r="Q10" s="20">
        <f>SUM(Q7:Q9)</f>
        <v>24</v>
      </c>
      <c r="R10" s="21">
        <f>SUM(R7:R9)</f>
        <v>0</v>
      </c>
      <c r="S10" s="21">
        <f>SUM(S7:S9)</f>
        <v>0</v>
      </c>
    </row>
    <row r="11" spans="1:19" ht="15" thickTop="1" x14ac:dyDescent="0.3">
      <c r="A11" s="8"/>
      <c r="B11" s="35" t="s">
        <v>25</v>
      </c>
      <c r="C11" s="8">
        <v>2</v>
      </c>
      <c r="D11" s="8"/>
      <c r="E11" s="8"/>
      <c r="F11" s="8"/>
      <c r="I11" s="60" t="s">
        <v>43</v>
      </c>
      <c r="J11" s="61"/>
      <c r="K11" s="61"/>
      <c r="L11" s="61"/>
      <c r="M11" s="62"/>
    </row>
    <row r="12" spans="1:19" x14ac:dyDescent="0.3">
      <c r="A12" s="8"/>
      <c r="B12" s="8"/>
      <c r="C12" s="8"/>
      <c r="D12" s="8"/>
      <c r="E12" s="8"/>
      <c r="F12" s="8"/>
      <c r="I12" s="1" t="s">
        <v>0</v>
      </c>
      <c r="J12" s="1" t="s">
        <v>26</v>
      </c>
      <c r="K12" s="1" t="s">
        <v>27</v>
      </c>
      <c r="L12" s="1" t="s">
        <v>13</v>
      </c>
      <c r="M12" s="1" t="s">
        <v>14</v>
      </c>
    </row>
    <row r="13" spans="1:19" x14ac:dyDescent="0.3">
      <c r="A13" s="23" t="s">
        <v>28</v>
      </c>
      <c r="B13" s="24"/>
      <c r="C13" s="7"/>
      <c r="D13" s="7">
        <f>SUM(C14:C17)</f>
        <v>8</v>
      </c>
      <c r="E13" s="8"/>
      <c r="F13" s="8"/>
      <c r="I13" s="6" t="s">
        <v>6</v>
      </c>
      <c r="J13" s="35">
        <f>D3+(D3*$J$3)</f>
        <v>14.3</v>
      </c>
      <c r="K13" s="8">
        <f>J13+(J13*$J$4)</f>
        <v>18.59</v>
      </c>
      <c r="L13" s="5">
        <f>J13*J2</f>
        <v>1801.8000000000002</v>
      </c>
      <c r="M13" s="5">
        <f>K13*$J$2</f>
        <v>2342.34</v>
      </c>
    </row>
    <row r="14" spans="1:19" x14ac:dyDescent="0.3">
      <c r="A14" s="8"/>
      <c r="B14" s="35" t="s">
        <v>30</v>
      </c>
      <c r="C14" s="8">
        <v>0</v>
      </c>
      <c r="D14" s="8"/>
      <c r="E14" s="8"/>
      <c r="F14" s="8"/>
      <c r="I14" s="6" t="s">
        <v>20</v>
      </c>
      <c r="J14" s="35">
        <f>D9+(D9*$J$3)</f>
        <v>4.4000000000000004</v>
      </c>
      <c r="K14" s="8">
        <f>J14+(J14*$J$4)</f>
        <v>5.7200000000000006</v>
      </c>
      <c r="L14" s="5">
        <f>J14*J2</f>
        <v>554.40000000000009</v>
      </c>
      <c r="M14" s="5">
        <f>K14*$J$2</f>
        <v>720.72</v>
      </c>
    </row>
    <row r="15" spans="1:19" x14ac:dyDescent="0.3">
      <c r="A15" s="8"/>
      <c r="B15" s="35" t="s">
        <v>32</v>
      </c>
      <c r="C15" s="8">
        <v>2</v>
      </c>
      <c r="D15" s="8"/>
      <c r="E15" s="8"/>
      <c r="F15" s="8"/>
      <c r="I15" s="23" t="s">
        <v>28</v>
      </c>
      <c r="J15" s="35">
        <f>D13+(D13*$J$3)</f>
        <v>8.8000000000000007</v>
      </c>
      <c r="K15" s="8">
        <f>J15+(J15*$J$4)</f>
        <v>11.440000000000001</v>
      </c>
      <c r="L15" s="5">
        <f>J15*J2</f>
        <v>1108.8000000000002</v>
      </c>
      <c r="M15" s="5">
        <f>K15*$J$2</f>
        <v>1441.44</v>
      </c>
    </row>
    <row r="16" spans="1:19" x14ac:dyDescent="0.3">
      <c r="A16" s="8"/>
      <c r="B16" s="35" t="s">
        <v>34</v>
      </c>
      <c r="C16" s="8">
        <v>6</v>
      </c>
      <c r="D16" s="8"/>
      <c r="E16" s="8"/>
      <c r="F16" s="51" t="s">
        <v>46</v>
      </c>
      <c r="I16" s="6" t="s">
        <v>29</v>
      </c>
      <c r="J16" s="35">
        <f>D18+(D18*$J$3)</f>
        <v>11</v>
      </c>
      <c r="K16" s="8">
        <f>J16+(J16*$J$4)</f>
        <v>14.3</v>
      </c>
      <c r="L16" s="5">
        <f>J16*J2</f>
        <v>1386</v>
      </c>
      <c r="M16" s="5">
        <f>K16*$J$2</f>
        <v>1801.8000000000002</v>
      </c>
    </row>
    <row r="17" spans="1:14" x14ac:dyDescent="0.3">
      <c r="A17" s="8"/>
      <c r="B17" s="8"/>
      <c r="C17" s="8"/>
      <c r="D17" s="8"/>
      <c r="E17" s="8"/>
      <c r="F17" s="8"/>
      <c r="I17" s="6" t="s">
        <v>31</v>
      </c>
      <c r="J17" s="35">
        <f>D23+(D23*$J$3)</f>
        <v>22</v>
      </c>
      <c r="K17" s="8">
        <f>J17+(J17*$J$4)</f>
        <v>28.6</v>
      </c>
      <c r="L17" s="5">
        <f>J17*J2</f>
        <v>2772</v>
      </c>
      <c r="M17" s="5">
        <f>K17*$J$2</f>
        <v>3603.6000000000004</v>
      </c>
    </row>
    <row r="18" spans="1:14" ht="15" thickBot="1" x14ac:dyDescent="0.35">
      <c r="A18" s="6" t="s">
        <v>29</v>
      </c>
      <c r="B18" s="7"/>
      <c r="C18" s="7"/>
      <c r="D18" s="7">
        <f>SUM(C19:C22)</f>
        <v>10</v>
      </c>
      <c r="E18" s="8"/>
      <c r="F18" s="8"/>
      <c r="I18" s="6" t="s">
        <v>33</v>
      </c>
      <c r="J18" s="37">
        <f>SUM(J13:J17)</f>
        <v>60.5</v>
      </c>
      <c r="K18" s="37">
        <f>SUM(K13:K17)</f>
        <v>78.650000000000006</v>
      </c>
      <c r="L18" s="36">
        <f>SUM(L13:L17)</f>
        <v>7623</v>
      </c>
      <c r="M18" s="36">
        <f>SUM(M13:M17)</f>
        <v>9909.9000000000015</v>
      </c>
    </row>
    <row r="19" spans="1:14" ht="15" thickTop="1" x14ac:dyDescent="0.3">
      <c r="A19" s="8"/>
      <c r="B19" s="3" t="s">
        <v>35</v>
      </c>
      <c r="C19" s="8">
        <v>4</v>
      </c>
      <c r="D19" s="8"/>
      <c r="E19" s="8"/>
      <c r="F19" s="8"/>
    </row>
    <row r="20" spans="1:14" x14ac:dyDescent="0.3">
      <c r="A20" s="8"/>
      <c r="B20" s="11" t="s">
        <v>36</v>
      </c>
      <c r="C20" s="8">
        <v>2</v>
      </c>
      <c r="D20" s="8"/>
      <c r="E20" s="8"/>
      <c r="F20" s="8"/>
      <c r="H20" s="39"/>
      <c r="I20" s="40"/>
      <c r="J20" s="41"/>
      <c r="K20" s="42"/>
      <c r="L20" s="40"/>
      <c r="M20" s="40"/>
      <c r="N20" s="43"/>
    </row>
    <row r="21" spans="1:14" x14ac:dyDescent="0.3">
      <c r="A21" s="8"/>
      <c r="B21" s="11" t="s">
        <v>40</v>
      </c>
      <c r="C21" s="8">
        <v>4</v>
      </c>
      <c r="D21" s="8"/>
      <c r="E21" s="8"/>
      <c r="F21" s="8"/>
      <c r="H21" s="44"/>
      <c r="I21" s="60" t="s">
        <v>42</v>
      </c>
      <c r="J21" s="60"/>
      <c r="K21" s="60"/>
      <c r="L21" s="60"/>
      <c r="M21" s="60"/>
      <c r="N21" s="45"/>
    </row>
    <row r="22" spans="1:14" x14ac:dyDescent="0.3">
      <c r="A22" s="8"/>
      <c r="B22" s="11"/>
      <c r="C22" s="8"/>
      <c r="D22" s="8"/>
      <c r="E22" s="8"/>
      <c r="F22" s="8"/>
      <c r="H22" s="44"/>
      <c r="I22" s="1" t="s">
        <v>0</v>
      </c>
      <c r="J22" s="1" t="s">
        <v>26</v>
      </c>
      <c r="K22" s="1" t="s">
        <v>27</v>
      </c>
      <c r="L22" s="1" t="s">
        <v>13</v>
      </c>
      <c r="M22" s="1" t="s">
        <v>14</v>
      </c>
      <c r="N22" s="45"/>
    </row>
    <row r="23" spans="1:14" x14ac:dyDescent="0.3">
      <c r="A23" s="6" t="s">
        <v>31</v>
      </c>
      <c r="B23" s="7"/>
      <c r="C23" s="7"/>
      <c r="D23" s="7">
        <f>SUM(C24:C26)</f>
        <v>20</v>
      </c>
      <c r="E23" s="8"/>
      <c r="F23" s="8"/>
      <c r="H23" s="44"/>
      <c r="I23" s="6" t="s">
        <v>6</v>
      </c>
      <c r="J23" s="35">
        <f t="shared" ref="J23:K27" si="0">ROUND(J13,0)</f>
        <v>14</v>
      </c>
      <c r="K23" s="35">
        <f t="shared" si="0"/>
        <v>19</v>
      </c>
      <c r="L23" s="5">
        <f t="shared" ref="L23:M27" si="1">J23*$J$2</f>
        <v>1764</v>
      </c>
      <c r="M23" s="5">
        <f t="shared" si="1"/>
        <v>2394</v>
      </c>
      <c r="N23" s="45"/>
    </row>
    <row r="24" spans="1:14" x14ac:dyDescent="0.3">
      <c r="A24" s="8"/>
      <c r="B24" s="11" t="s">
        <v>37</v>
      </c>
      <c r="C24" s="8">
        <v>10</v>
      </c>
      <c r="D24" s="8"/>
      <c r="E24" s="8"/>
      <c r="F24" s="8"/>
      <c r="H24" s="44"/>
      <c r="I24" s="6" t="s">
        <v>20</v>
      </c>
      <c r="J24" s="35">
        <f t="shared" si="0"/>
        <v>4</v>
      </c>
      <c r="K24" s="35">
        <f t="shared" si="0"/>
        <v>6</v>
      </c>
      <c r="L24" s="5">
        <f t="shared" si="1"/>
        <v>504</v>
      </c>
      <c r="M24" s="5">
        <f t="shared" si="1"/>
        <v>756</v>
      </c>
      <c r="N24" s="45"/>
    </row>
    <row r="25" spans="1:14" x14ac:dyDescent="0.3">
      <c r="A25" s="8"/>
      <c r="B25" s="11" t="s">
        <v>38</v>
      </c>
      <c r="C25" s="8">
        <v>10</v>
      </c>
      <c r="D25" s="8"/>
      <c r="E25" s="8"/>
      <c r="F25" s="8"/>
      <c r="H25" s="44"/>
      <c r="I25" s="23" t="s">
        <v>28</v>
      </c>
      <c r="J25" s="35">
        <f t="shared" si="0"/>
        <v>9</v>
      </c>
      <c r="K25" s="35">
        <f t="shared" si="0"/>
        <v>11</v>
      </c>
      <c r="L25" s="5">
        <f t="shared" si="1"/>
        <v>1134</v>
      </c>
      <c r="M25" s="5">
        <f t="shared" si="1"/>
        <v>1386</v>
      </c>
      <c r="N25" s="45"/>
    </row>
    <row r="26" spans="1:14" x14ac:dyDescent="0.3">
      <c r="A26" s="8"/>
      <c r="B26" s="11"/>
      <c r="C26" s="8"/>
      <c r="D26" s="8"/>
      <c r="E26" s="8"/>
      <c r="F26" s="8"/>
      <c r="H26" s="44"/>
      <c r="I26" s="6" t="s">
        <v>29</v>
      </c>
      <c r="J26" s="35">
        <f t="shared" si="0"/>
        <v>11</v>
      </c>
      <c r="K26" s="35">
        <f t="shared" si="0"/>
        <v>14</v>
      </c>
      <c r="L26" s="5">
        <f t="shared" si="1"/>
        <v>1386</v>
      </c>
      <c r="M26" s="5">
        <f t="shared" si="1"/>
        <v>1764</v>
      </c>
      <c r="N26" s="45"/>
    </row>
    <row r="27" spans="1:14" ht="15" thickBot="1" x14ac:dyDescent="0.35">
      <c r="D27" s="26">
        <f>D3+D9+D13+D18+D23</f>
        <v>55</v>
      </c>
      <c r="H27" s="44"/>
      <c r="I27" s="6" t="s">
        <v>31</v>
      </c>
      <c r="J27" s="35">
        <f t="shared" si="0"/>
        <v>22</v>
      </c>
      <c r="K27" s="35">
        <f t="shared" si="0"/>
        <v>29</v>
      </c>
      <c r="L27" s="5">
        <f t="shared" si="1"/>
        <v>2772</v>
      </c>
      <c r="M27" s="5">
        <f t="shared" si="1"/>
        <v>3654</v>
      </c>
      <c r="N27" s="45"/>
    </row>
    <row r="28" spans="1:14" ht="15.6" thickTop="1" thickBot="1" x14ac:dyDescent="0.35">
      <c r="H28" s="44"/>
      <c r="I28" s="6" t="s">
        <v>33</v>
      </c>
      <c r="J28" s="37">
        <f>SUM(J23:J27)</f>
        <v>60</v>
      </c>
      <c r="K28" s="37">
        <f>SUM(K23:K27)</f>
        <v>79</v>
      </c>
      <c r="L28" s="36">
        <f>SUM(L23:L27)</f>
        <v>7560</v>
      </c>
      <c r="M28" s="36">
        <f>SUM(M23:M27)</f>
        <v>9954</v>
      </c>
      <c r="N28" s="45"/>
    </row>
    <row r="29" spans="1:14" ht="15" thickTop="1" x14ac:dyDescent="0.3">
      <c r="B29" s="31"/>
      <c r="H29" s="46"/>
      <c r="I29" s="47"/>
      <c r="J29" s="48"/>
      <c r="K29" s="48"/>
      <c r="L29" s="47"/>
      <c r="M29" s="47"/>
      <c r="N29" s="49"/>
    </row>
    <row r="30" spans="1:14" x14ac:dyDescent="0.3">
      <c r="B30" s="31"/>
    </row>
    <row r="31" spans="1:14" x14ac:dyDescent="0.3">
      <c r="B31" s="31"/>
    </row>
    <row r="32" spans="1:14" x14ac:dyDescent="0.3">
      <c r="B32" s="31"/>
    </row>
    <row r="33" spans="2:2" x14ac:dyDescent="0.3">
      <c r="B33" s="31"/>
    </row>
    <row r="34" spans="2:2" x14ac:dyDescent="0.3">
      <c r="B34" s="31"/>
    </row>
    <row r="35" spans="2:2" x14ac:dyDescent="0.3">
      <c r="B35" s="31"/>
    </row>
    <row r="36" spans="2:2" hidden="1" x14ac:dyDescent="0.3">
      <c r="B36" s="31"/>
    </row>
    <row r="37" spans="2:2" hidden="1" x14ac:dyDescent="0.3">
      <c r="B37" s="31"/>
    </row>
    <row r="38" spans="2:2" hidden="1" x14ac:dyDescent="0.3">
      <c r="B38" s="31"/>
    </row>
    <row r="39" spans="2:2" hidden="1" x14ac:dyDescent="0.3">
      <c r="B39" s="31"/>
    </row>
    <row r="40" spans="2:2" hidden="1" x14ac:dyDescent="0.3">
      <c r="B40" s="31"/>
    </row>
    <row r="41" spans="2:2" hidden="1" x14ac:dyDescent="0.3">
      <c r="B41" s="31"/>
    </row>
    <row r="42" spans="2:2" x14ac:dyDescent="0.3">
      <c r="B42" s="31"/>
    </row>
  </sheetData>
  <mergeCells count="2">
    <mergeCell ref="I21:M21"/>
    <mergeCell ref="I11:M11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391EE-2AD3-45D6-9563-619F0F2957F5}">
  <dimension ref="B2:AC10"/>
  <sheetViews>
    <sheetView tabSelected="1" workbookViewId="0">
      <selection activeCell="R19" sqref="R19"/>
    </sheetView>
  </sheetViews>
  <sheetFormatPr defaultRowHeight="15.6" x14ac:dyDescent="0.3"/>
  <cols>
    <col min="2" max="29" width="6.796875" bestFit="1" customWidth="1"/>
  </cols>
  <sheetData>
    <row r="2" spans="2:29" x14ac:dyDescent="0.3">
      <c r="B2" s="58" t="s">
        <v>48</v>
      </c>
      <c r="C2" s="58" t="s">
        <v>49</v>
      </c>
      <c r="D2" s="58" t="s">
        <v>50</v>
      </c>
      <c r="E2" s="58" t="s">
        <v>51</v>
      </c>
      <c r="F2" s="58" t="s">
        <v>52</v>
      </c>
      <c r="G2" s="59" t="s">
        <v>53</v>
      </c>
      <c r="H2" s="59" t="s">
        <v>54</v>
      </c>
      <c r="I2" s="58" t="s">
        <v>48</v>
      </c>
      <c r="J2" s="58" t="s">
        <v>49</v>
      </c>
      <c r="K2" s="58" t="s">
        <v>50</v>
      </c>
      <c r="L2" s="58" t="s">
        <v>51</v>
      </c>
      <c r="M2" s="58" t="s">
        <v>52</v>
      </c>
      <c r="N2" s="59" t="s">
        <v>53</v>
      </c>
      <c r="O2" s="59" t="s">
        <v>54</v>
      </c>
      <c r="P2" s="58" t="s">
        <v>48</v>
      </c>
      <c r="Q2" s="58" t="s">
        <v>49</v>
      </c>
      <c r="R2" s="58" t="s">
        <v>50</v>
      </c>
      <c r="S2" s="58" t="s">
        <v>51</v>
      </c>
      <c r="T2" s="58" t="s">
        <v>52</v>
      </c>
      <c r="U2" s="59" t="s">
        <v>53</v>
      </c>
      <c r="V2" s="59" t="s">
        <v>54</v>
      </c>
      <c r="W2" s="58" t="s">
        <v>48</v>
      </c>
      <c r="X2" s="58" t="s">
        <v>49</v>
      </c>
      <c r="Y2" s="58" t="s">
        <v>50</v>
      </c>
      <c r="Z2" s="58" t="s">
        <v>51</v>
      </c>
      <c r="AA2" s="58" t="s">
        <v>52</v>
      </c>
      <c r="AB2" s="59" t="s">
        <v>53</v>
      </c>
      <c r="AC2" s="59" t="s">
        <v>54</v>
      </c>
    </row>
    <row r="3" spans="2:29" x14ac:dyDescent="0.3">
      <c r="B3" s="58">
        <v>45992</v>
      </c>
      <c r="C3" s="58">
        <v>45993</v>
      </c>
      <c r="D3" s="58">
        <v>45994</v>
      </c>
      <c r="E3" s="58">
        <v>45995</v>
      </c>
      <c r="F3" s="58">
        <v>45996</v>
      </c>
      <c r="G3" s="59">
        <v>45997</v>
      </c>
      <c r="H3" s="59">
        <v>45998</v>
      </c>
      <c r="I3" s="58">
        <v>45999</v>
      </c>
      <c r="J3" s="58">
        <v>46000</v>
      </c>
      <c r="K3" s="58">
        <v>46001</v>
      </c>
      <c r="L3" s="58">
        <v>46002</v>
      </c>
      <c r="M3" s="58">
        <v>46003</v>
      </c>
      <c r="N3" s="59">
        <v>46004</v>
      </c>
      <c r="O3" s="59">
        <v>46005</v>
      </c>
      <c r="P3" s="58">
        <v>46006</v>
      </c>
      <c r="Q3" s="58">
        <v>46007</v>
      </c>
      <c r="R3" s="58">
        <v>46008</v>
      </c>
      <c r="S3" s="58">
        <v>46009</v>
      </c>
      <c r="T3" s="58">
        <v>46010</v>
      </c>
      <c r="U3" s="59">
        <v>46011</v>
      </c>
      <c r="V3" s="59">
        <v>46012</v>
      </c>
      <c r="W3" s="58">
        <v>46013</v>
      </c>
      <c r="X3" s="58">
        <v>46014</v>
      </c>
      <c r="Y3" s="58">
        <v>46015</v>
      </c>
      <c r="Z3" s="58">
        <v>46016</v>
      </c>
      <c r="AA3" s="58">
        <v>46017</v>
      </c>
      <c r="AB3" s="59">
        <v>46018</v>
      </c>
      <c r="AC3" s="59">
        <v>46019</v>
      </c>
    </row>
    <row r="4" spans="2:29" x14ac:dyDescent="0.3">
      <c r="B4" s="69" t="s">
        <v>55</v>
      </c>
      <c r="C4" s="70"/>
      <c r="D4" s="70"/>
      <c r="E4" s="71"/>
      <c r="F4" s="56"/>
      <c r="G4" s="57"/>
      <c r="H4" s="57"/>
      <c r="I4" s="56"/>
      <c r="J4" s="56"/>
      <c r="K4" s="56"/>
      <c r="L4" s="56"/>
      <c r="M4" s="56"/>
      <c r="N4" s="57"/>
      <c r="O4" s="57"/>
      <c r="P4" s="56"/>
      <c r="Q4" s="56"/>
      <c r="R4" s="56"/>
      <c r="S4" s="56"/>
      <c r="T4" s="56"/>
      <c r="U4" s="57"/>
      <c r="V4" s="57"/>
      <c r="W4" s="56"/>
      <c r="X4" s="56"/>
      <c r="Y4" s="56"/>
      <c r="Z4" s="56"/>
      <c r="AA4" s="56"/>
      <c r="AB4" s="57"/>
      <c r="AC4" s="57"/>
    </row>
    <row r="5" spans="2:29" x14ac:dyDescent="0.3">
      <c r="B5" s="56"/>
      <c r="C5" s="56"/>
      <c r="D5" s="56"/>
      <c r="E5" s="56"/>
      <c r="F5" s="66" t="s">
        <v>57</v>
      </c>
      <c r="G5" s="67"/>
      <c r="H5" s="67"/>
      <c r="I5" s="67"/>
      <c r="J5" s="67"/>
      <c r="K5" s="67"/>
      <c r="L5" s="68"/>
      <c r="M5" s="72" t="s">
        <v>59</v>
      </c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4"/>
      <c r="AB5" s="57"/>
      <c r="AC5" s="57"/>
    </row>
    <row r="6" spans="2:29" x14ac:dyDescent="0.3">
      <c r="B6" s="56"/>
      <c r="C6" s="56"/>
      <c r="D6" s="56"/>
      <c r="E6" s="56"/>
      <c r="F6" s="56"/>
      <c r="G6" s="57"/>
      <c r="H6" s="57"/>
      <c r="I6" s="56"/>
      <c r="J6" s="56"/>
      <c r="M6" s="66" t="s">
        <v>58</v>
      </c>
      <c r="N6" s="67"/>
      <c r="O6" s="67"/>
      <c r="P6" s="67"/>
      <c r="Q6" s="67"/>
      <c r="R6" s="67"/>
      <c r="S6" s="67"/>
      <c r="T6" s="68"/>
      <c r="U6" s="57"/>
      <c r="V6" s="57"/>
      <c r="W6" s="63" t="s">
        <v>56</v>
      </c>
      <c r="X6" s="64"/>
      <c r="Y6" s="64"/>
      <c r="Z6" s="64"/>
      <c r="AA6" s="65"/>
      <c r="AB6" s="57"/>
      <c r="AC6" s="57"/>
    </row>
    <row r="7" spans="2:29" x14ac:dyDescent="0.3">
      <c r="B7" s="56"/>
      <c r="C7" s="56"/>
      <c r="D7" s="56"/>
      <c r="E7" s="56"/>
      <c r="F7" s="56"/>
      <c r="G7" s="57"/>
      <c r="H7" s="57"/>
      <c r="I7" s="56"/>
      <c r="J7" s="56"/>
      <c r="K7" s="56"/>
      <c r="L7" s="56"/>
      <c r="M7" s="56"/>
      <c r="N7" s="57"/>
      <c r="O7" s="57"/>
      <c r="P7" s="56"/>
      <c r="Q7" s="56"/>
      <c r="R7" s="56"/>
      <c r="S7" s="56"/>
      <c r="T7" s="56"/>
      <c r="U7" s="57"/>
      <c r="V7" s="57"/>
      <c r="W7" s="56"/>
      <c r="X7" s="56"/>
      <c r="Y7" s="56"/>
      <c r="Z7" s="56"/>
      <c r="AA7" s="56"/>
      <c r="AB7" s="57"/>
      <c r="AC7" s="57"/>
    </row>
    <row r="8" spans="2:29" x14ac:dyDescent="0.3">
      <c r="B8" s="56"/>
      <c r="C8" s="56"/>
      <c r="D8" s="56"/>
      <c r="E8" s="56"/>
      <c r="F8" s="56"/>
      <c r="G8" s="57"/>
      <c r="H8" s="57"/>
      <c r="I8" s="56"/>
      <c r="J8" s="56"/>
      <c r="K8" s="56"/>
      <c r="L8" s="56"/>
      <c r="M8" s="56"/>
      <c r="N8" s="57"/>
      <c r="O8" s="57"/>
      <c r="P8" s="56"/>
      <c r="Q8" s="56"/>
      <c r="R8" s="56"/>
      <c r="S8" s="56"/>
      <c r="T8" s="56"/>
      <c r="U8" s="57"/>
      <c r="V8" s="57"/>
      <c r="W8" s="56"/>
      <c r="X8" s="56"/>
      <c r="Y8" s="56"/>
      <c r="Z8" s="56"/>
      <c r="AA8" s="56"/>
      <c r="AB8" s="57"/>
      <c r="AC8" s="57"/>
    </row>
    <row r="9" spans="2:29" x14ac:dyDescent="0.3">
      <c r="B9" s="56"/>
      <c r="C9" s="56"/>
      <c r="D9" s="56"/>
      <c r="E9" s="56"/>
      <c r="F9" s="56"/>
      <c r="G9" s="57"/>
      <c r="H9" s="57"/>
      <c r="I9" s="56"/>
      <c r="J9" s="56"/>
      <c r="K9" s="56"/>
      <c r="L9" s="56"/>
      <c r="M9" s="56"/>
      <c r="N9" s="57"/>
      <c r="O9" s="57"/>
      <c r="P9" s="56"/>
      <c r="Q9" s="56"/>
      <c r="R9" s="56"/>
      <c r="S9" s="56"/>
      <c r="T9" s="56"/>
      <c r="U9" s="57"/>
      <c r="V9" s="57"/>
      <c r="W9" s="56"/>
      <c r="X9" s="56"/>
      <c r="Y9" s="56"/>
      <c r="Z9" s="56"/>
      <c r="AA9" s="56"/>
      <c r="AB9" s="57"/>
      <c r="AC9" s="57"/>
    </row>
    <row r="10" spans="2:29" x14ac:dyDescent="0.3">
      <c r="B10" s="56"/>
      <c r="C10" s="56"/>
      <c r="D10" s="56"/>
      <c r="E10" s="56"/>
      <c r="F10" s="56"/>
      <c r="G10" s="57"/>
      <c r="H10" s="57"/>
      <c r="I10" s="56"/>
      <c r="J10" s="56"/>
      <c r="K10" s="56"/>
      <c r="L10" s="56"/>
      <c r="M10" s="56"/>
      <c r="N10" s="57"/>
      <c r="O10" s="57"/>
      <c r="P10" s="56"/>
      <c r="Q10" s="56"/>
      <c r="R10" s="56"/>
      <c r="S10" s="56"/>
      <c r="T10" s="56"/>
      <c r="U10" s="57"/>
      <c r="V10" s="57"/>
      <c r="W10" s="56"/>
      <c r="X10" s="56"/>
      <c r="Y10" s="56"/>
      <c r="Z10" s="56"/>
      <c r="AA10" s="56"/>
      <c r="AB10" s="57"/>
      <c r="AC10" s="57"/>
    </row>
  </sheetData>
  <mergeCells count="5">
    <mergeCell ref="W6:AA6"/>
    <mergeCell ref="F5:L5"/>
    <mergeCell ref="M6:T6"/>
    <mergeCell ref="B4:E4"/>
    <mergeCell ref="M5:AA5"/>
  </mergeCells>
  <phoneticPr fontId="1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7BF6-244C-47DF-81CF-AC57B61B9496}">
  <dimension ref="A1:R49"/>
  <sheetViews>
    <sheetView topLeftCell="A24" zoomScaleNormal="100" workbookViewId="0">
      <selection activeCell="B60" sqref="B60"/>
    </sheetView>
  </sheetViews>
  <sheetFormatPr defaultColWidth="8.8984375" defaultRowHeight="14.4" x14ac:dyDescent="0.3"/>
  <cols>
    <col min="1" max="1" width="18.09765625" style="3" bestFit="1" customWidth="1"/>
    <col min="2" max="2" width="83.3984375" style="3" bestFit="1" customWidth="1"/>
    <col min="3" max="3" width="10.5" style="3" bestFit="1" customWidth="1"/>
    <col min="4" max="4" width="17.3984375" style="3" bestFit="1" customWidth="1"/>
    <col min="5" max="5" width="5.09765625" style="3" bestFit="1" customWidth="1"/>
    <col min="6" max="6" width="6.8984375" style="3" bestFit="1" customWidth="1"/>
    <col min="7" max="7" width="6.5" style="3" customWidth="1"/>
    <col min="8" max="8" width="18.09765625" style="3" bestFit="1" customWidth="1"/>
    <col min="9" max="9" width="16.19921875" style="3" bestFit="1" customWidth="1"/>
    <col min="10" max="10" width="16.19921875" style="3" customWidth="1"/>
    <col min="11" max="12" width="11" style="3" bestFit="1" customWidth="1"/>
    <col min="13" max="14" width="8.8984375" style="3"/>
    <col min="15" max="15" width="25.09765625" style="3" bestFit="1" customWidth="1"/>
    <col min="16" max="16" width="10" style="3" bestFit="1" customWidth="1"/>
    <col min="17" max="17" width="12.5" style="3" bestFit="1" customWidth="1"/>
    <col min="18" max="18" width="12.59765625" style="3" bestFit="1" customWidth="1"/>
    <col min="19" max="16384" width="8.8984375" style="3"/>
  </cols>
  <sheetData>
    <row r="1" spans="1:18" x14ac:dyDescent="0.3">
      <c r="A1" s="1" t="s">
        <v>0</v>
      </c>
      <c r="B1" s="1" t="s">
        <v>1</v>
      </c>
      <c r="C1" s="2"/>
      <c r="D1" s="1" t="s">
        <v>2</v>
      </c>
      <c r="E1" s="1" t="s">
        <v>3</v>
      </c>
      <c r="F1" s="1" t="s">
        <v>4</v>
      </c>
      <c r="H1" s="4" t="s">
        <v>5</v>
      </c>
      <c r="I1" s="5">
        <v>120</v>
      </c>
    </row>
    <row r="2" spans="1:18" ht="15.6" x14ac:dyDescent="0.3">
      <c r="A2" s="6" t="s">
        <v>6</v>
      </c>
      <c r="B2" s="7"/>
      <c r="C2" s="7"/>
      <c r="D2" s="7">
        <f>SUM(C3:C7)</f>
        <v>25</v>
      </c>
      <c r="E2" s="8"/>
      <c r="F2" s="8" t="s">
        <v>7</v>
      </c>
      <c r="H2" s="4" t="s">
        <v>8</v>
      </c>
      <c r="I2" s="9">
        <v>0.1</v>
      </c>
    </row>
    <row r="3" spans="1:18" ht="15.6" x14ac:dyDescent="0.3">
      <c r="A3" s="8"/>
      <c r="B3" s="3" t="s">
        <v>9</v>
      </c>
      <c r="C3" s="8">
        <v>4</v>
      </c>
      <c r="D3" s="8"/>
      <c r="E3" s="8"/>
      <c r="F3" s="8"/>
      <c r="H3" s="4" t="s">
        <v>10</v>
      </c>
      <c r="I3" s="9">
        <v>0.3</v>
      </c>
      <c r="K3" s="10"/>
    </row>
    <row r="4" spans="1:18" ht="15.6" x14ac:dyDescent="0.3">
      <c r="A4" s="8"/>
      <c r="B4" s="11" t="s">
        <v>11</v>
      </c>
      <c r="C4" s="8">
        <v>8</v>
      </c>
      <c r="D4" s="8"/>
      <c r="E4" s="8"/>
      <c r="F4" s="8"/>
      <c r="H4" s="10"/>
      <c r="I4" s="10"/>
      <c r="K4" s="10"/>
    </row>
    <row r="5" spans="1:18" ht="15.6" x14ac:dyDescent="0.3">
      <c r="A5" s="8"/>
      <c r="B5" s="8" t="s">
        <v>44</v>
      </c>
      <c r="C5" s="8">
        <v>8</v>
      </c>
      <c r="D5" s="8"/>
      <c r="E5" s="8"/>
      <c r="F5" s="8"/>
      <c r="I5" s="12"/>
      <c r="K5" s="13"/>
      <c r="P5" s="6" t="s">
        <v>12</v>
      </c>
      <c r="Q5" s="6" t="s">
        <v>13</v>
      </c>
      <c r="R5" s="6" t="s">
        <v>14</v>
      </c>
    </row>
    <row r="6" spans="1:18" x14ac:dyDescent="0.3">
      <c r="A6" s="8"/>
      <c r="B6" s="8" t="s">
        <v>15</v>
      </c>
      <c r="C6" s="8">
        <v>1</v>
      </c>
      <c r="D6" s="8"/>
      <c r="E6" s="8"/>
      <c r="F6" s="8"/>
      <c r="I6" s="1" t="s">
        <v>16</v>
      </c>
      <c r="J6" s="1" t="s">
        <v>14</v>
      </c>
      <c r="O6" s="14" t="s">
        <v>17</v>
      </c>
      <c r="P6" s="8">
        <v>8</v>
      </c>
      <c r="Q6" s="15">
        <f>(P6/P$9)*$I$10</f>
        <v>0</v>
      </c>
      <c r="R6" s="15">
        <f>(P6/P$9)*$J$10</f>
        <v>0</v>
      </c>
    </row>
    <row r="7" spans="1:18" x14ac:dyDescent="0.3">
      <c r="A7" s="8"/>
      <c r="B7" s="50" t="s">
        <v>18</v>
      </c>
      <c r="C7" s="32">
        <v>4</v>
      </c>
      <c r="D7" s="8"/>
      <c r="E7" s="8"/>
      <c r="F7" s="8"/>
      <c r="H7" s="8" t="s">
        <v>2</v>
      </c>
      <c r="I7" s="8">
        <f>D34*(I2+1)</f>
        <v>69.300000000000011</v>
      </c>
      <c r="J7" s="8">
        <f>I7*(I3+1)</f>
        <v>90.090000000000018</v>
      </c>
      <c r="O7" s="16" t="s">
        <v>19</v>
      </c>
      <c r="P7" s="8">
        <v>12</v>
      </c>
      <c r="Q7" s="15">
        <f>(P7/P$9)*$I$10</f>
        <v>0</v>
      </c>
      <c r="R7" s="15">
        <f>(P7/P$9)*$J$10</f>
        <v>0</v>
      </c>
    </row>
    <row r="8" spans="1:18" x14ac:dyDescent="0.3">
      <c r="A8" s="6" t="s">
        <v>20</v>
      </c>
      <c r="B8" s="6"/>
      <c r="C8" s="7"/>
      <c r="D8" s="7">
        <f>SUM(C9:C14)</f>
        <v>4</v>
      </c>
      <c r="E8" s="8"/>
      <c r="F8" s="8" t="s">
        <v>21</v>
      </c>
      <c r="H8" s="8" t="s">
        <v>22</v>
      </c>
      <c r="I8" s="5">
        <f>I7*I1</f>
        <v>8316.0000000000018</v>
      </c>
      <c r="J8" s="5">
        <f>J7*I1</f>
        <v>10810.800000000003</v>
      </c>
      <c r="K8" s="12"/>
      <c r="O8" s="17" t="s">
        <v>23</v>
      </c>
      <c r="P8" s="8">
        <v>4</v>
      </c>
      <c r="Q8" s="15">
        <f>(P8/P$9)*$I$10</f>
        <v>0</v>
      </c>
      <c r="R8" s="15">
        <f>(P8/P$9)*$J$10</f>
        <v>0</v>
      </c>
    </row>
    <row r="9" spans="1:18" ht="15" thickBot="1" x14ac:dyDescent="0.35">
      <c r="A9" s="8"/>
      <c r="B9" s="51" t="s">
        <v>24</v>
      </c>
      <c r="C9" s="8">
        <v>2</v>
      </c>
      <c r="D9" s="8"/>
      <c r="E9" s="8"/>
      <c r="F9" s="8"/>
      <c r="H9" s="18"/>
      <c r="I9" s="19"/>
      <c r="J9" s="19"/>
      <c r="O9" s="8"/>
      <c r="P9" s="20">
        <f>SUM(P6:P8)</f>
        <v>24</v>
      </c>
      <c r="Q9" s="21">
        <f>SUM(Q6:Q8)</f>
        <v>0</v>
      </c>
      <c r="R9" s="21">
        <f>SUM(R6:R8)</f>
        <v>0</v>
      </c>
    </row>
    <row r="10" spans="1:18" ht="15" thickTop="1" x14ac:dyDescent="0.3">
      <c r="A10" s="8"/>
      <c r="B10" s="50" t="s">
        <v>25</v>
      </c>
      <c r="C10" s="32">
        <v>2</v>
      </c>
      <c r="D10" s="8"/>
      <c r="E10" s="8"/>
      <c r="F10" s="8"/>
      <c r="H10" s="18"/>
      <c r="I10" s="19"/>
      <c r="J10" s="19"/>
    </row>
    <row r="11" spans="1:18" x14ac:dyDescent="0.3">
      <c r="A11" s="8"/>
      <c r="B11" s="11"/>
      <c r="C11" s="8"/>
      <c r="E11" s="8"/>
      <c r="F11" s="8"/>
      <c r="H11" s="1" t="s">
        <v>0</v>
      </c>
      <c r="I11" s="1" t="s">
        <v>26</v>
      </c>
      <c r="J11" s="1" t="s">
        <v>27</v>
      </c>
      <c r="K11" s="1" t="s">
        <v>13</v>
      </c>
      <c r="L11" s="1" t="s">
        <v>14</v>
      </c>
    </row>
    <row r="12" spans="1:18" x14ac:dyDescent="0.3">
      <c r="A12" s="8"/>
      <c r="B12" s="11"/>
      <c r="C12" s="8"/>
      <c r="D12" s="8"/>
      <c r="E12" s="8"/>
      <c r="F12" s="8"/>
      <c r="H12" s="6" t="s">
        <v>6</v>
      </c>
      <c r="I12" s="51">
        <v>25</v>
      </c>
      <c r="J12" s="8">
        <v>28</v>
      </c>
      <c r="K12" s="5">
        <f>I12*I1</f>
        <v>3000</v>
      </c>
      <c r="L12" s="5">
        <f>J12*$I$1</f>
        <v>3360</v>
      </c>
    </row>
    <row r="13" spans="1:18" x14ac:dyDescent="0.3">
      <c r="A13" s="8"/>
      <c r="B13" s="22"/>
      <c r="C13" s="8"/>
      <c r="D13" s="8"/>
      <c r="E13" s="8"/>
      <c r="F13" s="8"/>
      <c r="H13" s="6" t="s">
        <v>20</v>
      </c>
      <c r="I13" s="52">
        <v>4</v>
      </c>
      <c r="J13" s="8">
        <v>5</v>
      </c>
      <c r="K13" s="5">
        <f>I13*I1</f>
        <v>480</v>
      </c>
      <c r="L13" s="5">
        <f>J13*$I$1</f>
        <v>600</v>
      </c>
    </row>
    <row r="14" spans="1:18" x14ac:dyDescent="0.3">
      <c r="A14" s="8"/>
      <c r="B14" s="8"/>
      <c r="C14" s="8"/>
      <c r="D14" s="8"/>
      <c r="E14" s="8"/>
      <c r="F14" s="8"/>
      <c r="H14" s="23" t="s">
        <v>28</v>
      </c>
      <c r="I14" s="8">
        <v>8</v>
      </c>
      <c r="J14" s="8">
        <v>9</v>
      </c>
      <c r="K14" s="5">
        <f>I14*I1</f>
        <v>960</v>
      </c>
      <c r="L14" s="5">
        <f>J14*$I$1</f>
        <v>1080</v>
      </c>
    </row>
    <row r="15" spans="1:18" x14ac:dyDescent="0.3">
      <c r="A15" s="23" t="s">
        <v>28</v>
      </c>
      <c r="B15" s="24"/>
      <c r="C15" s="7"/>
      <c r="D15" s="7">
        <f>SUM(C16:C19)</f>
        <v>8</v>
      </c>
      <c r="E15" s="8"/>
      <c r="F15" s="8"/>
      <c r="H15" s="6" t="s">
        <v>29</v>
      </c>
      <c r="I15" s="8">
        <v>10</v>
      </c>
      <c r="J15" s="8">
        <f>(I15*$I$2)+I15</f>
        <v>11</v>
      </c>
      <c r="K15" s="5">
        <f>I15*I1</f>
        <v>1200</v>
      </c>
      <c r="L15" s="5">
        <f>J15*$I$1</f>
        <v>1320</v>
      </c>
    </row>
    <row r="16" spans="1:18" x14ac:dyDescent="0.3">
      <c r="A16" s="8"/>
      <c r="B16" s="25" t="s">
        <v>30</v>
      </c>
      <c r="C16" s="8">
        <v>0</v>
      </c>
      <c r="D16" s="8"/>
      <c r="E16" s="8"/>
      <c r="F16" s="8"/>
      <c r="H16" s="6" t="s">
        <v>31</v>
      </c>
      <c r="I16" s="8">
        <v>16</v>
      </c>
      <c r="J16" s="8">
        <v>18</v>
      </c>
      <c r="K16" s="5">
        <f>I16*I1</f>
        <v>1920</v>
      </c>
      <c r="L16" s="5">
        <f>J16*$I$1</f>
        <v>2160</v>
      </c>
    </row>
    <row r="17" spans="1:12" ht="15" thickBot="1" x14ac:dyDescent="0.35">
      <c r="A17" s="8"/>
      <c r="B17" s="25" t="s">
        <v>32</v>
      </c>
      <c r="C17" s="8">
        <v>2</v>
      </c>
      <c r="D17" s="8"/>
      <c r="E17" s="8"/>
      <c r="F17" s="8"/>
      <c r="H17" s="6" t="s">
        <v>33</v>
      </c>
      <c r="I17" s="37">
        <f>SUM(I12:I16)</f>
        <v>63</v>
      </c>
      <c r="J17" s="37">
        <f>SUM(J12:J16)</f>
        <v>71</v>
      </c>
      <c r="K17" s="36">
        <f>SUM(K12:K16)</f>
        <v>7560</v>
      </c>
      <c r="L17" s="36">
        <f>SUM(L12:L16)</f>
        <v>8520</v>
      </c>
    </row>
    <row r="18" spans="1:12" ht="15" thickTop="1" x14ac:dyDescent="0.3">
      <c r="A18" s="8"/>
      <c r="B18" s="50" t="s">
        <v>34</v>
      </c>
      <c r="C18" s="33">
        <v>6</v>
      </c>
      <c r="D18" s="8"/>
      <c r="E18" s="8"/>
      <c r="F18" s="8"/>
    </row>
    <row r="19" spans="1:12" x14ac:dyDescent="0.3">
      <c r="A19" s="8"/>
      <c r="B19" s="8"/>
      <c r="C19" s="8"/>
      <c r="D19" s="8"/>
      <c r="E19" s="8"/>
      <c r="F19" s="8"/>
      <c r="I19" s="53"/>
      <c r="J19" s="54"/>
    </row>
    <row r="20" spans="1:12" x14ac:dyDescent="0.3">
      <c r="A20" s="6" t="s">
        <v>29</v>
      </c>
      <c r="B20" s="7"/>
      <c r="C20" s="7"/>
      <c r="D20" s="7">
        <f>SUM(C21:C27)</f>
        <v>10</v>
      </c>
      <c r="E20" s="8"/>
      <c r="F20" s="8"/>
      <c r="I20" s="55"/>
      <c r="J20" s="54"/>
    </row>
    <row r="21" spans="1:12" x14ac:dyDescent="0.3">
      <c r="A21" s="8"/>
      <c r="B21" s="3" t="s">
        <v>35</v>
      </c>
      <c r="C21" s="8">
        <v>4</v>
      </c>
      <c r="E21" s="8"/>
      <c r="F21" s="8"/>
      <c r="I21" s="55"/>
    </row>
    <row r="22" spans="1:12" x14ac:dyDescent="0.3">
      <c r="A22" s="8"/>
      <c r="B22" s="11" t="s">
        <v>36</v>
      </c>
      <c r="C22" s="8">
        <v>2</v>
      </c>
      <c r="D22" s="8"/>
      <c r="E22" s="8"/>
      <c r="F22" s="8"/>
    </row>
    <row r="23" spans="1:12" x14ac:dyDescent="0.3">
      <c r="A23" s="8"/>
      <c r="B23" s="11" t="s">
        <v>45</v>
      </c>
      <c r="C23" s="8">
        <v>4</v>
      </c>
      <c r="D23" s="8"/>
      <c r="E23" s="8"/>
      <c r="F23" s="8"/>
    </row>
    <row r="24" spans="1:12" x14ac:dyDescent="0.3">
      <c r="A24" s="8"/>
      <c r="B24" s="11"/>
      <c r="C24" s="8"/>
      <c r="D24" s="8"/>
      <c r="E24" s="8"/>
      <c r="F24" s="8"/>
    </row>
    <row r="25" spans="1:12" x14ac:dyDescent="0.3">
      <c r="A25" s="8"/>
      <c r="B25" s="11"/>
      <c r="C25" s="8"/>
      <c r="D25" s="8"/>
      <c r="E25" s="8"/>
      <c r="F25" s="8"/>
    </row>
    <row r="26" spans="1:12" x14ac:dyDescent="0.3">
      <c r="A26" s="8"/>
      <c r="B26" s="11"/>
      <c r="C26" s="8"/>
      <c r="D26" s="8"/>
      <c r="E26" s="8"/>
      <c r="F26" s="8"/>
    </row>
    <row r="27" spans="1:12" x14ac:dyDescent="0.3">
      <c r="A27" s="8"/>
      <c r="B27" s="11"/>
      <c r="C27" s="8"/>
      <c r="D27" s="8"/>
      <c r="E27" s="8"/>
      <c r="F27" s="8"/>
    </row>
    <row r="28" spans="1:12" x14ac:dyDescent="0.3">
      <c r="A28" s="6" t="s">
        <v>31</v>
      </c>
      <c r="B28" s="7"/>
      <c r="C28" s="7"/>
      <c r="D28" s="7">
        <f>SUM(C29:C33)</f>
        <v>16</v>
      </c>
      <c r="E28" s="8"/>
      <c r="F28" s="8"/>
    </row>
    <row r="29" spans="1:12" x14ac:dyDescent="0.3">
      <c r="A29" s="8"/>
      <c r="B29" s="11" t="s">
        <v>37</v>
      </c>
      <c r="C29" s="8">
        <v>10</v>
      </c>
      <c r="D29" s="8"/>
      <c r="E29" s="8"/>
      <c r="F29" s="8"/>
    </row>
    <row r="30" spans="1:12" x14ac:dyDescent="0.3">
      <c r="A30" s="8"/>
      <c r="B30" s="34" t="s">
        <v>38</v>
      </c>
      <c r="C30" s="32">
        <v>6</v>
      </c>
      <c r="D30" s="8"/>
      <c r="E30" s="8"/>
      <c r="F30" s="8"/>
    </row>
    <row r="31" spans="1:12" x14ac:dyDescent="0.3">
      <c r="A31" s="8"/>
      <c r="B31" s="11"/>
      <c r="C31" s="8"/>
      <c r="D31" s="8"/>
      <c r="E31" s="8"/>
      <c r="F31" s="8"/>
    </row>
    <row r="32" spans="1:12" x14ac:dyDescent="0.3">
      <c r="A32" s="8"/>
      <c r="B32" s="11"/>
      <c r="C32" s="8"/>
      <c r="D32" s="8"/>
      <c r="E32" s="8"/>
      <c r="F32" s="8"/>
    </row>
    <row r="33" spans="1:6" x14ac:dyDescent="0.3">
      <c r="A33" s="8"/>
      <c r="B33" s="8"/>
      <c r="C33" s="8"/>
      <c r="D33" s="8"/>
      <c r="E33" s="8"/>
      <c r="F33" s="8"/>
    </row>
    <row r="34" spans="1:6" ht="15" thickBot="1" x14ac:dyDescent="0.35">
      <c r="D34" s="26">
        <f>SUM(D2:D33)</f>
        <v>63</v>
      </c>
    </row>
    <row r="35" spans="1:6" ht="15" hidden="1" thickTop="1" x14ac:dyDescent="0.3"/>
    <row r="36" spans="1:6" ht="15" hidden="1" thickTop="1" x14ac:dyDescent="0.3">
      <c r="A36" s="8"/>
      <c r="B36" s="8"/>
      <c r="C36" s="27"/>
      <c r="D36" s="8"/>
      <c r="E36" s="27"/>
    </row>
    <row r="37" spans="1:6" ht="15.6" hidden="1" thickTop="1" thickBot="1" x14ac:dyDescent="0.35">
      <c r="E37" s="28">
        <f>SUM(E36:E36)</f>
        <v>0</v>
      </c>
    </row>
    <row r="38" spans="1:6" ht="15" hidden="1" thickTop="1" x14ac:dyDescent="0.3"/>
    <row r="39" spans="1:6" ht="15" hidden="1" thickTop="1" x14ac:dyDescent="0.3">
      <c r="B39" s="29" t="s">
        <v>39</v>
      </c>
    </row>
    <row r="40" spans="1:6" ht="15" hidden="1" thickTop="1" x14ac:dyDescent="0.3">
      <c r="B40" s="30"/>
    </row>
    <row r="41" spans="1:6" ht="15" thickTop="1" x14ac:dyDescent="0.3">
      <c r="B41" s="31"/>
    </row>
    <row r="42" spans="1:6" x14ac:dyDescent="0.3">
      <c r="B42" s="31"/>
    </row>
    <row r="43" spans="1:6" x14ac:dyDescent="0.3">
      <c r="B43" s="31"/>
    </row>
    <row r="44" spans="1:6" x14ac:dyDescent="0.3">
      <c r="B44" s="31"/>
    </row>
    <row r="45" spans="1:6" x14ac:dyDescent="0.3">
      <c r="B45" s="31"/>
    </row>
    <row r="46" spans="1:6" x14ac:dyDescent="0.3">
      <c r="B46" s="31"/>
    </row>
    <row r="47" spans="1:6" x14ac:dyDescent="0.3">
      <c r="B47" s="31"/>
    </row>
    <row r="48" spans="1:6" x14ac:dyDescent="0.3">
      <c r="B48" s="31"/>
    </row>
    <row r="49" spans="2:2" x14ac:dyDescent="0.3">
      <c r="B49" s="31"/>
    </row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EAD39E-F8F2-4B13-B9B2-20218E8392DA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1ffbd5dc-7a64-4097-8396-87f6c90b212f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16BF4A5-F3E5-41F7-9AA3-07F53FD2AE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03083B-4A21-424D-B3B9-F573B12850B8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72C64003-5796-4C7D-870A-F1BC5AA925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 Effort Estimate</vt:lpstr>
      <vt:lpstr>2025 Timeline</vt:lpstr>
      <vt:lpstr>2024 Actuals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Shaun Barrett</cp:lastModifiedBy>
  <cp:revision/>
  <dcterms:created xsi:type="dcterms:W3CDTF">2024-04-05T16:18:14Z</dcterms:created>
  <dcterms:modified xsi:type="dcterms:W3CDTF">2025-12-02T11:26:35Z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ContentTypeId">
    <vt:lpwstr>0x010100B16301FA1C2D5E4DB9305F31D037531D02070300B4E123A7400DE24C83BA9D1BFCD12C10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Client_x0020_Project">
    <vt:lpwstr/>
  </property>
  <property fmtid="{D5CDD505-2E9C-101B-9397-08002B2CF9AE}" pid="8" name="MediaServiceImageTags">
    <vt:lpwstr/>
  </property>
  <property fmtid="{D5CDD505-2E9C-101B-9397-08002B2CF9AE}" pid="9" name="Project_x0020_Document_x0020_Type">
    <vt:lpwstr>4;#Generic Project Document|258c2ed6-b93b-4ffe-8901-a23f2dc98ec9</vt:lpwstr>
  </property>
  <property fmtid="{D5CDD505-2E9C-101B-9397-08002B2CF9AE}" pid="10" name="lcf76f155ced4ddcb4097134ff3c332f">
    <vt:lpwstr/>
  </property>
</Properties>
</file>