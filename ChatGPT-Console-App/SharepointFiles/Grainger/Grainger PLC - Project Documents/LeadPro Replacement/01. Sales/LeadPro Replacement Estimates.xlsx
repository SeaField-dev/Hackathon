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Sales Documents/Salesforce/LeadPro Replacement/01. Sales/"/>
    </mc:Choice>
  </mc:AlternateContent>
  <xr:revisionPtr revIDLastSave="361" documentId="8_{FBE3DEF7-5AEC-8A47-AB85-81D5D0E52365}" xr6:coauthVersionLast="47" xr6:coauthVersionMax="47" xr10:uidLastSave="{08B75C1E-7D62-2D4D-8677-2C4D48B08B70}"/>
  <bookViews>
    <workbookView xWindow="0" yWindow="1600" windowWidth="29380" windowHeight="18880" xr2:uid="{C759EEDD-7E8F-E643-AB5C-F2F158F0C2A6}"/>
  </bookViews>
  <sheets>
    <sheet name="Estimate" sheetId="1" r:id="rId1"/>
    <sheet name="Actuals" sheetId="2" r:id="rId2"/>
    <sheet name="Timelines" sheetId="3" r:id="rId3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E12" i="2"/>
  <c r="F11" i="2"/>
  <c r="E7" i="2"/>
  <c r="E8" i="2"/>
  <c r="G7" i="2"/>
  <c r="G5" i="2"/>
  <c r="G4" i="2"/>
  <c r="G3" i="2"/>
  <c r="C3" i="2"/>
  <c r="C7" i="2"/>
  <c r="F7" i="2"/>
  <c r="F5" i="2"/>
  <c r="F4" i="2"/>
  <c r="F3" i="2"/>
  <c r="G17" i="1"/>
  <c r="G21" i="1"/>
  <c r="H21" i="1"/>
  <c r="D6" i="1"/>
  <c r="C23" i="1"/>
  <c r="B25" i="1"/>
  <c r="C18" i="1"/>
  <c r="C26" i="1"/>
  <c r="B13" i="1"/>
  <c r="C6" i="1"/>
  <c r="C12" i="1"/>
  <c r="D5" i="1"/>
  <c r="B12" i="1"/>
  <c r="C5" i="1"/>
  <c r="C11" i="1"/>
  <c r="D4" i="1"/>
  <c r="B11" i="1"/>
  <c r="C4" i="1"/>
  <c r="C10" i="1"/>
  <c r="D3" i="1"/>
  <c r="B10" i="1"/>
  <c r="C3" i="1"/>
  <c r="C9" i="1"/>
  <c r="C15" i="1"/>
  <c r="B9" i="1"/>
  <c r="C2" i="1"/>
  <c r="B15" i="1"/>
  <c r="D2" i="1"/>
  <c r="C7" i="1"/>
  <c r="D7" i="1"/>
  <c r="B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Shaun Barrett</author>
  </authors>
  <commentList>
    <comment ref="E8" authorId="0" shapeId="0" xr:uid="{07330F08-7607-4AAE-8B66-B6F500DF3BDD}">
      <text>
        <r>
          <rPr>
            <b/>
            <sz val="9"/>
            <color indexed="81"/>
            <rFont val="Tahoma"/>
            <family val="2"/>
          </rPr>
          <t>Shaun Barrett:</t>
        </r>
        <r>
          <rPr>
            <sz val="9"/>
            <color indexed="81"/>
            <rFont val="Tahoma"/>
            <family val="2"/>
          </rPr>
          <t xml:space="preserve">
What we should have invoiced for our effort</t>
        </r>
      </text>
    </comment>
    <comment ref="E12" authorId="0" shapeId="0" xr:uid="{EF5D14D0-DCBE-4C7E-9A5A-7D4054D17DFC}">
      <text>
        <r>
          <rPr>
            <b/>
            <sz val="9"/>
            <color indexed="81"/>
            <rFont val="Tahoma"/>
            <family val="2"/>
          </rPr>
          <t>Shaun Barrett:</t>
        </r>
        <r>
          <rPr>
            <sz val="9"/>
            <color indexed="81"/>
            <rFont val="Tahoma"/>
            <family val="2"/>
          </rPr>
          <t xml:space="preserve">
What we should have invoiced for our effort</t>
        </r>
      </text>
    </comment>
  </commentList>
</comments>
</file>

<file path=xl/sharedStrings.xml><?xml version="1.0" encoding="utf-8"?>
<sst xmlns="http://schemas.openxmlformats.org/spreadsheetml/2006/main" count="93" uniqueCount="66">
  <si>
    <t>Phase</t>
  </si>
  <si>
    <t>Hours</t>
  </si>
  <si>
    <t>Lower Bound</t>
  </si>
  <si>
    <t>Upper Bound</t>
  </si>
  <si>
    <t>Analysis</t>
  </si>
  <si>
    <t>8-10</t>
  </si>
  <si>
    <t>Build</t>
  </si>
  <si>
    <t>40 - 48</t>
  </si>
  <si>
    <t>Project Management</t>
  </si>
  <si>
    <t>4-5</t>
  </si>
  <si>
    <t>UAT</t>
  </si>
  <si>
    <t>Total</t>
  </si>
  <si>
    <t>Actual Hours (up to UAT Kick-off)</t>
  </si>
  <si>
    <t xml:space="preserve">Prod </t>
  </si>
  <si>
    <t>UAT Reforcast</t>
  </si>
  <si>
    <t>- Meetings</t>
  </si>
  <si>
    <t>- UAT Reports</t>
  </si>
  <si>
    <t xml:space="preserve">- UAT Testing Assistance </t>
  </si>
  <si>
    <t>- Other</t>
  </si>
  <si>
    <t>Total Hours</t>
  </si>
  <si>
    <t>Weekly backup prior to anonymization running (12 weeks)</t>
  </si>
  <si>
    <t>Prod Support</t>
  </si>
  <si>
    <t>Original</t>
  </si>
  <si>
    <t>Re-Estimate</t>
  </si>
  <si>
    <t>Production Support</t>
  </si>
  <si>
    <t>Weekly backup (12 weeks)</t>
  </si>
  <si>
    <t>Delivery (complete)</t>
  </si>
  <si>
    <t>Delivery (Analysis, Build, PM)</t>
  </si>
  <si>
    <t>Estimate</t>
  </si>
  <si>
    <t>Actuals</t>
  </si>
  <si>
    <t>Challenges</t>
  </si>
  <si>
    <t>UAT approach required more effort</t>
  </si>
  <si>
    <t>UAT identified issues that we could not pick up in QA</t>
  </si>
  <si>
    <t>several validation rules are preventing certain lead/contact records from being updated</t>
  </si>
  <si>
    <t>Change Control 1</t>
  </si>
  <si>
    <t>Re-estimated on 23 July (due to the stop/start nature of this project, along with the additional effort needed to assist with UAT)</t>
  </si>
  <si>
    <t>Weekly Prod BackUps</t>
  </si>
  <si>
    <t>Util (Original)</t>
  </si>
  <si>
    <t>Util (Re-Estimate)</t>
  </si>
  <si>
    <t>No documentation accounted for in original estimate or re-estimate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</si>
  <si>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</si>
  <si>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</si>
  <si>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</si>
  <si>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</si>
  <si>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</si>
  <si>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</si>
  <si>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</si>
  <si>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</si>
  <si>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</si>
  <si>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</si>
  <si>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</si>
  <si>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</si>
  <si>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Hypercare</t>
  </si>
  <si>
    <t>Cost Estimates and "Actuals"</t>
  </si>
  <si>
    <t>SOW</t>
  </si>
  <si>
    <t>Actual</t>
  </si>
  <si>
    <t>Week 13</t>
  </si>
  <si>
    <t>Week 14</t>
  </si>
  <si>
    <t>Week 15</t>
  </si>
  <si>
    <t>Week 16</t>
  </si>
  <si>
    <t>Week 17</t>
  </si>
  <si>
    <t>Week 18</t>
  </si>
  <si>
    <t>Week 19</t>
  </si>
  <si>
    <t>Prod</t>
  </si>
  <si>
    <t xml:space="preserve">Timelines were pushed out </t>
  </si>
  <si>
    <t>Production deployment and post go-live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</si>
</sst>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£-809]* #,##0_-;\-[$£-809]* #,##0_-;_-[$£-809]* &quot;-&quot;??_-;_-@_-"/>
    <numFmt numFmtId="165" formatCode="[$£-809]#,##0.00"/>
  </numFmts>
  <fonts count="8" x14ac:knownFonts="1">
    <font>
      <sz val="12"/>
      <color theme="1"/>
      <name val="Aptos Narrow"/>
      <family val="2"/>
      <scheme val="minor"/>
    </font>
    <font>
      <sz val="10"/>
      <color theme="1"/>
      <name val="Verdana"/>
      <family val="2"/>
    </font>
    <font>
      <b/>
      <sz val="10"/>
      <color rgb="FF000000"/>
      <name val="Verdana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0">
    <xf numFmtId="0" fontId="0" fillId="0" borderId="0" xfId="0"/>
    <xf numFmtId="0" fontId="2" fillId="2" borderId="1" xfId="0" applyFont="1" applyFill="1" applyBorder="1" applyAlignment="1">
      <alignment horizontal="justify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justify" vertical="center"/>
    </xf>
    <xf numFmtId="0" fontId="2" fillId="3" borderId="5" xfId="0" applyFont="1" applyFill="1" applyBorder="1" applyAlignment="1">
      <alignment horizontal="justify" vertical="center"/>
    </xf>
    <xf numFmtId="0" fontId="2" fillId="3" borderId="6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justify" vertical="center"/>
    </xf>
    <xf numFmtId="164" fontId="1" fillId="0" borderId="4" xfId="0" applyNumberFormat="1" applyFont="1" applyBorder="1" applyAlignment="1">
      <alignment horizontal="right" vertical="center"/>
    </xf>
    <xf numFmtId="164" fontId="2" fillId="3" borderId="6" xfId="0" applyNumberFormat="1" applyFont="1" applyFill="1" applyBorder="1" applyAlignment="1">
      <alignment horizontal="right" vertical="center"/>
    </xf>
    <xf numFmtId="49" fontId="1" fillId="0" borderId="4" xfId="0" applyNumberFormat="1" applyFont="1" applyBorder="1" applyAlignment="1">
      <alignment horizontal="center" vertical="center"/>
    </xf>
    <xf numFmtId="0" fontId="0" fillId="0" borderId="7" xfId="0" applyBorder="1"/>
    <xf numFmtId="0" fontId="0" fillId="0" borderId="7" xfId="0" quotePrefix="1" applyBorder="1"/>
    <xf numFmtId="0" fontId="0" fillId="0" borderId="8" xfId="0" applyBorder="1"/>
    <xf numFmtId="0" fontId="3" fillId="0" borderId="7" xfId="0" applyFont="1" applyBorder="1"/>
    <xf numFmtId="0" fontId="3" fillId="2" borderId="7" xfId="0" applyFont="1" applyFill="1" applyBorder="1"/>
    <xf numFmtId="0" fontId="3" fillId="0" borderId="9" xfId="0" applyFont="1" applyBorder="1"/>
    <xf numFmtId="0" fontId="3" fillId="0" borderId="0" xfId="0" applyFont="1"/>
    <xf numFmtId="9" fontId="0" fillId="0" borderId="7" xfId="1" applyFont="1" applyBorder="1"/>
    <xf numFmtId="0" fontId="0" fillId="0" borderId="0" xfId="0" applyAlignment="1">
      <alignment horizontal="left" indent="2"/>
    </xf>
    <xf numFmtId="0" fontId="3" fillId="4" borderId="7" xfId="0" applyFont="1" applyFill="1" applyBorder="1" applyAlignment="1">
      <alignment horizontal="right"/>
    </xf>
    <xf numFmtId="16" fontId="3" fillId="4" borderId="7" xfId="0" applyNumberFormat="1" applyFont="1" applyFill="1" applyBorder="1" applyAlignment="1">
      <alignment horizontal="right"/>
    </xf>
    <xf numFmtId="0" fontId="3" fillId="0" borderId="10" xfId="0" applyFont="1" applyBorder="1"/>
    <xf numFmtId="9" fontId="3" fillId="0" borderId="10" xfId="1" applyFont="1" applyBorder="1"/>
    <xf numFmtId="165" fontId="0" fillId="0" borderId="7" xfId="0" applyNumberFormat="1" applyBorder="1"/>
    <xf numFmtId="0" fontId="3" fillId="4" borderId="7" xfId="0" applyFont="1" applyFill="1" applyBorder="1"/>
    <xf numFmtId="0" fontId="0" fillId="4" borderId="7" xfId="0" applyFill="1" applyBorder="1"/>
    <xf numFmtId="0" fontId="0" fillId="2" borderId="7" xfId="0" applyFill="1" applyBorder="1"/>
    <xf numFmtId="0" fontId="0" fillId="5" borderId="7" xfId="0" applyFill="1" applyBorder="1"/>
    <xf numFmtId="0" fontId="3" fillId="5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12</xdr:row>
      <xdr:rowOff>161925</xdr:rowOff>
    </xdr:from>
    <xdr:to>
      <xdr:col>8</xdr:col>
      <xdr:colOff>5764424</xdr:colOff>
      <xdr:row>25</xdr:row>
      <xdr:rowOff>19393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1537E9-F2C3-5BAA-3CC5-EC2019744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2466975"/>
          <a:ext cx="12889124" cy="24577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1DB89-51BC-CB41-8E68-0C3F95F21058}">
  <dimension ref="A1:H26"/>
  <sheetViews>
    <sheetView tabSelected="1" workbookViewId="0">
      <selection activeCell="B7" sqref="B7"/>
    </sheetView>
  </sheetViews>
  <sheetFormatPr baseColWidth="10" defaultColWidth="11" defaultRowHeight="16" x14ac:dyDescent="0.2"/>
  <cols>
    <col min="1" max="1" width="48" bestFit="1" customWidth="1"/>
    <col min="6" max="6" width="22.5" bestFit="1" customWidth="1"/>
  </cols>
  <sheetData>
    <row r="1" spans="1:8" ht="29" thickBot="1" x14ac:dyDescent="0.25">
      <c r="A1" s="1" t="s">
        <v>0</v>
      </c>
      <c r="B1" s="2" t="s">
        <v>1</v>
      </c>
      <c r="C1" s="3" t="s">
        <v>2</v>
      </c>
      <c r="D1" s="3" t="s">
        <v>3</v>
      </c>
    </row>
    <row r="2" spans="1:8" ht="17" thickBot="1" x14ac:dyDescent="0.25">
      <c r="A2" s="6" t="s">
        <v>4</v>
      </c>
      <c r="B2" s="9" t="s">
        <v>5</v>
      </c>
      <c r="C2" s="7">
        <f>B9*120</f>
        <v>960</v>
      </c>
      <c r="D2" s="7">
        <f>C9*120</f>
        <v>1200</v>
      </c>
    </row>
    <row r="3" spans="1:8" ht="17" thickBot="1" x14ac:dyDescent="0.25">
      <c r="A3" s="6" t="s">
        <v>6</v>
      </c>
      <c r="B3" s="9" t="s">
        <v>7</v>
      </c>
      <c r="C3" s="7">
        <f t="shared" ref="C3:D6" si="0">B10*120</f>
        <v>4800</v>
      </c>
      <c r="D3" s="7">
        <f t="shared" si="0"/>
        <v>5760</v>
      </c>
    </row>
    <row r="4" spans="1:8" ht="17" thickBot="1" x14ac:dyDescent="0.25">
      <c r="A4" s="6" t="s">
        <v>8</v>
      </c>
      <c r="B4" s="9" t="s">
        <v>9</v>
      </c>
      <c r="C4" s="7">
        <f t="shared" si="0"/>
        <v>480</v>
      </c>
      <c r="D4" s="7">
        <f t="shared" si="0"/>
        <v>600</v>
      </c>
    </row>
    <row r="5" spans="1:8" ht="17" thickBot="1" x14ac:dyDescent="0.25">
      <c r="A5" s="6" t="s">
        <v>10</v>
      </c>
      <c r="B5" s="9" t="s">
        <v>5</v>
      </c>
      <c r="C5" s="7">
        <f t="shared" si="0"/>
        <v>960</v>
      </c>
      <c r="D5" s="7">
        <f t="shared" si="0"/>
        <v>1200</v>
      </c>
    </row>
    <row r="6" spans="1:8" ht="17" thickBot="1" x14ac:dyDescent="0.25">
      <c r="A6" s="6" t="s">
        <v>65</v>
      </c>
      <c r="B6" s="9" t="s">
        <v>5</v>
      </c>
      <c r="C6" s="7">
        <f t="shared" si="0"/>
        <v>960</v>
      </c>
      <c r="D6" s="7">
        <f t="shared" si="0"/>
        <v>1200</v>
      </c>
    </row>
    <row r="7" spans="1:8" ht="17" thickBot="1" x14ac:dyDescent="0.25">
      <c r="A7" s="4" t="s">
        <v>11</v>
      </c>
      <c r="B7" s="5" t="str">
        <f>ROUND(B15,0)&amp;" - "&amp;ROUND(C15,0)</f>
        <v>68 - 83</v>
      </c>
      <c r="C7" s="8">
        <f>SUM(C2:C6)</f>
        <v>8160</v>
      </c>
      <c r="D7" s="8">
        <f>SUM(D2:D6)</f>
        <v>9960</v>
      </c>
    </row>
    <row r="8" spans="1:8" ht="17" thickTop="1" x14ac:dyDescent="0.2"/>
    <row r="9" spans="1:8" x14ac:dyDescent="0.2">
      <c r="B9">
        <f>LEFT(B2,FIND("-",B2)-1)*1</f>
        <v>8</v>
      </c>
      <c r="C9">
        <f>MID(B2,FIND("-",B2)+1,LEN(B2)-FIND("-",B2)+1)*1</f>
        <v>10</v>
      </c>
    </row>
    <row r="10" spans="1:8" x14ac:dyDescent="0.2">
      <c r="B10">
        <f t="shared" ref="B10:B13" si="1">LEFT(B3,FIND("-",B3)-1)*1</f>
        <v>40</v>
      </c>
      <c r="C10">
        <f t="shared" ref="C10:C13" si="2">MID(B3,FIND("-",B3)+1,LEN(B3)-FIND("-",B3)+1)*1</f>
        <v>48</v>
      </c>
    </row>
    <row r="11" spans="1:8" x14ac:dyDescent="0.2">
      <c r="B11">
        <f t="shared" si="1"/>
        <v>4</v>
      </c>
      <c r="C11">
        <f t="shared" si="2"/>
        <v>5</v>
      </c>
    </row>
    <row r="12" spans="1:8" x14ac:dyDescent="0.2">
      <c r="B12">
        <f t="shared" si="1"/>
        <v>8</v>
      </c>
      <c r="C12">
        <f t="shared" si="2"/>
        <v>10</v>
      </c>
    </row>
    <row r="13" spans="1:8" x14ac:dyDescent="0.2">
      <c r="B13">
        <f t="shared" si="1"/>
        <v>8</v>
      </c>
      <c r="C13">
        <f t="shared" si="2"/>
        <v>10</v>
      </c>
    </row>
    <row r="15" spans="1:8" x14ac:dyDescent="0.2">
      <c r="B15">
        <f>SUM(B9:B13)</f>
        <v>68</v>
      </c>
      <c r="C15">
        <f>SUM(C9:C13)</f>
        <v>83</v>
      </c>
    </row>
    <row r="16" spans="1:8" x14ac:dyDescent="0.2">
      <c r="F16" s="14" t="s">
        <v>0</v>
      </c>
      <c r="G16" s="14" t="s">
        <v>22</v>
      </c>
      <c r="H16" s="14" t="s">
        <v>23</v>
      </c>
    </row>
    <row r="17" spans="1:8" x14ac:dyDescent="0.2">
      <c r="A17" s="10" t="s">
        <v>12</v>
      </c>
      <c r="B17" s="10"/>
      <c r="C17" s="10">
        <v>75</v>
      </c>
      <c r="F17" s="10" t="s">
        <v>26</v>
      </c>
      <c r="G17" s="10">
        <f>10+48+5</f>
        <v>63</v>
      </c>
      <c r="H17" s="10">
        <v>75</v>
      </c>
    </row>
    <row r="18" spans="1:8" x14ac:dyDescent="0.2">
      <c r="A18" s="10" t="s">
        <v>14</v>
      </c>
      <c r="B18" s="10"/>
      <c r="C18" s="10">
        <f>SUM(B19:B22)</f>
        <v>22.5</v>
      </c>
      <c r="F18" s="10" t="s">
        <v>10</v>
      </c>
      <c r="G18" s="10">
        <v>10</v>
      </c>
      <c r="H18" s="10">
        <v>22.5</v>
      </c>
    </row>
    <row r="19" spans="1:8" x14ac:dyDescent="0.2">
      <c r="A19" s="11" t="s">
        <v>15</v>
      </c>
      <c r="B19" s="10">
        <v>3</v>
      </c>
      <c r="F19" s="10" t="s">
        <v>24</v>
      </c>
      <c r="G19" s="10">
        <v>6.5</v>
      </c>
      <c r="H19" s="10">
        <v>6.5</v>
      </c>
    </row>
    <row r="20" spans="1:8" x14ac:dyDescent="0.2">
      <c r="A20" s="11" t="s">
        <v>16</v>
      </c>
      <c r="B20" s="10">
        <v>0.5</v>
      </c>
      <c r="F20" s="10" t="s">
        <v>25</v>
      </c>
      <c r="G20" s="10">
        <v>0</v>
      </c>
      <c r="H20" s="10">
        <v>6</v>
      </c>
    </row>
    <row r="21" spans="1:8" ht="17" thickBot="1" x14ac:dyDescent="0.25">
      <c r="A21" s="11" t="s">
        <v>17</v>
      </c>
      <c r="B21" s="10">
        <v>16</v>
      </c>
      <c r="F21" s="13" t="s">
        <v>11</v>
      </c>
      <c r="G21" s="15">
        <f>SUM(G17:G20)</f>
        <v>79.5</v>
      </c>
      <c r="H21" s="15">
        <f>SUM(H17:H20)</f>
        <v>110</v>
      </c>
    </row>
    <row r="22" spans="1:8" ht="17" thickTop="1" x14ac:dyDescent="0.2">
      <c r="A22" s="11" t="s">
        <v>18</v>
      </c>
      <c r="B22" s="10">
        <v>3</v>
      </c>
    </row>
    <row r="23" spans="1:8" x14ac:dyDescent="0.2">
      <c r="A23" s="10" t="s">
        <v>13</v>
      </c>
      <c r="B23" s="10"/>
      <c r="C23" s="10">
        <f>SUM(B24:B25)</f>
        <v>12.5</v>
      </c>
    </row>
    <row r="24" spans="1:8" x14ac:dyDescent="0.2">
      <c r="A24" s="12" t="s">
        <v>21</v>
      </c>
      <c r="B24" s="12">
        <v>6.5</v>
      </c>
      <c r="C24" s="10"/>
    </row>
    <row r="25" spans="1:8" x14ac:dyDescent="0.2">
      <c r="A25" s="10" t="s">
        <v>20</v>
      </c>
      <c r="B25" s="10">
        <f>0.5*12</f>
        <v>6</v>
      </c>
      <c r="C25" s="10"/>
    </row>
    <row r="26" spans="1:8" x14ac:dyDescent="0.2">
      <c r="A26" s="10" t="s">
        <v>19</v>
      </c>
      <c r="B26" s="10"/>
      <c r="C26" s="10">
        <f>SUM(C17:C23)</f>
        <v>110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BAA9A-716A-4D72-BE3E-978E04D1EF59}">
  <dimension ref="B1:I12"/>
  <sheetViews>
    <sheetView workbookViewId="0">
      <selection activeCell="G30" sqref="G30"/>
    </sheetView>
  </sheetViews>
  <sheetFormatPr baseColWidth="10" defaultColWidth="8.83203125" defaultRowHeight="16" x14ac:dyDescent="0.2"/>
  <cols>
    <col min="1" max="1" width="7" customWidth="1"/>
    <col min="2" max="2" width="24.6640625" bestFit="1" customWidth="1"/>
    <col min="3" max="3" width="11.1640625" customWidth="1"/>
    <col min="4" max="4" width="13.6640625" customWidth="1"/>
    <col min="5" max="5" width="11.5" customWidth="1"/>
    <col min="6" max="6" width="11.6640625" bestFit="1" customWidth="1"/>
    <col min="7" max="7" width="15.5" bestFit="1" customWidth="1"/>
    <col min="8" max="8" width="5" customWidth="1"/>
    <col min="9" max="9" width="104" bestFit="1" customWidth="1"/>
  </cols>
  <sheetData>
    <row r="1" spans="2:9" ht="8.25" customHeight="1" x14ac:dyDescent="0.2"/>
    <row r="2" spans="2:9" x14ac:dyDescent="0.2">
      <c r="B2" s="13" t="s">
        <v>0</v>
      </c>
      <c r="C2" s="13" t="s">
        <v>28</v>
      </c>
      <c r="D2" s="13" t="s">
        <v>23</v>
      </c>
      <c r="E2" s="13" t="s">
        <v>29</v>
      </c>
      <c r="F2" s="13" t="s">
        <v>37</v>
      </c>
      <c r="G2" s="13" t="s">
        <v>38</v>
      </c>
      <c r="I2" s="16" t="s">
        <v>30</v>
      </c>
    </row>
    <row r="3" spans="2:9" x14ac:dyDescent="0.2">
      <c r="B3" s="10" t="s">
        <v>27</v>
      </c>
      <c r="C3" s="10">
        <f>10+48+5</f>
        <v>63</v>
      </c>
      <c r="D3" s="10">
        <v>75</v>
      </c>
      <c r="E3" s="10">
        <v>235</v>
      </c>
      <c r="F3" s="17">
        <f>E3/C3</f>
        <v>3.7301587301587302</v>
      </c>
      <c r="G3" s="17">
        <f>E3/D3</f>
        <v>3.1333333333333333</v>
      </c>
      <c r="I3" t="s">
        <v>64</v>
      </c>
    </row>
    <row r="4" spans="2:9" x14ac:dyDescent="0.2">
      <c r="B4" s="10" t="s">
        <v>10</v>
      </c>
      <c r="C4" s="10">
        <v>10</v>
      </c>
      <c r="D4" s="10">
        <v>22.25</v>
      </c>
      <c r="E4" s="10">
        <v>20</v>
      </c>
      <c r="F4" s="17">
        <f>E4/C4</f>
        <v>2</v>
      </c>
      <c r="G4" s="17">
        <f>E4/D4</f>
        <v>0.898876404494382</v>
      </c>
      <c r="I4" t="s">
        <v>31</v>
      </c>
    </row>
    <row r="5" spans="2:9" x14ac:dyDescent="0.2">
      <c r="B5" s="10" t="s">
        <v>21</v>
      </c>
      <c r="C5" s="10">
        <v>6.5</v>
      </c>
      <c r="D5" s="10">
        <v>6.5</v>
      </c>
      <c r="E5" s="10">
        <v>0.75</v>
      </c>
      <c r="F5" s="17">
        <f>E5/C5</f>
        <v>0.11538461538461539</v>
      </c>
      <c r="G5" s="17">
        <f>E5/D5</f>
        <v>0.11538461538461539</v>
      </c>
      <c r="I5" t="s">
        <v>39</v>
      </c>
    </row>
    <row r="6" spans="2:9" x14ac:dyDescent="0.2">
      <c r="B6" s="10" t="s">
        <v>36</v>
      </c>
      <c r="C6" s="10"/>
      <c r="D6" s="10">
        <v>6</v>
      </c>
      <c r="E6" s="10"/>
      <c r="F6" s="17"/>
      <c r="G6" s="17"/>
      <c r="I6" t="s">
        <v>32</v>
      </c>
    </row>
    <row r="7" spans="2:9" x14ac:dyDescent="0.2">
      <c r="B7" s="21" t="s">
        <v>19</v>
      </c>
      <c r="C7" s="21">
        <f>SUM(C3:C5)</f>
        <v>79.5</v>
      </c>
      <c r="D7" s="21">
        <v>110</v>
      </c>
      <c r="E7" s="21">
        <f>SUM(E3:E5)</f>
        <v>255.75</v>
      </c>
      <c r="F7" s="22">
        <f>E7/C7</f>
        <v>3.2169811320754715</v>
      </c>
      <c r="G7" s="22">
        <f>E7/D7</f>
        <v>2.3250000000000002</v>
      </c>
      <c r="I7" s="18" t="s">
        <v>33</v>
      </c>
    </row>
    <row r="8" spans="2:9" x14ac:dyDescent="0.2">
      <c r="B8" s="10" t="s">
        <v>53</v>
      </c>
      <c r="C8" s="23">
        <v>9540</v>
      </c>
      <c r="D8" s="23">
        <v>13200</v>
      </c>
      <c r="E8" s="23">
        <f>E7*120</f>
        <v>30690</v>
      </c>
      <c r="F8" s="10"/>
      <c r="G8" s="10"/>
      <c r="I8" s="18" t="s">
        <v>34</v>
      </c>
    </row>
    <row r="9" spans="2:9" x14ac:dyDescent="0.2">
      <c r="I9" t="s">
        <v>35</v>
      </c>
    </row>
    <row r="10" spans="2:9" x14ac:dyDescent="0.2">
      <c r="B10" s="13" t="s">
        <v>0</v>
      </c>
      <c r="C10" s="13" t="s">
        <v>28</v>
      </c>
      <c r="D10" s="24"/>
      <c r="E10" s="13" t="s">
        <v>29</v>
      </c>
      <c r="F10" s="13" t="s">
        <v>37</v>
      </c>
      <c r="G10" s="24"/>
    </row>
    <row r="11" spans="2:9" x14ac:dyDescent="0.2">
      <c r="B11" s="10" t="s">
        <v>34</v>
      </c>
      <c r="C11" s="10">
        <v>14</v>
      </c>
      <c r="D11" s="25"/>
      <c r="E11" s="10">
        <v>37</v>
      </c>
      <c r="F11" s="17">
        <f>E11/C11</f>
        <v>2.6428571428571428</v>
      </c>
      <c r="G11" s="25"/>
    </row>
    <row r="12" spans="2:9" x14ac:dyDescent="0.2">
      <c r="B12" s="10" t="s">
        <v>53</v>
      </c>
      <c r="C12" s="23">
        <v>2100</v>
      </c>
      <c r="D12" s="25"/>
      <c r="E12" s="23">
        <f>E11*150</f>
        <v>5550</v>
      </c>
      <c r="F12" s="10"/>
      <c r="G12" s="25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1DB61-D514-47C2-91BA-301EA7972ADB}">
  <dimension ref="A2:T13"/>
  <sheetViews>
    <sheetView workbookViewId="0">
      <selection activeCell="I28" sqref="I28"/>
    </sheetView>
  </sheetViews>
  <sheetFormatPr baseColWidth="10" defaultColWidth="8.83203125" defaultRowHeight="16" x14ac:dyDescent="0.2"/>
  <cols>
    <col min="1" max="1" width="14.1640625" customWidth="1"/>
    <col min="2" max="2" width="7.6640625" bestFit="1" customWidth="1"/>
    <col min="3" max="4" width="6.83203125" bestFit="1" customWidth="1"/>
    <col min="5" max="6" width="9.1640625" bestFit="1" customWidth="1"/>
    <col min="7" max="10" width="6.83203125" bestFit="1" customWidth="1"/>
    <col min="11" max="13" width="7.83203125" bestFit="1" customWidth="1"/>
    <col min="17" max="17" width="9.1640625" bestFit="1" customWidth="1"/>
  </cols>
  <sheetData>
    <row r="2" spans="1:20" x14ac:dyDescent="0.2">
      <c r="B2" s="19" t="s">
        <v>40</v>
      </c>
      <c r="C2" s="19" t="s">
        <v>41</v>
      </c>
      <c r="D2" s="19" t="s">
        <v>42</v>
      </c>
      <c r="E2" s="19" t="s">
        <v>43</v>
      </c>
      <c r="F2" s="19" t="s">
        <v>44</v>
      </c>
      <c r="G2" s="19" t="s">
        <v>45</v>
      </c>
      <c r="H2" s="19" t="s">
        <v>46</v>
      </c>
      <c r="I2" s="19" t="s">
        <v>47</v>
      </c>
      <c r="J2" s="19" t="s">
        <v>48</v>
      </c>
      <c r="K2" s="19" t="s">
        <v>49</v>
      </c>
      <c r="L2" s="19" t="s">
        <v>50</v>
      </c>
      <c r="M2" s="19" t="s">
        <v>51</v>
      </c>
      <c r="N2" s="19" t="s">
        <v>56</v>
      </c>
      <c r="O2" s="19" t="s">
        <v>57</v>
      </c>
      <c r="P2" s="19" t="s">
        <v>58</v>
      </c>
      <c r="Q2" s="19" t="s">
        <v>59</v>
      </c>
      <c r="R2" s="19" t="s">
        <v>60</v>
      </c>
      <c r="S2" s="19" t="s">
        <v>61</v>
      </c>
      <c r="T2" s="19" t="s">
        <v>62</v>
      </c>
    </row>
    <row r="3" spans="1:20" x14ac:dyDescent="0.2">
      <c r="B3" s="20">
        <v>45432</v>
      </c>
      <c r="C3" s="20">
        <v>45439</v>
      </c>
      <c r="D3" s="20">
        <v>45446</v>
      </c>
      <c r="E3" s="20">
        <v>45453</v>
      </c>
      <c r="F3" s="20">
        <v>45460</v>
      </c>
      <c r="G3" s="20">
        <v>45467</v>
      </c>
      <c r="H3" s="20">
        <v>45474</v>
      </c>
      <c r="I3" s="20">
        <v>45481</v>
      </c>
      <c r="J3" s="20">
        <v>45488</v>
      </c>
      <c r="K3" s="20">
        <v>45495</v>
      </c>
      <c r="L3" s="20">
        <v>45502</v>
      </c>
      <c r="M3" s="20">
        <v>45509</v>
      </c>
      <c r="N3" s="20">
        <v>45516</v>
      </c>
      <c r="O3" s="20">
        <v>45523</v>
      </c>
      <c r="P3" s="20">
        <v>45530</v>
      </c>
      <c r="Q3" s="20">
        <v>45537</v>
      </c>
      <c r="R3" s="20">
        <v>45544</v>
      </c>
      <c r="S3" s="20">
        <v>45551</v>
      </c>
      <c r="T3" s="20">
        <v>45558</v>
      </c>
    </row>
    <row r="4" spans="1:20" x14ac:dyDescent="0.2">
      <c r="A4" s="28" t="s">
        <v>54</v>
      </c>
      <c r="B4" s="27" t="s">
        <v>4</v>
      </c>
      <c r="C4" s="27"/>
      <c r="D4" s="27"/>
      <c r="E4" s="27"/>
      <c r="F4" s="27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spans="1:20" x14ac:dyDescent="0.2">
      <c r="A5" s="28"/>
      <c r="B5" s="27"/>
      <c r="C5" s="27" t="s">
        <v>6</v>
      </c>
      <c r="D5" s="27"/>
      <c r="E5" s="27"/>
      <c r="F5" s="27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spans="1:20" x14ac:dyDescent="0.2">
      <c r="A6" s="28"/>
      <c r="B6" s="27"/>
      <c r="C6" s="27"/>
      <c r="D6" s="27" t="s">
        <v>10</v>
      </c>
      <c r="E6" s="27"/>
      <c r="F6" s="27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spans="1:20" x14ac:dyDescent="0.2">
      <c r="A7" s="28"/>
      <c r="B7" s="27"/>
      <c r="C7" s="27"/>
      <c r="D7" s="27"/>
      <c r="E7" s="27" t="s">
        <v>63</v>
      </c>
      <c r="F7" s="27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spans="1:20" x14ac:dyDescent="0.2">
      <c r="A8" s="28"/>
      <c r="B8" s="27"/>
      <c r="C8" s="27"/>
      <c r="D8" s="27"/>
      <c r="E8" s="27" t="s">
        <v>52</v>
      </c>
      <c r="F8" s="27" t="s">
        <v>52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spans="1:20" x14ac:dyDescent="0.2">
      <c r="A9" s="29" t="s">
        <v>55</v>
      </c>
      <c r="B9" s="26" t="s">
        <v>4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</row>
    <row r="10" spans="1:20" x14ac:dyDescent="0.2">
      <c r="A10" s="29"/>
      <c r="B10" s="26"/>
      <c r="C10" s="26" t="s">
        <v>6</v>
      </c>
      <c r="D10" s="26"/>
      <c r="E10" s="26" t="s">
        <v>6</v>
      </c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</row>
    <row r="11" spans="1:20" x14ac:dyDescent="0.2">
      <c r="A11" s="29"/>
      <c r="B11" s="26"/>
      <c r="C11" s="26"/>
      <c r="D11" s="26"/>
      <c r="E11" s="26"/>
      <c r="F11" s="26"/>
      <c r="G11" s="26"/>
      <c r="H11" s="26"/>
      <c r="I11" s="26"/>
      <c r="J11" s="26"/>
      <c r="K11" s="26" t="s">
        <v>10</v>
      </c>
      <c r="L11" s="26"/>
      <c r="M11" s="26"/>
      <c r="N11" s="26"/>
      <c r="O11" s="26"/>
      <c r="P11" s="26"/>
      <c r="Q11" s="26"/>
      <c r="R11" s="26"/>
      <c r="S11" s="26"/>
      <c r="T11" s="26"/>
    </row>
    <row r="12" spans="1:20" x14ac:dyDescent="0.2">
      <c r="A12" s="29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 t="s">
        <v>63</v>
      </c>
      <c r="R12" s="26"/>
      <c r="S12" s="26"/>
      <c r="T12" s="26"/>
    </row>
    <row r="13" spans="1:20" x14ac:dyDescent="0.2">
      <c r="A13" s="29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 t="s">
        <v>52</v>
      </c>
      <c r="R13" s="26" t="s">
        <v>52</v>
      </c>
      <c r="S13" s="26"/>
      <c r="T13" s="26"/>
    </row>
  </sheetData>
  <mergeCells count="2">
    <mergeCell ref="A4:A8"/>
    <mergeCell ref="A9:A13"/>
  </mergeCells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4</Value>
    </TaxCatchAll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Props1.xml><?xml version="1.0" encoding="utf-8"?>
<ds:datastoreItem xmlns:ds="http://schemas.openxmlformats.org/officeDocument/2006/customXml" ds:itemID="{C8E306D7-A435-46FA-9AB3-4A9E9100EFC3}"/>
</file>

<file path=customXml/itemProps2.xml><?xml version="1.0" encoding="utf-8"?>
<ds:datastoreItem xmlns:ds="http://schemas.openxmlformats.org/officeDocument/2006/customXml" ds:itemID="{31EAD39E-F8F2-4B13-B9B2-20218E8392DA}">
  <ds:schemaRefs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http://schemas.microsoft.com/office/2006/metadata/properties"/>
    <ds:schemaRef ds:uri="1ffbd5dc-7a64-4097-8396-87f6c90b212f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72C64003-5796-4C7D-870A-F1BC5AA925B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D03083B-4A21-424D-B3B9-F573B12850B8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Estimate</vt:lpstr>
      <vt:lpstr>Actuals</vt:lpstr>
      <vt:lpstr>Timelines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Duncan</dc:creator>
  <cp:keywords/>
  <dc:description/>
  <cp:lastModifiedBy>Sam Duncan</cp:lastModifiedBy>
  <cp:revision/>
  <dcterms:created xsi:type="dcterms:W3CDTF">2024-04-05T16:18:14Z</dcterms:created>
  <dcterms:modified xsi:type="dcterms:W3CDTF">2024-11-15T13:00:51Z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ContentTypeId">
    <vt:lpwstr>0x010100B16301FA1C2D5E4DB9305F31D037531D02070300B4E123A7400DE24C83BA9D1BFCD12C10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  <property fmtid="{D5CDD505-2E9C-101B-9397-08002B2CF9AE}" pid="13" name="SharedWithUsers">
    <vt:lpwstr/>
  </property>
  <property fmtid="{D5CDD505-2E9C-101B-9397-08002B2CF9AE}" pid="14" name="MediaServiceImageTags">
    <vt:lpwstr/>
  </property>
  <property fmtid="{D5CDD505-2E9C-101B-9397-08002B2CF9AE}" pid="15" name="lcf76f155ced4ddcb4097134ff3c332f">
    <vt:lpwstr/>
  </property>
  <property fmtid="{D5CDD505-2E9C-101B-9397-08002B2CF9AE}" pid="16" name="Project_x0020_Document_x0020_Type">
    <vt:lpwstr>4;#Generic Project Document|258c2ed6-b93b-4ffe-8901-a23f2dc98ec9</vt:lpwstr>
  </property>
  <property fmtid="{D5CDD505-2E9C-101B-9397-08002B2CF9AE}" pid="17" name="Client_x0020_Project">
    <vt:lpwstr/>
  </property>
</Properties>
</file>