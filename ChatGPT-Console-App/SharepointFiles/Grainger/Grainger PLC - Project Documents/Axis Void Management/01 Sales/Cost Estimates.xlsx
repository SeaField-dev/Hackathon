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Axis Void Management/01 Sales/"/>
    </mc:Choice>
  </mc:AlternateContent>
  <xr:revisionPtr revIDLastSave="162" documentId="8_{E911D06C-5027-AF40-9CCC-E1FA5567E744}" xr6:coauthVersionLast="47" xr6:coauthVersionMax="47" xr10:uidLastSave="{C4978D08-B7B0-4137-B917-FE3C36E32799}"/>
  <bookViews>
    <workbookView xWindow="-120" yWindow="-120" windowWidth="29040" windowHeight="15720" activeTab="1" xr2:uid="{9EAF6B78-77CD-F141-B055-866846438708}"/>
  </bookViews>
  <sheets>
    <sheet name="Sheet1" sheetId="1" r:id="rId1"/>
    <sheet name="Actuals After Build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B18" i="2"/>
  <c r="C9" i="2"/>
  <c r="C12" i="2"/>
  <c r="B12" i="2"/>
  <c r="B8" i="2"/>
  <c r="C6" i="2"/>
  <c r="B6" i="2"/>
  <c r="C10" i="1"/>
  <c r="D3" i="1" s="1"/>
  <c r="C11" i="1"/>
  <c r="D4" i="1" s="1"/>
  <c r="C12" i="1"/>
  <c r="D5" i="1" s="1"/>
  <c r="C13" i="1"/>
  <c r="D6" i="1" s="1"/>
  <c r="C9" i="1"/>
  <c r="D2" i="1" s="1"/>
  <c r="B10" i="1"/>
  <c r="C3" i="1" s="1"/>
  <c r="B11" i="1"/>
  <c r="C4" i="1" s="1"/>
  <c r="B12" i="1"/>
  <c r="C5" i="1" s="1"/>
  <c r="B13" i="1"/>
  <c r="C6" i="1" s="1"/>
  <c r="B9" i="1"/>
  <c r="C2" i="1" s="1"/>
  <c r="B9" i="2" l="1"/>
  <c r="C7" i="1"/>
  <c r="B15" i="1"/>
  <c r="D7" i="1"/>
  <c r="C15" i="1"/>
  <c r="B7" i="1" s="1"/>
</calcChain>
</file>

<file path=xl/sharedStrings.xml><?xml version="1.0" encoding="utf-8"?>
<sst xmlns="http://schemas.openxmlformats.org/spreadsheetml/2006/main" count="31" uniqueCount="26">
  <si>
    <t>Phase</t>
  </si>
  <si>
    <t>Hours</t>
  </si>
  <si>
    <t>Lower Bound</t>
  </si>
  <si>
    <t>Upper Bound</t>
  </si>
  <si>
    <t>Analysis</t>
  </si>
  <si>
    <t>60 - 78</t>
  </si>
  <si>
    <t>Build</t>
  </si>
  <si>
    <t>200 - 260</t>
  </si>
  <si>
    <t>Project Management</t>
  </si>
  <si>
    <t>12 - 15.6</t>
  </si>
  <si>
    <t>UAT</t>
  </si>
  <si>
    <t>40 - 52</t>
  </si>
  <si>
    <t>Production</t>
  </si>
  <si>
    <t>5 - 6.5</t>
  </si>
  <si>
    <t>Total</t>
  </si>
  <si>
    <t>Estimate</t>
  </si>
  <si>
    <t>Lower</t>
  </si>
  <si>
    <t>Upper</t>
  </si>
  <si>
    <t>PM</t>
  </si>
  <si>
    <t>Item</t>
  </si>
  <si>
    <t>Actual Util</t>
  </si>
  <si>
    <t>Actual Billable</t>
  </si>
  <si>
    <t>All Time - Inc Non-Billable</t>
  </si>
  <si>
    <t>All Time Util</t>
  </si>
  <si>
    <t>Remaining Time</t>
  </si>
  <si>
    <t>Prod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</si>
</sst>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sz val="12"/>
      <color theme="1"/>
      <name val="Aptos Narrow"/>
      <family val="2"/>
      <scheme val="minor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1" fillId="0" borderId="0" xfId="0" applyFont="1"/>
    <xf numFmtId="0" fontId="1" fillId="0" borderId="7" xfId="0" applyFont="1" applyBorder="1"/>
    <xf numFmtId="0" fontId="4" fillId="0" borderId="7" xfId="0" applyFont="1" applyBorder="1"/>
    <xf numFmtId="9" fontId="1" fillId="0" borderId="7" xfId="1" applyFont="1" applyBorder="1"/>
    <xf numFmtId="0" fontId="4" fillId="0" borderId="8" xfId="0" applyFont="1" applyBorder="1"/>
    <xf numFmtId="0" fontId="4" fillId="0" borderId="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0</xdr:rowOff>
    </xdr:from>
    <xdr:to>
      <xdr:col>18</xdr:col>
      <xdr:colOff>200025</xdr:colOff>
      <xdr:row>28</xdr:row>
      <xdr:rowOff>123134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33918-33E2-9484-7598-C3CA3E2A7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0"/>
          <a:ext cx="10363200" cy="4695134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29</xdr:row>
      <xdr:rowOff>57150</xdr:rowOff>
    </xdr:from>
    <xdr:to>
      <xdr:col>21</xdr:col>
      <xdr:colOff>163805</xdr:colOff>
      <xdr:row>39</xdr:row>
      <xdr:rowOff>85955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310514-4DC2-6A85-384A-DCE5B27BE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4075" y="4772025"/>
          <a:ext cx="13470230" cy="1648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2B8-57E8-1A4D-877A-D826225CD4C7}">
  <dimension ref="A1:D15"/>
  <sheetViews>
    <sheetView workbookViewId="0">
      <selection activeCell="F13" sqref="F13"/>
    </sheetView>
  </sheetViews>
  <sheetFormatPr defaultColWidth="11" defaultRowHeight="15.75" x14ac:dyDescent="0.25"/>
  <cols>
    <col min="1" max="1" width="24.125" customWidth="1"/>
    <col min="2" max="2" width="10" bestFit="1" customWidth="1"/>
    <col min="3" max="3" width="13.5" bestFit="1" customWidth="1"/>
    <col min="4" max="4" width="13.375" bestFit="1" customWidth="1"/>
  </cols>
  <sheetData>
    <row r="1" spans="1:4" ht="16.5" thickBot="1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ht="16.5" thickBot="1" x14ac:dyDescent="0.3">
      <c r="A2" s="4" t="s">
        <v>4</v>
      </c>
      <c r="B2" s="5" t="s">
        <v>5</v>
      </c>
      <c r="C2" s="8">
        <f>B9*120</f>
        <v>7200</v>
      </c>
      <c r="D2" s="8">
        <f>C9*120</f>
        <v>9360</v>
      </c>
    </row>
    <row r="3" spans="1:4" ht="16.5" thickBot="1" x14ac:dyDescent="0.3">
      <c r="A3" s="4" t="s">
        <v>6</v>
      </c>
      <c r="B3" s="5" t="s">
        <v>7</v>
      </c>
      <c r="C3" s="8">
        <f t="shared" ref="C3:D6" si="0">B10*120</f>
        <v>24000</v>
      </c>
      <c r="D3" s="8">
        <f t="shared" si="0"/>
        <v>31200</v>
      </c>
    </row>
    <row r="4" spans="1:4" ht="16.5" thickBot="1" x14ac:dyDescent="0.3">
      <c r="A4" s="4" t="s">
        <v>8</v>
      </c>
      <c r="B4" s="5" t="s">
        <v>9</v>
      </c>
      <c r="C4" s="8">
        <f t="shared" si="0"/>
        <v>1440</v>
      </c>
      <c r="D4" s="8">
        <f t="shared" si="0"/>
        <v>1872</v>
      </c>
    </row>
    <row r="5" spans="1:4" ht="16.5" thickBot="1" x14ac:dyDescent="0.3">
      <c r="A5" s="4" t="s">
        <v>10</v>
      </c>
      <c r="B5" s="5" t="s">
        <v>11</v>
      </c>
      <c r="C5" s="8">
        <f t="shared" si="0"/>
        <v>4800</v>
      </c>
      <c r="D5" s="8">
        <f t="shared" si="0"/>
        <v>6240</v>
      </c>
    </row>
    <row r="6" spans="1:4" ht="16.5" thickBot="1" x14ac:dyDescent="0.3">
      <c r="A6" s="4" t="s">
        <v>12</v>
      </c>
      <c r="B6" s="5" t="s">
        <v>13</v>
      </c>
      <c r="C6" s="8">
        <f t="shared" si="0"/>
        <v>600</v>
      </c>
      <c r="D6" s="8">
        <f t="shared" si="0"/>
        <v>780</v>
      </c>
    </row>
    <row r="7" spans="1:4" ht="16.5" thickBot="1" x14ac:dyDescent="0.3">
      <c r="A7" s="6" t="s">
        <v>14</v>
      </c>
      <c r="B7" s="7" t="str">
        <f>ROUND(B15,0)&amp;" - "&amp;ROUND(C15,0)</f>
        <v>317 - 412</v>
      </c>
      <c r="C7" s="9">
        <f>SUM(C2:C6)</f>
        <v>38040</v>
      </c>
      <c r="D7" s="9">
        <f>SUM(D2:D6)</f>
        <v>49452</v>
      </c>
    </row>
    <row r="8" spans="1:4" ht="16.5" thickTop="1" x14ac:dyDescent="0.25"/>
    <row r="9" spans="1:4" x14ac:dyDescent="0.25">
      <c r="B9">
        <f>LEFT(B2,FIND("-",B2)-1)*1</f>
        <v>60</v>
      </c>
      <c r="C9">
        <f>MID(B2,FIND("-",B2)+1,LEN(B2)-FIND("-",B2)+1)*1</f>
        <v>78</v>
      </c>
    </row>
    <row r="10" spans="1:4" x14ac:dyDescent="0.25">
      <c r="B10">
        <f t="shared" ref="B10:B13" si="1">LEFT(B3,FIND("-",B3)-1)*1</f>
        <v>200</v>
      </c>
      <c r="C10">
        <f t="shared" ref="C10:C13" si="2">MID(B3,FIND("-",B3)+1,LEN(B3)-FIND("-",B3)+1)*1</f>
        <v>260</v>
      </c>
    </row>
    <row r="11" spans="1:4" x14ac:dyDescent="0.25">
      <c r="B11">
        <f t="shared" si="1"/>
        <v>12</v>
      </c>
      <c r="C11">
        <f t="shared" si="2"/>
        <v>15.6</v>
      </c>
    </row>
    <row r="12" spans="1:4" x14ac:dyDescent="0.25">
      <c r="B12">
        <f t="shared" si="1"/>
        <v>40</v>
      </c>
      <c r="C12">
        <f t="shared" si="2"/>
        <v>52</v>
      </c>
    </row>
    <row r="13" spans="1:4" x14ac:dyDescent="0.25">
      <c r="B13">
        <f t="shared" si="1"/>
        <v>5</v>
      </c>
      <c r="C13">
        <f t="shared" si="2"/>
        <v>6.5</v>
      </c>
    </row>
    <row r="15" spans="1:4" x14ac:dyDescent="0.25">
      <c r="B15">
        <f>SUM(B9:B13)</f>
        <v>317</v>
      </c>
      <c r="C15">
        <f>SUM(C9:C13)</f>
        <v>412.1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C2A7-5355-44CA-9DD9-4CBA937A041F}">
  <dimension ref="A1:C19"/>
  <sheetViews>
    <sheetView showGridLines="0" tabSelected="1" workbookViewId="0">
      <selection activeCell="V14" sqref="V14"/>
    </sheetView>
  </sheetViews>
  <sheetFormatPr defaultRowHeight="12.75" x14ac:dyDescent="0.2"/>
  <cols>
    <col min="1" max="1" width="22.5" style="10" bestFit="1" customWidth="1"/>
    <col min="2" max="16384" width="9" style="10"/>
  </cols>
  <sheetData>
    <row r="1" spans="1:3" x14ac:dyDescent="0.2">
      <c r="A1" s="15" t="s">
        <v>15</v>
      </c>
      <c r="B1" s="15"/>
      <c r="C1" s="15"/>
    </row>
    <row r="2" spans="1:3" x14ac:dyDescent="0.2">
      <c r="A2" s="12" t="s">
        <v>19</v>
      </c>
      <c r="B2" s="12" t="s">
        <v>16</v>
      </c>
      <c r="C2" s="12" t="s">
        <v>17</v>
      </c>
    </row>
    <row r="3" spans="1:3" x14ac:dyDescent="0.2">
      <c r="A3" s="11" t="s">
        <v>4</v>
      </c>
      <c r="B3" s="11">
        <v>60</v>
      </c>
      <c r="C3" s="11">
        <v>78</v>
      </c>
    </row>
    <row r="4" spans="1:3" x14ac:dyDescent="0.2">
      <c r="A4" s="11" t="s">
        <v>6</v>
      </c>
      <c r="B4" s="11">
        <v>200</v>
      </c>
      <c r="C4" s="11">
        <v>260</v>
      </c>
    </row>
    <row r="5" spans="1:3" x14ac:dyDescent="0.2">
      <c r="A5" s="11" t="s">
        <v>18</v>
      </c>
      <c r="B5" s="11">
        <v>12</v>
      </c>
      <c r="C5" s="11">
        <v>15</v>
      </c>
    </row>
    <row r="6" spans="1:3" ht="13.5" thickBot="1" x14ac:dyDescent="0.25">
      <c r="A6" s="12" t="s">
        <v>14</v>
      </c>
      <c r="B6" s="14">
        <f>SUM(B3:B5)</f>
        <v>272</v>
      </c>
      <c r="C6" s="14">
        <f>SUM(C3:C5)</f>
        <v>353</v>
      </c>
    </row>
    <row r="7" spans="1:3" ht="13.5" thickTop="1" x14ac:dyDescent="0.2"/>
    <row r="8" spans="1:3" x14ac:dyDescent="0.2">
      <c r="A8" s="11" t="s">
        <v>21</v>
      </c>
      <c r="B8" s="11">
        <f>288.25+21.5</f>
        <v>309.75</v>
      </c>
      <c r="C8" s="11"/>
    </row>
    <row r="9" spans="1:3" x14ac:dyDescent="0.2">
      <c r="A9" s="11" t="s">
        <v>20</v>
      </c>
      <c r="B9" s="13">
        <f>B8/B6</f>
        <v>1.1387867647058822</v>
      </c>
      <c r="C9" s="13">
        <f>B8/C6</f>
        <v>0.87747875354107652</v>
      </c>
    </row>
    <row r="11" spans="1:3" x14ac:dyDescent="0.2">
      <c r="A11" s="11" t="s">
        <v>22</v>
      </c>
      <c r="B11" s="11">
        <v>405.75</v>
      </c>
      <c r="C11" s="11"/>
    </row>
    <row r="12" spans="1:3" x14ac:dyDescent="0.2">
      <c r="A12" s="11" t="s">
        <v>23</v>
      </c>
      <c r="B12" s="13">
        <f>B11/B6</f>
        <v>1.4917279411764706</v>
      </c>
      <c r="C12" s="13">
        <f>B11/C6</f>
        <v>1.1494334277620397</v>
      </c>
    </row>
    <row r="15" spans="1:3" x14ac:dyDescent="0.2">
      <c r="A15" s="15" t="s">
        <v>24</v>
      </c>
      <c r="B15" s="15"/>
      <c r="C15" s="15"/>
    </row>
    <row r="16" spans="1:3" x14ac:dyDescent="0.2">
      <c r="A16" s="11" t="s">
        <v>10</v>
      </c>
      <c r="B16" s="11">
        <v>40</v>
      </c>
      <c r="C16" s="11">
        <v>52</v>
      </c>
    </row>
    <row r="17" spans="1:3" x14ac:dyDescent="0.2">
      <c r="A17" s="11" t="s">
        <v>25</v>
      </c>
      <c r="B17" s="11">
        <v>5</v>
      </c>
      <c r="C17" s="11">
        <v>6.5</v>
      </c>
    </row>
    <row r="18" spans="1:3" ht="13.5" thickBot="1" x14ac:dyDescent="0.25">
      <c r="A18" s="12" t="s">
        <v>14</v>
      </c>
      <c r="B18" s="14">
        <f>SUM(B16:B17)</f>
        <v>45</v>
      </c>
      <c r="C18" s="14">
        <f>SUM(C16:C17)</f>
        <v>58.5</v>
      </c>
    </row>
    <row r="19" spans="1:3" ht="13.5" thickTop="1" x14ac:dyDescent="0.2"/>
  </sheetData>
  <mergeCells count="2">
    <mergeCell ref="A1:C1"/>
    <mergeCell ref="A15:C1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84B3C-4CFD-4B43-9A59-20BF79A817E8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ffbd5dc-7a64-4097-8396-87f6c90b212f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0106C76-9F5B-440A-A82D-9AA38EE4A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Actuals After Build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2024-03-22T20:08:59Z</dcterms:created>
  <dcterms:modified xsi:type="dcterms:W3CDTF">2024-04-30T14:08:05Z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</Properties>
</file>