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Lead Optimisation/01. Sales/"/>
    </mc:Choice>
  </mc:AlternateContent>
  <xr:revisionPtr revIDLastSave="1143" documentId="8_{B82D0F34-3528-4075-919F-3ADED3EA6E76}" xr6:coauthVersionLast="47" xr6:coauthVersionMax="47" xr10:uidLastSave="{7515BBB5-D9C1-4303-A0F4-EB017548C018}"/>
  <bookViews>
    <workbookView xWindow="28680" yWindow="-120" windowWidth="29040" windowHeight="15720" tabRatio="699" xr2:uid="{82DBA3FB-BAAE-4513-8EBD-08C2C1522918}"/>
  </bookViews>
  <sheets>
    <sheet name="Consulting SOW Estimate" sheetId="17" r:id="rId1"/>
    <sheet name="Consulting SOW Estimate1" sheetId="16" state="hidden" r:id="rId2"/>
    <sheet name="Proposal x Estimate" sheetId="14" r:id="rId3"/>
    <sheet name="Proposal x_Features" sheetId="15" r:id="rId4"/>
    <sheet name="DNU_SOW v1" sheetId="6" state="hidden" r:id="rId5"/>
    <sheet name="DNU_Team &amp; Velocity v1" sheetId="2" state="hidden" r:id="rId6"/>
    <sheet name="Currency" sheetId="7" state="hidden" r:id="rId7"/>
  </sheets>
  <definedNames>
    <definedName name="_xlnm._FilterDatabase" localSheetId="3" hidden="1">'Proposal x_Features'!$A$1:$D$1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7" l="1"/>
  <c r="F9" i="17"/>
  <c r="F19" i="17"/>
  <c r="F13" i="17"/>
  <c r="F23" i="17"/>
  <c r="I19" i="17"/>
  <c r="I20" i="17" s="1"/>
  <c r="H19" i="17"/>
  <c r="L7" i="17"/>
  <c r="L17" i="17"/>
  <c r="L18" i="17" s="1"/>
  <c r="E10" i="17" s="1"/>
  <c r="D20" i="17"/>
  <c r="L8" i="17"/>
  <c r="D23" i="17"/>
  <c r="E21" i="17"/>
  <c r="D21" i="17"/>
  <c r="G14" i="17"/>
  <c r="G24" i="17" s="1"/>
  <c r="F14" i="17"/>
  <c r="F24" i="17" s="1"/>
  <c r="E22" i="17"/>
  <c r="D22" i="17"/>
  <c r="G8" i="17"/>
  <c r="G18" i="17" s="1"/>
  <c r="F8" i="17"/>
  <c r="F18" i="17" s="1"/>
  <c r="X9" i="17"/>
  <c r="K32" i="17"/>
  <c r="N29" i="17"/>
  <c r="N28" i="17"/>
  <c r="N27" i="17"/>
  <c r="N26" i="17"/>
  <c r="N24" i="17"/>
  <c r="X6" i="17"/>
  <c r="N23" i="17"/>
  <c r="G12" i="17"/>
  <c r="N22" i="17"/>
  <c r="B2" i="17"/>
  <c r="C13" i="16"/>
  <c r="C12" i="16"/>
  <c r="H18" i="16"/>
  <c r="G18" i="16"/>
  <c r="B2" i="16"/>
  <c r="O26" i="14"/>
  <c r="J26" i="14"/>
  <c r="F25" i="14"/>
  <c r="F35" i="14" s="1"/>
  <c r="F24" i="14"/>
  <c r="E24" i="14"/>
  <c r="F6" i="14"/>
  <c r="C5" i="14"/>
  <c r="E25" i="14"/>
  <c r="E35" i="14" s="1"/>
  <c r="D32" i="14"/>
  <c r="C32" i="14"/>
  <c r="C36" i="14" s="1"/>
  <c r="F10" i="14"/>
  <c r="F9" i="14"/>
  <c r="C31" i="14"/>
  <c r="I32" i="14" s="1"/>
  <c r="I34" i="14" s="1"/>
  <c r="D24" i="14"/>
  <c r="D34" i="14" s="1"/>
  <c r="C24" i="14"/>
  <c r="C34" i="14" s="1"/>
  <c r="D23" i="14"/>
  <c r="D33" i="14" s="1"/>
  <c r="C23" i="14"/>
  <c r="C33" i="14" s="1"/>
  <c r="B36" i="14"/>
  <c r="J25" i="14"/>
  <c r="F20" i="14"/>
  <c r="F30" i="14" s="1"/>
  <c r="E20" i="14"/>
  <c r="E30" i="14" s="1"/>
  <c r="F19" i="14"/>
  <c r="F29" i="14" s="1"/>
  <c r="E19" i="14"/>
  <c r="E29" i="14" s="1"/>
  <c r="I14" i="14"/>
  <c r="E12" i="14"/>
  <c r="B12" i="14"/>
  <c r="M11" i="14"/>
  <c r="K10" i="14"/>
  <c r="K9" i="14"/>
  <c r="K8" i="14"/>
  <c r="K7" i="14"/>
  <c r="K6" i="14"/>
  <c r="K5" i="14"/>
  <c r="K4" i="14"/>
  <c r="B2" i="14"/>
  <c r="L9" i="17" l="1"/>
  <c r="D9" i="17" s="1"/>
  <c r="D10" i="17"/>
  <c r="F10" i="17" s="1"/>
  <c r="F20" i="17" s="1"/>
  <c r="H20" i="17"/>
  <c r="H21" i="17" s="1"/>
  <c r="N30" i="17"/>
  <c r="L10" i="17"/>
  <c r="E9" i="17" s="1"/>
  <c r="G10" i="17"/>
  <c r="G20" i="17" s="1"/>
  <c r="M25" i="17"/>
  <c r="F12" i="17"/>
  <c r="F22" i="17" s="1"/>
  <c r="G13" i="17"/>
  <c r="I21" i="17"/>
  <c r="I22" i="17" s="1"/>
  <c r="AA10" i="17"/>
  <c r="AA12" i="17" s="1"/>
  <c r="D25" i="17"/>
  <c r="D26" i="17" s="1"/>
  <c r="C14" i="16"/>
  <c r="C15" i="16" s="1"/>
  <c r="D31" i="14"/>
  <c r="K32" i="14" s="1"/>
  <c r="K34" i="14" s="1"/>
  <c r="K35" i="14" s="1"/>
  <c r="K36" i="14" s="1"/>
  <c r="K11" i="14"/>
  <c r="I35" i="14"/>
  <c r="I36" i="14" s="1"/>
  <c r="C38" i="14"/>
  <c r="E21" i="14"/>
  <c r="E31" i="14" s="1"/>
  <c r="F21" i="14"/>
  <c r="L15" i="14"/>
  <c r="L17" i="14" s="1"/>
  <c r="N32" i="17" l="1"/>
  <c r="H22" i="17"/>
  <c r="H23" i="17" s="1"/>
  <c r="G19" i="17"/>
  <c r="G22" i="17"/>
  <c r="E23" i="17"/>
  <c r="E25" i="17" s="1"/>
  <c r="E26" i="17" s="1"/>
  <c r="G23" i="17"/>
  <c r="C19" i="16"/>
  <c r="G19" i="16" s="1"/>
  <c r="D19" i="16"/>
  <c r="H19" i="16" s="1"/>
  <c r="F31" i="14"/>
  <c r="D36" i="14"/>
  <c r="D38" i="14" s="1"/>
  <c r="F11" i="14"/>
  <c r="F12" i="14" s="1"/>
  <c r="L6" i="14"/>
  <c r="C12" i="14"/>
  <c r="L7" i="14"/>
  <c r="L4" i="14"/>
  <c r="L10" i="14"/>
  <c r="B6" i="2"/>
  <c r="B8" i="2"/>
  <c r="D19" i="6"/>
  <c r="D12" i="6"/>
  <c r="C32" i="6"/>
  <c r="C31" i="6"/>
  <c r="C30" i="6"/>
  <c r="C29" i="6"/>
  <c r="C27" i="6"/>
  <c r="I23" i="17" l="1"/>
  <c r="G11" i="17"/>
  <c r="F11" i="17"/>
  <c r="F22" i="14"/>
  <c r="F26" i="14" s="1"/>
  <c r="D5" i="14"/>
  <c r="L11" i="14"/>
  <c r="H21" i="6"/>
  <c r="F31" i="6" s="1"/>
  <c r="G21" i="6"/>
  <c r="E31" i="6" s="1"/>
  <c r="E20" i="6"/>
  <c r="D20" i="6"/>
  <c r="E19" i="6"/>
  <c r="C26" i="6"/>
  <c r="H17" i="6"/>
  <c r="F27" i="6" s="1"/>
  <c r="G17" i="6"/>
  <c r="E27" i="6" s="1"/>
  <c r="F9" i="6"/>
  <c r="F11" i="6" s="1"/>
  <c r="E18" i="6" s="1"/>
  <c r="F8" i="6"/>
  <c r="D9" i="6"/>
  <c r="G21" i="17" l="1"/>
  <c r="G25" i="17" s="1"/>
  <c r="F21" i="17"/>
  <c r="F25" i="17" s="1"/>
  <c r="F15" i="17"/>
  <c r="G15" i="17"/>
  <c r="G20" i="16"/>
  <c r="H20" i="16"/>
  <c r="F32" i="14"/>
  <c r="E22" i="14"/>
  <c r="E32" i="14" s="1"/>
  <c r="F23" i="14"/>
  <c r="F33" i="14" s="1"/>
  <c r="F34" i="14"/>
  <c r="E34" i="14"/>
  <c r="E23" i="14"/>
  <c r="F10" i="6"/>
  <c r="D18" i="6" s="1"/>
  <c r="G18" i="6" s="1"/>
  <c r="E28" i="6" s="1"/>
  <c r="H18" i="6"/>
  <c r="F28" i="6" s="1"/>
  <c r="H19" i="6"/>
  <c r="F29" i="6" s="1"/>
  <c r="G20" i="6"/>
  <c r="E30" i="6" s="1"/>
  <c r="H20" i="6"/>
  <c r="F30" i="6" s="1"/>
  <c r="G19" i="6"/>
  <c r="E29" i="6" s="1"/>
  <c r="E33" i="14" l="1"/>
  <c r="E36" i="14" s="1"/>
  <c r="E26" i="14"/>
  <c r="F36" i="14"/>
  <c r="G22" i="6"/>
  <c r="E32" i="6" s="1"/>
  <c r="H22" i="6"/>
  <c r="F3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tc={FC4F12D2-F276-46E6-AE51-E99E68DD3F5A}</author>
    <author>tc={1E5D5335-6D7E-4675-9E21-C2B5C48FF2D0}</author>
    <author>tc={8A9B25BD-315E-4EDC-895D-7B9EC0DB1AAB}</author>
    <author>Nikki Papenfus</author>
  </authors>
  <commentList>
    <comment ref="W4" authorId="0" shapeId="0" xr:uid="{FC4F12D2-F276-46E6-AE51-E99E68DD3F5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the extent of discovery already completed, and knowledge of the client's business &amp; Org.</t>
      </text>
    </comment>
    <comment ref="W5" authorId="1" shapeId="0" xr:uid="{1E5D5335-6D7E-4675-9E21-C2B5C48FF2D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extent of custom component development, use of 3rd party apps, 3rd party integrations.</t>
      </text>
    </comment>
    <comment ref="X10" authorId="2" shapeId="0" xr:uid="{8A9B25BD-315E-4EDC-895D-7B9EC0DB1AAB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point story = 5 days to dev, QA, fix bugs &amp; deploy</t>
      </text>
    </comment>
    <comment ref="Z10" authorId="3" shapeId="0" xr:uid="{F9C81681-37D9-46A0-BD91-223231F4B7D0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TO BE DECIDED 
SVOT project: Average points delivered by 1 Dev FTE in a 3 week sprint = 16.4 points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tc={BAF56DF6-CF5E-4DCD-918F-123D3A97F77A}</author>
    <author>tc={6371F4C0-76EF-4713-89E9-218FA6A3F813}</author>
    <author>Nikki Papenfus</author>
    <author>tc={AD42F3EA-BFBB-409F-8DAA-8FE8691D079A}</author>
  </authors>
  <commentList>
    <comment ref="E4" authorId="0" shapeId="0" xr:uid="{BAF56DF6-CF5E-4DCD-918F-123D3A97F77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the extent of discovery already completed, and knowledge of the client's business &amp; Org.</t>
      </text>
    </comment>
    <comment ref="E5" authorId="1" shapeId="0" xr:uid="{6371F4C0-76EF-4713-89E9-218FA6A3F8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extent of custom component development, use of 3rd party apps, 3rd party integrations.</t>
      </text>
    </comment>
    <comment ref="B11" authorId="2" shapeId="0" xr:uid="{47444FCA-06F8-41F3-8005-9593835794DA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Seems high for support. Should we allow for different FTEs for UAT &amp; support?</t>
        </r>
      </text>
    </comment>
    <comment ref="I15" authorId="3" shapeId="0" xr:uid="{AD42F3EA-BFBB-409F-8DAA-8FE8691D079A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point story = 5 days to dev, QA, fix bugs &amp; deploy</t>
      </text>
    </comment>
    <comment ref="K15" authorId="2" shapeId="0" xr:uid="{E381AB9D-2359-4187-B6FA-6B8AAB6C329D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TO BE DECIDED 
SVOT project: Average points delivered by 1 Dev FTE in a 3 week sprint = 16.4 points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Papenfus</author>
  </authors>
  <commentList>
    <comment ref="F7" authorId="0" shapeId="0" xr:uid="{C6CE76B7-7D18-4C67-96CA-0F47790B1466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Need to add a contingency factor - this is a SOW / proposal-level estimate.
Add a % for unknown 'must have' requirements, which may vary depending on the extent of discovery already done, knowledge of the client's business &amp; org.
Add a % for unanticipated complexity of known features, which may vary depending on extent of custom components, external plug ins, 3rd party integration.</t>
        </r>
      </text>
    </comment>
    <comment ref="F8" authorId="0" shapeId="0" xr:uid="{92354FEB-48B9-4747-87F4-D49BEF5FDDBC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The veloocity #s should be a formula based on number of developers / dev FTEs</t>
        </r>
      </text>
    </comment>
    <comment ref="D9" authorId="0" shapeId="0" xr:uid="{DA7B35AE-5F11-4615-9C05-AE6A58CC1739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this should round up to the nearerst 0,5 or 0,25   </t>
        </r>
      </text>
    </comment>
    <comment ref="D11" authorId="0" shapeId="0" xr:uid="{81B9219B-171F-4A17-AE78-EEE4912FDDE4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this needs to be a formula</t>
        </r>
      </text>
    </comment>
    <comment ref="E32" authorId="0" shapeId="0" xr:uid="{4D757BBB-3D70-4496-ADC4-28436C59BCFA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these totals should be a sum of the above in case we change them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Nikki Papenfus</author>
  </authors>
  <commentList>
    <comment ref="B1" authorId="0" shapeId="0" xr:uid="{59FE14F0-A0F8-48BF-827E-89C1B7A56E86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Is this FTE or allocation? If allocation, then the # of resources is mising from the equation</t>
        </r>
      </text>
    </comment>
    <comment ref="B6" authorId="0" shapeId="0" xr:uid="{F0F1BB12-2DD1-430C-83D5-B84308C86CCB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these inputs need to go on the main page.  This will vary based on project complexity / size / etc, e.g. renewals was a 75% BA allocation for the project. Other projects might not be.
If this is a formula, then the inputs to the formula should be transparant and editable </t>
        </r>
      </text>
    </comment>
    <comment ref="B11" authorId="0" shapeId="0" xr:uid="{555BD363-7D58-485F-8927-646A0EE65A72}">
      <text>
        <r>
          <rPr>
            <b/>
            <sz val="9"/>
            <color indexed="81"/>
            <rFont val="Tahoma"/>
            <family val="2"/>
          </rPr>
          <t>Nikki Papenfus:</t>
        </r>
        <r>
          <rPr>
            <sz val="9"/>
            <color indexed="81"/>
            <rFont val="Tahoma"/>
            <family val="2"/>
          </rPr>
          <t xml:space="preserve">
This needs to be a formula based on number of devs.
or this need to be the number of points for one dev?
Question = do we modify the velocity depending the junior / senior dev mix?
Yes - this will be updated per project and taking team into consideration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<sst xmlns="http://schemas.openxmlformats.org/spreadsheetml/2006/main" count="291" uniqueCount="170">
  <si>
    <t>Lower Bound</t>
  </si>
  <si>
    <t>Upper Bound</t>
  </si>
  <si>
    <t>Production Deployment &amp; Post Go-Live Support </t>
  </si>
  <si>
    <t>User guide creation</t>
  </si>
  <si>
    <t>Done in parallel with sprints </t>
  </si>
  <si>
    <t>Velocity</t>
  </si>
  <si>
    <t>Allocation</t>
  </si>
  <si>
    <t>QA</t>
  </si>
  <si>
    <t>BA</t>
  </si>
  <si>
    <t>PM</t>
  </si>
  <si>
    <t>Team Composition</t>
  </si>
  <si>
    <t>Dev Junior</t>
  </si>
  <si>
    <t>Dev Senior</t>
  </si>
  <si>
    <t>Team Size</t>
  </si>
  <si>
    <t xml:space="preserve">Optimistic </t>
  </si>
  <si>
    <t xml:space="preserve">Pessimistic </t>
  </si>
  <si>
    <t>Story Points per Sprint</t>
  </si>
  <si>
    <t>Project Rate</t>
  </si>
  <si>
    <t>Estimated Story Points</t>
  </si>
  <si>
    <t>Lower Bound Effort</t>
  </si>
  <si>
    <t>Upper Bound Effort</t>
  </si>
  <si>
    <t>4 weeks</t>
  </si>
  <si>
    <t>Team Size - Build</t>
  </si>
  <si>
    <t>Team Size - UAT &amp; Prod Support</t>
  </si>
  <si>
    <t>Total Cost for Release 1</t>
  </si>
  <si>
    <t>Notes</t>
  </si>
  <si>
    <r>
      <t xml:space="preserve">Optimistic </t>
    </r>
    <r>
      <rPr>
        <b/>
        <sz val="11"/>
        <color theme="1"/>
        <rFont val="Calibri"/>
        <family val="2"/>
        <scheme val="minor"/>
      </rPr>
      <t>Velocity</t>
    </r>
  </si>
  <si>
    <r>
      <t xml:space="preserve">Pesimistic </t>
    </r>
    <r>
      <rPr>
        <b/>
        <sz val="11"/>
        <color theme="1"/>
        <rFont val="Calibri"/>
        <family val="2"/>
        <scheme val="minor"/>
      </rPr>
      <t>Velocity</t>
    </r>
  </si>
  <si>
    <r>
      <t xml:space="preserve">Optimistic </t>
    </r>
    <r>
      <rPr>
        <b/>
        <sz val="11"/>
        <color theme="1"/>
        <rFont val="Calibri"/>
        <family val="2"/>
        <scheme val="minor"/>
      </rPr>
      <t>Sprint #</t>
    </r>
  </si>
  <si>
    <r>
      <t xml:space="preserve">Pesimistic </t>
    </r>
    <r>
      <rPr>
        <b/>
        <sz val="11"/>
        <color theme="1"/>
        <rFont val="Calibri"/>
        <family val="2"/>
        <scheme val="minor"/>
      </rPr>
      <t>Sprint #</t>
    </r>
  </si>
  <si>
    <t>Cost for UAT &amp; Prod (per week)</t>
  </si>
  <si>
    <t>Final UAT</t>
  </si>
  <si>
    <t>UAT Weeks</t>
  </si>
  <si>
    <t>Prod Support Weeks</t>
  </si>
  <si>
    <t>Key</t>
  </si>
  <si>
    <t>Enter Value</t>
  </si>
  <si>
    <t>Do not update (Formula)</t>
  </si>
  <si>
    <t>Dollar</t>
  </si>
  <si>
    <t>Pound</t>
  </si>
  <si>
    <t>Rand</t>
  </si>
  <si>
    <t>R</t>
  </si>
  <si>
    <t>£</t>
  </si>
  <si>
    <t>$</t>
  </si>
  <si>
    <t>Currency</t>
  </si>
  <si>
    <t>Duration</t>
  </si>
  <si>
    <t>Internal</t>
  </si>
  <si>
    <t>External</t>
  </si>
  <si>
    <t>`</t>
  </si>
  <si>
    <t>Project Phase</t>
  </si>
  <si>
    <t>Rates &amp; Team</t>
  </si>
  <si>
    <t>Velocity &amp; Duration</t>
  </si>
  <si>
    <t xml:space="preserve">Sprint 0 Rate (T&amp;M) </t>
  </si>
  <si>
    <t>Sprint 0 (hours)</t>
  </si>
  <si>
    <r>
      <t>Release 1:</t>
    </r>
    <r>
      <rPr>
        <strike/>
        <sz val="11"/>
        <color theme="1"/>
        <rFont val="Calibri"/>
        <family val="2"/>
        <scheme val="minor"/>
      </rPr>
      <t xml:space="preserve"> 5 to 8 Sprints</t>
    </r>
  </si>
  <si>
    <t>Cost Per 3 Week Sprint</t>
  </si>
  <si>
    <t xml:space="preserve">Sprint 0 Rate per Hour (T&amp;M) </t>
  </si>
  <si>
    <t>Project Rate per Hour</t>
  </si>
  <si>
    <t>Architect</t>
  </si>
  <si>
    <t>Role</t>
  </si>
  <si>
    <t># People</t>
  </si>
  <si>
    <t>FTE</t>
  </si>
  <si>
    <t xml:space="preserve">Team Size </t>
  </si>
  <si>
    <t>Support</t>
  </si>
  <si>
    <t>Duration (Weeks)</t>
  </si>
  <si>
    <t>Sprint 0</t>
  </si>
  <si>
    <t>Unanticipated Scope</t>
  </si>
  <si>
    <t>Unanticipated Complexity</t>
  </si>
  <si>
    <t>Optimistic Sprint #</t>
  </si>
  <si>
    <t>% of Optimistic</t>
  </si>
  <si>
    <t>Build</t>
  </si>
  <si>
    <t>Points per Sprint</t>
  </si>
  <si>
    <t>Points</t>
  </si>
  <si>
    <t>User Guide</t>
  </si>
  <si>
    <t>Timelines</t>
  </si>
  <si>
    <t>Estimated End Date</t>
  </si>
  <si>
    <t>Pessimistic Sprint #</t>
  </si>
  <si>
    <t>UAT/Go Live</t>
  </si>
  <si>
    <t>Target Start Date</t>
  </si>
  <si>
    <t>Total</t>
  </si>
  <si>
    <t>Sprint Team</t>
  </si>
  <si>
    <t>Min Effort</t>
  </si>
  <si>
    <t>Max Effort</t>
  </si>
  <si>
    <t>Estimated Feature Points</t>
  </si>
  <si>
    <t>Split</t>
  </si>
  <si>
    <t>Target</t>
  </si>
  <si>
    <t>Range</t>
  </si>
  <si>
    <t>Build - Sprints</t>
  </si>
  <si>
    <t>Total Points</t>
  </si>
  <si>
    <t>Weeks per Sprint</t>
  </si>
  <si>
    <t>UAT &amp; Production Support</t>
  </si>
  <si>
    <t>Team Size (FTEs)</t>
  </si>
  <si>
    <t>1 Senior Dev FTE</t>
  </si>
  <si>
    <t>1 Junior Dev FTE</t>
  </si>
  <si>
    <t>Enter value</t>
  </si>
  <si>
    <t>Calculated (formula)</t>
  </si>
  <si>
    <t>Weeks (Min)</t>
  </si>
  <si>
    <t>Total Hours (Min)</t>
  </si>
  <si>
    <t>Total Hours (Max)</t>
  </si>
  <si>
    <t>Prod Deployment &amp; Support</t>
  </si>
  <si>
    <t>Default value across projects</t>
  </si>
  <si>
    <t>Sam Duncan</t>
  </si>
  <si>
    <t>Shaun Barrett</t>
  </si>
  <si>
    <t>People involved in Estimate</t>
  </si>
  <si>
    <t>Nikki Papenfus</t>
  </si>
  <si>
    <t>Epic</t>
  </si>
  <si>
    <t>Scope Notes</t>
  </si>
  <si>
    <t>Feature</t>
  </si>
  <si>
    <t>Consultancy</t>
  </si>
  <si>
    <t>Jacob</t>
  </si>
  <si>
    <t>Consultancy / Sprint 0</t>
  </si>
  <si>
    <t>Release 1</t>
  </si>
  <si>
    <t>Pax:</t>
  </si>
  <si>
    <t xml:space="preserve">Prod Support Weeks </t>
  </si>
  <si>
    <t>External Quote</t>
  </si>
  <si>
    <t>1 Release, must have functionality only; target cost 100-140k</t>
  </si>
  <si>
    <t xml:space="preserve">Consultancy  (Hours) </t>
  </si>
  <si>
    <t xml:space="preserve">Sprint 0 </t>
  </si>
  <si>
    <t>User Guide (Hours)</t>
  </si>
  <si>
    <t xml:space="preserve">Build (Sprints) </t>
  </si>
  <si>
    <t>Prod Deployment &amp; Support (Weeks) 0,25 FTE</t>
  </si>
  <si>
    <t>Final UAT (Weeks) 0,5 FTE</t>
  </si>
  <si>
    <t>Team Size (FTEs) - UAT</t>
  </si>
  <si>
    <t>Xmas Break (days)</t>
  </si>
  <si>
    <t xml:space="preserve">Xmas </t>
  </si>
  <si>
    <t xml:space="preserve">Months Duration </t>
  </si>
  <si>
    <t>BA Allocation (Min)</t>
  </si>
  <si>
    <t>BA Allocation (Max)</t>
  </si>
  <si>
    <t xml:space="preserve">Client Meetings (hrs/week) </t>
  </si>
  <si>
    <t xml:space="preserve">Internal Meetings (hrs/week) </t>
  </si>
  <si>
    <t>Document (Hrs)</t>
  </si>
  <si>
    <t>Backlog (Hrs)</t>
  </si>
  <si>
    <t>pax</t>
  </si>
  <si>
    <t xml:space="preserve">Client Meetings (Hrs) </t>
  </si>
  <si>
    <t xml:space="preserve">Internal Meetings (Hrs) </t>
  </si>
  <si>
    <t>Total Hours (min)</t>
  </si>
  <si>
    <t>Consultancy (Min)</t>
  </si>
  <si>
    <t>Contingency</t>
  </si>
  <si>
    <t>Hours</t>
  </si>
  <si>
    <t xml:space="preserve">POC </t>
  </si>
  <si>
    <t xml:space="preserve">Internal Meetings </t>
  </si>
  <si>
    <t xml:space="preserve">Create Backlog </t>
  </si>
  <si>
    <t>Proposal Document &amp; Estimates</t>
  </si>
  <si>
    <t>Workshops</t>
  </si>
  <si>
    <t>CX</t>
  </si>
  <si>
    <t>IT / GREP</t>
  </si>
  <si>
    <t>Data Warehouse</t>
  </si>
  <si>
    <t>6 x 1 for each pillar</t>
  </si>
  <si>
    <t>Client Meetings / Workshops</t>
  </si>
  <si>
    <t># OB Attendees</t>
  </si>
  <si>
    <t>2 x Follow up session</t>
  </si>
  <si>
    <t>Jacob Smycz</t>
  </si>
  <si>
    <t>Calculated</t>
  </si>
  <si>
    <t>Final UAT (Weeks)</t>
  </si>
  <si>
    <t>Client Meetings</t>
  </si>
  <si>
    <t>Sprint Zero</t>
  </si>
  <si>
    <t>BA Allocation</t>
  </si>
  <si>
    <t>Client Meetings per week (Hrs)</t>
  </si>
  <si>
    <t>Internal Meetings per week (Hrs)</t>
  </si>
  <si>
    <t>Total Months (Duration)</t>
  </si>
  <si>
    <t xml:space="preserve">Deployment &amp; Support (Weeks) </t>
  </si>
  <si>
    <t>End Date Earliest</t>
  </si>
  <si>
    <t>End Date Latest</t>
  </si>
  <si>
    <t>Dev:QA</t>
  </si>
  <si>
    <t xml:space="preserve">Total </t>
  </si>
  <si>
    <t>Contributors</t>
  </si>
  <si>
    <t>EoT per sprint</t>
  </si>
  <si>
    <t>6 x 1 for each pillar; 
2 x Follow up session;
IT &amp; Data Warehouse</t>
  </si>
  <si>
    <t>Discounted from:</t>
  </si>
  <si>
    <t>Target: 177k</t>
  </si>
  <si>
    <t>Target: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</si>
</sst>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£-809]#,##0.00"/>
    <numFmt numFmtId="165" formatCode="_-* #,##0.0_-;\-* #,##0.0_-;_-* &quot;-&quot;??_-;_-@_-"/>
    <numFmt numFmtId="166" formatCode="_-* #,##0_-;\-* #,##0_-;_-* &quot;-&quot;??_-;_-@_-"/>
    <numFmt numFmtId="167" formatCode="[$-1C09]dd\ mmmm\ yyyy;@"/>
    <numFmt numFmtId="168" formatCode="_-[$£-809]* #,##0.00_-;\-[$£-809]* #,##0.00_-;_-[$£-809]* &quot;-&quot;??_-;_-@_-"/>
  </numFmts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9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0" fontId="0" fillId="0" borderId="1" xfId="0" applyBorder="1"/>
    <xf numFmtId="0" fontId="2" fillId="0" borderId="1" xfId="0" applyFont="1" applyBorder="1"/>
    <xf numFmtId="164" fontId="2" fillId="0" borderId="2" xfId="0" applyNumberFormat="1" applyFont="1" applyBorder="1"/>
    <xf numFmtId="0" fontId="2" fillId="2" borderId="1" xfId="0" applyFont="1" applyFill="1" applyBorder="1"/>
    <xf numFmtId="2" fontId="2" fillId="0" borderId="0" xfId="1" applyNumberFormat="1" applyFont="1" applyAlignment="1">
      <alignment wrapText="1"/>
    </xf>
    <xf numFmtId="0" fontId="2" fillId="0" borderId="0" xfId="0" applyFont="1" applyAlignment="1">
      <alignment horizontal="right" wrapText="1"/>
    </xf>
    <xf numFmtId="164" fontId="0" fillId="3" borderId="1" xfId="0" applyNumberFormat="1" applyFill="1" applyBorder="1" applyAlignment="1">
      <alignment wrapText="1"/>
    </xf>
    <xf numFmtId="0" fontId="0" fillId="3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2" fontId="0" fillId="3" borderId="1" xfId="0" applyNumberFormat="1" applyFill="1" applyBorder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7" xfId="0" applyFont="1" applyFill="1" applyBorder="1"/>
    <xf numFmtId="0" fontId="0" fillId="0" borderId="6" xfId="0" applyBorder="1"/>
    <xf numFmtId="164" fontId="0" fillId="2" borderId="7" xfId="0" applyNumberFormat="1" applyFill="1" applyBorder="1"/>
    <xf numFmtId="0" fontId="2" fillId="0" borderId="6" xfId="0" applyFont="1" applyBorder="1"/>
    <xf numFmtId="164" fontId="2" fillId="0" borderId="8" xfId="0" applyNumberFormat="1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1" xfId="0" applyNumberFormat="1" applyBorder="1"/>
    <xf numFmtId="164" fontId="2" fillId="0" borderId="1" xfId="0" applyNumberFormat="1" applyFont="1" applyBorder="1"/>
    <xf numFmtId="164" fontId="0" fillId="0" borderId="7" xfId="0" applyNumberFormat="1" applyBorder="1"/>
    <xf numFmtId="164" fontId="2" fillId="0" borderId="7" xfId="0" applyNumberFormat="1" applyFont="1" applyBorder="1"/>
    <xf numFmtId="164" fontId="0" fillId="2" borderId="1" xfId="0" applyNumberFormat="1" applyFill="1" applyBorder="1" applyAlignment="1">
      <alignment wrapText="1"/>
    </xf>
    <xf numFmtId="0" fontId="2" fillId="3" borderId="1" xfId="0" applyFont="1" applyFill="1" applyBorder="1"/>
    <xf numFmtId="9" fontId="10" fillId="3" borderId="1" xfId="1" applyFont="1" applyFill="1" applyBorder="1" applyAlignment="1">
      <alignment vertical="center" wrapText="1"/>
    </xf>
    <xf numFmtId="9" fontId="10" fillId="2" borderId="1" xfId="1" applyFont="1" applyFill="1" applyBorder="1" applyAlignment="1">
      <alignment vertical="center"/>
    </xf>
    <xf numFmtId="9" fontId="10" fillId="0" borderId="7" xfId="1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1" fillId="4" borderId="6" xfId="0" applyFont="1" applyFill="1" applyBorder="1" applyAlignment="1">
      <alignment vertical="center" wrapText="1"/>
    </xf>
    <xf numFmtId="9" fontId="10" fillId="2" borderId="36" xfId="1" applyFont="1" applyFill="1" applyBorder="1" applyAlignment="1">
      <alignment vertical="center"/>
    </xf>
    <xf numFmtId="9" fontId="10" fillId="0" borderId="20" xfId="1" applyFont="1" applyFill="1" applyBorder="1" applyAlignment="1">
      <alignment vertical="center"/>
    </xf>
    <xf numFmtId="43" fontId="10" fillId="2" borderId="1" xfId="2" applyFont="1" applyFill="1" applyBorder="1" applyAlignment="1">
      <alignment vertical="center" wrapText="1"/>
    </xf>
    <xf numFmtId="166" fontId="10" fillId="2" borderId="7" xfId="2" applyNumberFormat="1" applyFont="1" applyFill="1" applyBorder="1" applyAlignment="1">
      <alignment vertical="center" wrapText="1"/>
    </xf>
    <xf numFmtId="43" fontId="10" fillId="2" borderId="36" xfId="2" applyFont="1" applyFill="1" applyBorder="1" applyAlignment="1">
      <alignment vertical="center" wrapText="1"/>
    </xf>
    <xf numFmtId="166" fontId="10" fillId="2" borderId="20" xfId="2" applyNumberFormat="1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38" xfId="0" applyFont="1" applyBorder="1" applyAlignment="1">
      <alignment vertical="center"/>
    </xf>
    <xf numFmtId="166" fontId="10" fillId="2" borderId="12" xfId="2" applyNumberFormat="1" applyFont="1" applyFill="1" applyBorder="1" applyAlignment="1">
      <alignment vertical="center"/>
    </xf>
    <xf numFmtId="166" fontId="10" fillId="2" borderId="32" xfId="2" applyNumberFormat="1" applyFont="1" applyFill="1" applyBorder="1" applyAlignment="1">
      <alignment vertical="center"/>
    </xf>
    <xf numFmtId="166" fontId="11" fillId="2" borderId="41" xfId="2" applyNumberFormat="1" applyFont="1" applyFill="1" applyBorder="1" applyAlignment="1">
      <alignment vertical="center"/>
    </xf>
    <xf numFmtId="166" fontId="10" fillId="2" borderId="1" xfId="2" applyNumberFormat="1" applyFont="1" applyFill="1" applyBorder="1" applyAlignment="1">
      <alignment vertical="center"/>
    </xf>
    <xf numFmtId="0" fontId="10" fillId="0" borderId="24" xfId="0" applyFont="1" applyBorder="1" applyAlignment="1">
      <alignment vertical="center" wrapText="1"/>
    </xf>
    <xf numFmtId="166" fontId="10" fillId="3" borderId="7" xfId="2" applyNumberFormat="1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9" fontId="10" fillId="3" borderId="7" xfId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9" fontId="10" fillId="3" borderId="20" xfId="1" applyFont="1" applyFill="1" applyBorder="1" applyAlignment="1">
      <alignment vertical="center" wrapText="1"/>
    </xf>
    <xf numFmtId="0" fontId="9" fillId="0" borderId="29" xfId="0" applyFont="1" applyBorder="1" applyAlignment="1">
      <alignment vertical="center"/>
    </xf>
    <xf numFmtId="0" fontId="11" fillId="2" borderId="31" xfId="0" applyFont="1" applyFill="1" applyBorder="1" applyAlignment="1">
      <alignment vertical="center"/>
    </xf>
    <xf numFmtId="43" fontId="11" fillId="2" borderId="39" xfId="1" applyNumberFormat="1" applyFont="1" applyFill="1" applyBorder="1" applyAlignment="1">
      <alignment vertical="center" wrapText="1"/>
    </xf>
    <xf numFmtId="2" fontId="11" fillId="0" borderId="10" xfId="1" applyNumberFormat="1" applyFont="1" applyFill="1" applyBorder="1" applyAlignment="1">
      <alignment vertical="center" wrapText="1"/>
    </xf>
    <xf numFmtId="9" fontId="11" fillId="2" borderId="39" xfId="1" applyFont="1" applyFill="1" applyBorder="1" applyAlignment="1">
      <alignment vertical="center" wrapText="1"/>
    </xf>
    <xf numFmtId="43" fontId="10" fillId="2" borderId="7" xfId="2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43" fontId="0" fillId="0" borderId="0" xfId="0" applyNumberFormat="1" applyAlignment="1">
      <alignment vertical="center"/>
    </xf>
    <xf numFmtId="0" fontId="10" fillId="0" borderId="15" xfId="0" applyFont="1" applyBorder="1" applyAlignment="1">
      <alignment vertical="center"/>
    </xf>
    <xf numFmtId="166" fontId="10" fillId="2" borderId="7" xfId="2" applyNumberFormat="1" applyFont="1" applyFill="1" applyBorder="1" applyAlignment="1">
      <alignment vertical="center"/>
    </xf>
    <xf numFmtId="165" fontId="10" fillId="3" borderId="7" xfId="2" applyNumberFormat="1" applyFont="1" applyFill="1" applyBorder="1" applyAlignment="1">
      <alignment vertical="center" wrapText="1"/>
    </xf>
    <xf numFmtId="166" fontId="10" fillId="3" borderId="36" xfId="0" applyNumberFormat="1" applyFont="1" applyFill="1" applyBorder="1" applyAlignment="1">
      <alignment vertical="center"/>
    </xf>
    <xf numFmtId="166" fontId="10" fillId="2" borderId="20" xfId="2" applyNumberFormat="1" applyFont="1" applyFill="1" applyBorder="1" applyAlignment="1">
      <alignment vertical="center"/>
    </xf>
    <xf numFmtId="0" fontId="10" fillId="0" borderId="39" xfId="0" applyFont="1" applyBorder="1" applyAlignment="1">
      <alignment vertical="center"/>
    </xf>
    <xf numFmtId="166" fontId="11" fillId="2" borderId="31" xfId="2" applyNumberFormat="1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166" fontId="10" fillId="2" borderId="3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9" fontId="10" fillId="0" borderId="36" xfId="1" applyFont="1" applyFill="1" applyBorder="1" applyAlignment="1">
      <alignment horizontal="right" vertical="center" wrapText="1"/>
    </xf>
    <xf numFmtId="0" fontId="9" fillId="3" borderId="42" xfId="0" applyFont="1" applyFill="1" applyBorder="1" applyAlignment="1">
      <alignment vertical="center"/>
    </xf>
    <xf numFmtId="0" fontId="9" fillId="2" borderId="44" xfId="0" applyFont="1" applyFill="1" applyBorder="1" applyAlignment="1">
      <alignment vertical="center"/>
    </xf>
    <xf numFmtId="43" fontId="10" fillId="0" borderId="39" xfId="1" applyNumberFormat="1" applyFont="1" applyFill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9" fillId="5" borderId="45" xfId="0" applyFont="1" applyFill="1" applyBorder="1" applyAlignment="1">
      <alignment vertical="center"/>
    </xf>
    <xf numFmtId="9" fontId="11" fillId="0" borderId="40" xfId="1" applyFont="1" applyFill="1" applyBorder="1" applyAlignment="1">
      <alignment vertical="center" wrapText="1"/>
    </xf>
    <xf numFmtId="0" fontId="11" fillId="4" borderId="46" xfId="0" applyFont="1" applyFill="1" applyBorder="1" applyAlignment="1">
      <alignment vertical="center"/>
    </xf>
    <xf numFmtId="0" fontId="10" fillId="3" borderId="47" xfId="0" applyFont="1" applyFill="1" applyBorder="1" applyAlignment="1">
      <alignment vertical="center"/>
    </xf>
    <xf numFmtId="0" fontId="10" fillId="3" borderId="48" xfId="0" applyFont="1" applyFill="1" applyBorder="1" applyAlignment="1">
      <alignment vertical="center"/>
    </xf>
    <xf numFmtId="9" fontId="10" fillId="3" borderId="23" xfId="1" applyFont="1" applyFill="1" applyBorder="1" applyAlignment="1">
      <alignment vertical="center"/>
    </xf>
    <xf numFmtId="0" fontId="10" fillId="3" borderId="14" xfId="0" applyFont="1" applyFill="1" applyBorder="1" applyAlignment="1">
      <alignment vertical="center" wrapText="1"/>
    </xf>
    <xf numFmtId="0" fontId="10" fillId="3" borderId="3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right" vertical="center"/>
    </xf>
    <xf numFmtId="43" fontId="10" fillId="3" borderId="7" xfId="2" applyFont="1" applyFill="1" applyBorder="1" applyAlignment="1">
      <alignment horizontal="right" vertical="center" wrapText="1"/>
    </xf>
    <xf numFmtId="166" fontId="10" fillId="5" borderId="20" xfId="2" applyNumberFormat="1" applyFont="1" applyFill="1" applyBorder="1" applyAlignment="1">
      <alignment horizontal="right" vertical="center" wrapText="1"/>
    </xf>
    <xf numFmtId="0" fontId="12" fillId="6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11" fillId="0" borderId="0" xfId="0" applyFont="1" applyAlignment="1">
      <alignment vertical="center"/>
    </xf>
    <xf numFmtId="43" fontId="10" fillId="3" borderId="7" xfId="2" applyFont="1" applyFill="1" applyBorder="1" applyAlignment="1">
      <alignment vertical="center" wrapText="1"/>
    </xf>
    <xf numFmtId="166" fontId="10" fillId="3" borderId="1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5" borderId="0" xfId="0" applyFont="1" applyFill="1" applyAlignment="1">
      <alignment vertical="center"/>
    </xf>
    <xf numFmtId="166" fontId="10" fillId="7" borderId="1" xfId="0" applyNumberFormat="1" applyFont="1" applyFill="1" applyBorder="1" applyAlignment="1">
      <alignment vertical="center"/>
    </xf>
    <xf numFmtId="9" fontId="0" fillId="0" borderId="0" xfId="1" applyFont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1" fillId="5" borderId="50" xfId="0" applyFont="1" applyFill="1" applyBorder="1" applyAlignment="1">
      <alignment vertical="center"/>
    </xf>
    <xf numFmtId="0" fontId="11" fillId="2" borderId="51" xfId="0" applyFont="1" applyFill="1" applyBorder="1" applyAlignment="1">
      <alignment vertical="center"/>
    </xf>
    <xf numFmtId="166" fontId="11" fillId="2" borderId="52" xfId="2" applyNumberFormat="1" applyFont="1" applyFill="1" applyBorder="1" applyAlignment="1">
      <alignment vertical="center"/>
    </xf>
    <xf numFmtId="166" fontId="11" fillId="2" borderId="40" xfId="2" applyNumberFormat="1" applyFont="1" applyFill="1" applyBorder="1" applyAlignment="1">
      <alignment vertical="center"/>
    </xf>
    <xf numFmtId="166" fontId="10" fillId="0" borderId="0" xfId="0" applyNumberFormat="1" applyFont="1" applyAlignment="1">
      <alignment vertical="center"/>
    </xf>
    <xf numFmtId="165" fontId="10" fillId="0" borderId="1" xfId="2" applyNumberFormat="1" applyFont="1" applyFill="1" applyBorder="1" applyAlignment="1">
      <alignment horizontal="left" vertical="center" wrapText="1"/>
    </xf>
    <xf numFmtId="165" fontId="10" fillId="0" borderId="14" xfId="2" applyNumberFormat="1" applyFont="1" applyFill="1" applyBorder="1" applyAlignment="1">
      <alignment horizontal="left" vertical="center" wrapText="1"/>
    </xf>
    <xf numFmtId="9" fontId="10" fillId="0" borderId="0" xfId="1" applyFont="1" applyAlignment="1">
      <alignment horizontal="center" vertical="center"/>
    </xf>
    <xf numFmtId="43" fontId="10" fillId="3" borderId="1" xfId="0" applyNumberFormat="1" applyFont="1" applyFill="1" applyBorder="1" applyAlignment="1">
      <alignment vertical="center"/>
    </xf>
    <xf numFmtId="0" fontId="2" fillId="0" borderId="54" xfId="0" applyFont="1" applyBorder="1" applyAlignment="1">
      <alignment vertical="center"/>
    </xf>
    <xf numFmtId="165" fontId="2" fillId="0" borderId="55" xfId="2" applyNumberFormat="1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10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166" fontId="10" fillId="3" borderId="59" xfId="2" applyNumberFormat="1" applyFont="1" applyFill="1" applyBorder="1" applyAlignment="1">
      <alignment vertical="center" wrapText="1"/>
    </xf>
    <xf numFmtId="165" fontId="10" fillId="3" borderId="12" xfId="2" applyNumberFormat="1" applyFont="1" applyFill="1" applyBorder="1" applyAlignment="1">
      <alignment vertical="center" wrapText="1"/>
    </xf>
    <xf numFmtId="0" fontId="0" fillId="0" borderId="30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65" fontId="10" fillId="3" borderId="35" xfId="2" applyNumberFormat="1" applyFont="1" applyFill="1" applyBorder="1" applyAlignment="1">
      <alignment vertical="center" wrapText="1"/>
    </xf>
    <xf numFmtId="165" fontId="10" fillId="3" borderId="1" xfId="2" applyNumberFormat="1" applyFont="1" applyFill="1" applyBorder="1" applyAlignment="1">
      <alignment vertical="center" wrapText="1"/>
    </xf>
    <xf numFmtId="0" fontId="0" fillId="0" borderId="33" xfId="0" applyBorder="1" applyAlignment="1">
      <alignment vertical="center"/>
    </xf>
    <xf numFmtId="0" fontId="0" fillId="0" borderId="15" xfId="0" applyBorder="1" applyAlignment="1">
      <alignment vertical="center"/>
    </xf>
    <xf numFmtId="0" fontId="10" fillId="0" borderId="24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166" fontId="10" fillId="2" borderId="36" xfId="2" applyNumberFormat="1" applyFont="1" applyFill="1" applyBorder="1" applyAlignment="1">
      <alignment vertical="center" wrapText="1"/>
    </xf>
    <xf numFmtId="0" fontId="11" fillId="4" borderId="13" xfId="0" applyFont="1" applyFill="1" applyBorder="1" applyAlignment="1">
      <alignment horizontal="center" vertical="center" wrapText="1"/>
    </xf>
    <xf numFmtId="166" fontId="10" fillId="2" borderId="1" xfId="2" applyNumberFormat="1" applyFont="1" applyFill="1" applyBorder="1" applyAlignment="1">
      <alignment vertical="center" wrapText="1"/>
    </xf>
    <xf numFmtId="0" fontId="11" fillId="4" borderId="16" xfId="0" applyFont="1" applyFill="1" applyBorder="1" applyAlignment="1">
      <alignment vertical="center"/>
    </xf>
    <xf numFmtId="0" fontId="11" fillId="4" borderId="18" xfId="0" applyFont="1" applyFill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1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4" borderId="60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3" borderId="47" xfId="0" applyFill="1" applyBorder="1" applyAlignment="1">
      <alignment vertical="center"/>
    </xf>
    <xf numFmtId="0" fontId="0" fillId="3" borderId="48" xfId="0" applyFill="1" applyBorder="1" applyAlignment="1">
      <alignment vertical="center"/>
    </xf>
    <xf numFmtId="0" fontId="9" fillId="8" borderId="45" xfId="0" applyFont="1" applyFill="1" applyBorder="1" applyAlignment="1">
      <alignment vertical="center"/>
    </xf>
    <xf numFmtId="9" fontId="0" fillId="3" borderId="11" xfId="0" applyNumberFormat="1" applyFill="1" applyBorder="1" applyAlignment="1">
      <alignment vertical="center"/>
    </xf>
    <xf numFmtId="0" fontId="11" fillId="4" borderId="67" xfId="0" applyFont="1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11" fillId="4" borderId="59" xfId="0" applyFont="1" applyFill="1" applyBorder="1" applyAlignment="1">
      <alignment horizontal="center" vertical="center"/>
    </xf>
    <xf numFmtId="166" fontId="10" fillId="3" borderId="7" xfId="0" applyNumberFormat="1" applyFont="1" applyFill="1" applyBorder="1" applyAlignment="1">
      <alignment vertical="center"/>
    </xf>
    <xf numFmtId="165" fontId="11" fillId="2" borderId="51" xfId="2" applyNumberFormat="1" applyFont="1" applyFill="1" applyBorder="1" applyAlignment="1">
      <alignment vertical="center"/>
    </xf>
    <xf numFmtId="166" fontId="10" fillId="3" borderId="12" xfId="0" applyNumberFormat="1" applyFont="1" applyFill="1" applyBorder="1" applyAlignment="1">
      <alignment vertical="center"/>
    </xf>
    <xf numFmtId="0" fontId="0" fillId="0" borderId="68" xfId="0" applyBorder="1" applyAlignment="1">
      <alignment vertical="center"/>
    </xf>
    <xf numFmtId="0" fontId="11" fillId="4" borderId="12" xfId="0" applyFont="1" applyFill="1" applyBorder="1" applyAlignment="1">
      <alignment horizontal="center" vertical="center"/>
    </xf>
    <xf numFmtId="9" fontId="0" fillId="3" borderId="41" xfId="0" applyNumberFormat="1" applyFill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167" fontId="10" fillId="2" borderId="1" xfId="0" applyNumberFormat="1" applyFont="1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 wrapText="1"/>
    </xf>
    <xf numFmtId="43" fontId="10" fillId="3" borderId="12" xfId="2" applyFont="1" applyFill="1" applyBorder="1" applyAlignment="1">
      <alignment vertical="center" wrapText="1"/>
    </xf>
    <xf numFmtId="9" fontId="10" fillId="7" borderId="1" xfId="1" applyFont="1" applyFill="1" applyBorder="1" applyAlignment="1">
      <alignment vertical="center"/>
    </xf>
    <xf numFmtId="166" fontId="10" fillId="3" borderId="20" xfId="2" applyNumberFormat="1" applyFont="1" applyFill="1" applyBorder="1" applyAlignment="1">
      <alignment vertical="center"/>
    </xf>
    <xf numFmtId="167" fontId="10" fillId="3" borderId="7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vertical="center" wrapText="1"/>
    </xf>
    <xf numFmtId="9" fontId="10" fillId="3" borderId="36" xfId="1" applyFont="1" applyFill="1" applyBorder="1" applyAlignment="1">
      <alignment vertical="center"/>
    </xf>
    <xf numFmtId="167" fontId="10" fillId="2" borderId="7" xfId="0" applyNumberFormat="1" applyFont="1" applyFill="1" applyBorder="1" applyAlignment="1">
      <alignment horizontal="center" vertical="center"/>
    </xf>
    <xf numFmtId="166" fontId="10" fillId="2" borderId="14" xfId="2" applyNumberFormat="1" applyFont="1" applyFill="1" applyBorder="1" applyAlignment="1">
      <alignment vertical="center"/>
    </xf>
    <xf numFmtId="0" fontId="11" fillId="2" borderId="74" xfId="0" applyFont="1" applyFill="1" applyBorder="1" applyAlignment="1">
      <alignment vertical="center"/>
    </xf>
    <xf numFmtId="166" fontId="11" fillId="2" borderId="74" xfId="2" applyNumberFormat="1" applyFont="1" applyFill="1" applyBorder="1" applyAlignment="1">
      <alignment vertical="center"/>
    </xf>
    <xf numFmtId="43" fontId="10" fillId="2" borderId="20" xfId="2" applyFont="1" applyFill="1" applyBorder="1" applyAlignment="1">
      <alignment vertical="center" wrapText="1"/>
    </xf>
    <xf numFmtId="43" fontId="11" fillId="2" borderId="59" xfId="1" applyNumberFormat="1" applyFont="1" applyFill="1" applyBorder="1" applyAlignment="1">
      <alignment vertical="center" wrapText="1"/>
    </xf>
    <xf numFmtId="0" fontId="11" fillId="4" borderId="67" xfId="0" applyFont="1" applyFill="1" applyBorder="1" applyAlignment="1">
      <alignment vertical="center"/>
    </xf>
    <xf numFmtId="0" fontId="2" fillId="4" borderId="70" xfId="0" applyFont="1" applyFill="1" applyBorder="1" applyAlignment="1">
      <alignment horizontal="center" vertical="center"/>
    </xf>
    <xf numFmtId="166" fontId="10" fillId="5" borderId="22" xfId="2" applyNumberFormat="1" applyFont="1" applyFill="1" applyBorder="1" applyAlignment="1">
      <alignment horizontal="right" vertical="center" wrapText="1"/>
    </xf>
    <xf numFmtId="166" fontId="11" fillId="2" borderId="40" xfId="2" applyNumberFormat="1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/>
    </xf>
    <xf numFmtId="43" fontId="10" fillId="3" borderId="7" xfId="2" applyFont="1" applyFill="1" applyBorder="1" applyAlignment="1">
      <alignment horizontal="center" vertical="center" wrapText="1"/>
    </xf>
    <xf numFmtId="168" fontId="0" fillId="0" borderId="0" xfId="2" applyNumberFormat="1" applyFont="1" applyAlignment="1">
      <alignment vertical="center"/>
    </xf>
    <xf numFmtId="166" fontId="0" fillId="0" borderId="0" xfId="2" applyNumberFormat="1" applyFont="1" applyAlignment="1">
      <alignment vertical="center"/>
    </xf>
    <xf numFmtId="167" fontId="15" fillId="2" borderId="7" xfId="0" applyNumberFormat="1" applyFont="1" applyFill="1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2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5" borderId="54" xfId="0" applyFont="1" applyFill="1" applyBorder="1" applyAlignment="1">
      <alignment horizontal="left" vertical="center"/>
    </xf>
    <xf numFmtId="0" fontId="11" fillId="5" borderId="72" xfId="0" applyFont="1" applyFill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1" fillId="4" borderId="54" xfId="0" applyFont="1" applyFill="1" applyBorder="1" applyAlignment="1">
      <alignment horizontal="center" vertical="center"/>
    </xf>
    <xf numFmtId="0" fontId="11" fillId="4" borderId="55" xfId="0" applyFont="1" applyFill="1" applyBorder="1" applyAlignment="1">
      <alignment horizontal="center" vertical="center"/>
    </xf>
    <xf numFmtId="0" fontId="11" fillId="4" borderId="56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9" fillId="3" borderId="64" xfId="0" applyFont="1" applyFill="1" applyBorder="1" applyAlignment="1">
      <alignment horizontal="center" vertical="center"/>
    </xf>
    <xf numFmtId="0" fontId="9" fillId="0" borderId="63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2" borderId="65" xfId="0" applyFont="1" applyFill="1" applyBorder="1" applyAlignment="1">
      <alignment horizontal="center" vertical="center"/>
    </xf>
    <xf numFmtId="0" fontId="9" fillId="2" borderId="6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top" wrapText="1"/>
    </xf>
    <xf numFmtId="0" fontId="0" fillId="3" borderId="70" xfId="0" applyFill="1" applyBorder="1" applyAlignment="1">
      <alignment horizontal="left" vertical="top" wrapText="1"/>
    </xf>
    <xf numFmtId="0" fontId="0" fillId="3" borderId="31" xfId="0" applyFill="1" applyBorder="1" applyAlignment="1">
      <alignment horizontal="left" vertical="top" wrapText="1"/>
    </xf>
    <xf numFmtId="0" fontId="11" fillId="4" borderId="17" xfId="0" applyFont="1" applyFill="1" applyBorder="1" applyAlignment="1">
      <alignment horizontal="center" vertical="center"/>
    </xf>
    <xf numFmtId="0" fontId="10" fillId="0" borderId="61" xfId="0" applyFont="1" applyBorder="1" applyAlignment="1">
      <alignment horizontal="left" vertical="center"/>
    </xf>
    <xf numFmtId="0" fontId="10" fillId="0" borderId="71" xfId="0" applyFont="1" applyBorder="1" applyAlignment="1">
      <alignment horizontal="left" vertical="center"/>
    </xf>
    <xf numFmtId="0" fontId="10" fillId="0" borderId="69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11" fillId="0" borderId="73" xfId="0" applyFont="1" applyBorder="1" applyAlignment="1">
      <alignment horizontal="left" vertical="center"/>
    </xf>
    <xf numFmtId="0" fontId="11" fillId="0" borderId="54" xfId="0" applyFont="1" applyBorder="1" applyAlignment="1">
      <alignment horizontal="left" vertical="center"/>
    </xf>
    <xf numFmtId="0" fontId="11" fillId="0" borderId="55" xfId="0" applyFont="1" applyBorder="1" applyAlignment="1">
      <alignment horizontal="left" vertical="center"/>
    </xf>
    <xf numFmtId="0" fontId="11" fillId="0" borderId="72" xfId="0" applyFont="1" applyBorder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left" vertical="center" wrapText="1"/>
    </xf>
    <xf numFmtId="0" fontId="11" fillId="4" borderId="73" xfId="0" applyFont="1" applyFill="1" applyBorder="1" applyAlignment="1">
      <alignment horizontal="left" vertical="center" wrapText="1"/>
    </xf>
    <xf numFmtId="166" fontId="11" fillId="0" borderId="52" xfId="2" applyNumberFormat="1" applyFont="1" applyFill="1" applyBorder="1" applyAlignment="1">
      <alignment horizontal="center" vertical="center"/>
    </xf>
    <xf numFmtId="166" fontId="11" fillId="0" borderId="55" xfId="2" applyNumberFormat="1" applyFont="1" applyFill="1" applyBorder="1" applyAlignment="1">
      <alignment horizontal="center" vertical="center"/>
    </xf>
    <xf numFmtId="166" fontId="11" fillId="0" borderId="56" xfId="2" applyNumberFormat="1" applyFont="1" applyFill="1" applyBorder="1" applyAlignment="1">
      <alignment horizontal="center" vertical="center"/>
    </xf>
    <xf numFmtId="166" fontId="10" fillId="2" borderId="1" xfId="2" applyNumberFormat="1" applyFont="1" applyFill="1" applyBorder="1" applyAlignment="1">
      <alignment horizontal="center" vertical="center" wrapText="1"/>
    </xf>
    <xf numFmtId="166" fontId="10" fillId="2" borderId="7" xfId="2" applyNumberFormat="1" applyFont="1" applyFill="1" applyBorder="1" applyAlignment="1">
      <alignment horizontal="center" vertical="center" wrapText="1"/>
    </xf>
    <xf numFmtId="166" fontId="10" fillId="2" borderId="14" xfId="2" applyNumberFormat="1" applyFont="1" applyFill="1" applyBorder="1" applyAlignment="1">
      <alignment horizontal="center" vertical="center" wrapText="1"/>
    </xf>
    <xf numFmtId="166" fontId="10" fillId="2" borderId="22" xfId="2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166" fontId="10" fillId="2" borderId="32" xfId="2" applyNumberFormat="1" applyFont="1" applyFill="1" applyBorder="1" applyAlignment="1">
      <alignment horizontal="center" vertical="center" wrapText="1"/>
    </xf>
    <xf numFmtId="166" fontId="10" fillId="2" borderId="34" xfId="2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0" fillId="3" borderId="61" xfId="0" applyFont="1" applyFill="1" applyBorder="1" applyAlignment="1">
      <alignment horizontal="center" vertical="top" wrapText="1"/>
    </xf>
    <xf numFmtId="0" fontId="10" fillId="3" borderId="62" xfId="0" applyFont="1" applyFill="1" applyBorder="1" applyAlignment="1">
      <alignment horizontal="center" vertical="top" wrapText="1"/>
    </xf>
    <xf numFmtId="0" fontId="10" fillId="3" borderId="9" xfId="0" applyFont="1" applyFill="1" applyBorder="1" applyAlignment="1">
      <alignment horizontal="center" vertical="top" wrapText="1"/>
    </xf>
    <xf numFmtId="0" fontId="10" fillId="3" borderId="11" xfId="0" applyFont="1" applyFill="1" applyBorder="1" applyAlignment="1">
      <alignment horizontal="center" vertical="top" wrapText="1"/>
    </xf>
    <xf numFmtId="0" fontId="10" fillId="3" borderId="33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167" fontId="10" fillId="2" borderId="32" xfId="0" applyNumberFormat="1" applyFont="1" applyFill="1" applyBorder="1" applyAlignment="1">
      <alignment horizontal="center" vertical="center"/>
    </xf>
    <xf numFmtId="167" fontId="10" fillId="2" borderId="34" xfId="0" applyNumberFormat="1" applyFont="1" applyFill="1" applyBorder="1" applyAlignment="1">
      <alignment horizontal="center" vertical="center"/>
    </xf>
    <xf numFmtId="166" fontId="10" fillId="2" borderId="12" xfId="2" applyNumberFormat="1" applyFont="1" applyFill="1" applyBorder="1" applyAlignment="1">
      <alignment horizontal="center" vertical="center"/>
    </xf>
    <xf numFmtId="166" fontId="10" fillId="2" borderId="13" xfId="2" applyNumberFormat="1" applyFont="1" applyFill="1" applyBorder="1" applyAlignment="1">
      <alignment horizontal="center" vertical="center"/>
    </xf>
    <xf numFmtId="166" fontId="10" fillId="2" borderId="35" xfId="2" applyNumberFormat="1" applyFont="1" applyFill="1" applyBorder="1" applyAlignment="1">
      <alignment horizontal="center" vertical="center"/>
    </xf>
    <xf numFmtId="0" fontId="10" fillId="0" borderId="3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167" fontId="10" fillId="3" borderId="32" xfId="0" applyNumberFormat="1" applyFont="1" applyFill="1" applyBorder="1" applyAlignment="1">
      <alignment horizontal="center" vertical="center"/>
    </xf>
    <xf numFmtId="167" fontId="10" fillId="3" borderId="34" xfId="0" applyNumberFormat="1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 wrapText="1"/>
    </xf>
    <xf numFmtId="9" fontId="10" fillId="2" borderId="1" xfId="1" applyFont="1" applyFill="1" applyBorder="1" applyAlignment="1">
      <alignment vertical="center"/>
    </xf>
    <xf numFmtId="9" fontId="10" fillId="0" borderId="7" xfId="1" applyFont="1" applyFill="1" applyBorder="1" applyAlignment="1">
      <alignment vertical="center"/>
    </xf>
    <xf numFmtId="9" fontId="10" fillId="2" borderId="14" xfId="1" applyFont="1" applyFill="1" applyBorder="1" applyAlignment="1">
      <alignment horizontal="right" vertical="center"/>
    </xf>
    <xf numFmtId="9" fontId="10" fillId="2" borderId="53" xfId="1" applyFont="1" applyFill="1" applyBorder="1" applyAlignment="1">
      <alignment horizontal="right" vertical="center"/>
    </xf>
    <xf numFmtId="9" fontId="10" fillId="2" borderId="49" xfId="1" applyFont="1" applyFill="1" applyBorder="1" applyAlignment="1">
      <alignment horizontal="right" vertical="center"/>
    </xf>
    <xf numFmtId="167" fontId="10" fillId="5" borderId="0" xfId="0" applyNumberFormat="1" applyFont="1" applyFill="1" applyAlignment="1">
      <alignment horizontal="center" vertical="center"/>
    </xf>
    <xf numFmtId="167" fontId="10" fillId="2" borderId="12" xfId="0" applyNumberFormat="1" applyFont="1" applyFill="1" applyBorder="1" applyAlignment="1">
      <alignment horizontal="center" vertical="center"/>
    </xf>
    <xf numFmtId="167" fontId="10" fillId="2" borderId="35" xfId="0" applyNumberFormat="1" applyFont="1" applyFill="1" applyBorder="1" applyAlignment="1">
      <alignment horizontal="center" vertical="center"/>
    </xf>
    <xf numFmtId="167" fontId="10" fillId="2" borderId="13" xfId="0" applyNumberFormat="1" applyFont="1" applyFill="1" applyBorder="1" applyAlignment="1">
      <alignment horizontal="center" vertical="center"/>
    </xf>
    <xf numFmtId="0" fontId="11" fillId="4" borderId="35" xfId="0" applyFont="1" applyFill="1" applyBorder="1" applyAlignment="1">
      <alignment horizontal="center" vertical="center" wrapText="1"/>
    </xf>
    <xf numFmtId="167" fontId="10" fillId="2" borderId="2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2">
    <dxf>
      <numFmt numFmtId="169" formatCode="&quot;R&quot;#,##0.00"/>
      <fill>
        <patternFill patternType="solid">
          <bgColor theme="0" tint="-0.14996795556505021"/>
        </patternFill>
      </fill>
    </dxf>
    <dxf>
      <numFmt numFmtId="170" formatCode="\£#,##0.00"/>
      <fill>
        <patternFill patternType="solid">
          <bgColor theme="0" tint="-0.14996795556505021"/>
        </patternFill>
      </fill>
    </dxf>
    <dxf>
      <numFmt numFmtId="171" formatCode="&quot;$&quot;#,##0.00"/>
      <fill>
        <patternFill patternType="solid">
          <bgColor theme="0" tint="-0.14996795556505021"/>
        </patternFill>
      </fill>
    </dxf>
    <dxf>
      <numFmt numFmtId="169" formatCode="&quot;R&quot;#,##0.00"/>
      <fill>
        <patternFill patternType="none">
          <bgColor auto="1"/>
        </patternFill>
      </fill>
    </dxf>
    <dxf>
      <numFmt numFmtId="170" formatCode="\£#,##0.00"/>
      <fill>
        <patternFill patternType="none">
          <bgColor auto="1"/>
        </patternFill>
      </fill>
    </dxf>
    <dxf>
      <numFmt numFmtId="171" formatCode="&quot;$&quot;#,##0.00"/>
      <fill>
        <patternFill patternType="none">
          <bgColor auto="1"/>
        </patternFill>
      </fill>
    </dxf>
    <dxf>
      <numFmt numFmtId="169" formatCode="&quot;R&quot;#,##0.00"/>
      <fill>
        <patternFill patternType="solid">
          <bgColor theme="0" tint="-0.14996795556505021"/>
        </patternFill>
      </fill>
    </dxf>
    <dxf>
      <numFmt numFmtId="170" formatCode="\£#,##0.00"/>
      <fill>
        <patternFill patternType="solid">
          <bgColor theme="0" tint="-0.14996795556505021"/>
        </patternFill>
      </fill>
    </dxf>
    <dxf>
      <numFmt numFmtId="171" formatCode="&quot;$&quot;#,##0.00"/>
      <fill>
        <patternFill patternType="solid">
          <bgColor theme="0" tint="-0.14996795556505021"/>
        </patternFill>
      </fill>
    </dxf>
    <dxf>
      <numFmt numFmtId="169" formatCode="&quot;R&quot;#,##0.00"/>
      <fill>
        <patternFill patternType="solid">
          <bgColor theme="9" tint="0.79998168889431442"/>
        </patternFill>
      </fill>
    </dxf>
    <dxf>
      <numFmt numFmtId="170" formatCode="\£#,##0.00"/>
      <fill>
        <patternFill patternType="solid">
          <bgColor theme="9" tint="0.79998168889431442"/>
        </patternFill>
      </fill>
    </dxf>
    <dxf>
      <numFmt numFmtId="171" formatCode="&quot;$&quot;#,##0.00"/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88BA43A9-8EB4-4FF3-9B67-F49F9F0832F8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4" dT="2025-09-01T10:01:01.48" personId="{88BA43A9-8EB4-4FF3-9B67-F49F9F0832F8}" id="{FC4F12D2-F276-46E6-AE51-E99E68DD3F5A}">
    <text>Consider the extent of discovery already completed, and knowledge of the client's business &amp; Org.</text>
  </threadedComment>
  <threadedComment ref="W5" dT="2025-09-01T10:02:03.36" personId="{88BA43A9-8EB4-4FF3-9B67-F49F9F0832F8}" id="{1E5D5335-6D7E-4675-9E21-C2B5C48FF2D0}">
    <text>Consider extent of custom component development, use of 3rd party apps, 3rd party integrations.</text>
  </threadedComment>
  <threadedComment ref="X10" dT="2025-09-02T06:59:34.57" personId="{88BA43A9-8EB4-4FF3-9B67-F49F9F0832F8}" id="{8A9B25BD-315E-4EDC-895D-7B9EC0DB1AAB}">
    <text>5 point story = 5 days to dev, QA, fix bugs &amp; deploy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4" dT="2025-09-01T10:01:01.48" personId="{88BA43A9-8EB4-4FF3-9B67-F49F9F0832F8}" id="{BAF56DF6-CF5E-4DCD-918F-123D3A97F77A}">
    <text>Consider the extent of discovery already completed, and knowledge of the client's business &amp; Org.</text>
  </threadedComment>
  <threadedComment ref="E5" dT="2025-09-01T10:02:03.36" personId="{88BA43A9-8EB4-4FF3-9B67-F49F9F0832F8}" id="{6371F4C0-76EF-4713-89E9-218FA6A3F813}">
    <text>Consider extent of custom component development, use of 3rd party apps, 3rd party integrations.</text>
  </threadedComment>
  <threadedComment ref="I15" dT="2025-09-02T06:59:34.57" personId="{88BA43A9-8EB4-4FF3-9B67-F49F9F0832F8}" id="{AD42F3EA-BFBB-409F-8DAA-8FE8691D079A}">
    <text>5 point story = 5 days to dev, QA, fix bugs &amp; deploy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6C91-7E9F-44AA-84C5-05C242530A4F}">
  <sheetPr>
    <tabColor theme="7"/>
  </sheetPr>
  <dimension ref="A1:AL33"/>
  <sheetViews>
    <sheetView showGridLines="0" tabSelected="1" workbookViewId="0">
      <selection activeCell="G10" sqref="G10"/>
    </sheetView>
  </sheetViews>
  <sheetFormatPr defaultColWidth="9.109375" defaultRowHeight="14.4" x14ac:dyDescent="0.3"/>
  <cols>
    <col min="1" max="1" width="2" style="55" customWidth="1"/>
    <col min="2" max="2" width="30.33203125" style="55" bestFit="1" customWidth="1"/>
    <col min="3" max="3" width="9.33203125" style="55" customWidth="1"/>
    <col min="4" max="5" width="9.44140625" style="55" customWidth="1"/>
    <col min="6" max="9" width="17" style="55" customWidth="1"/>
    <col min="10" max="10" width="2.44140625" style="55" customWidth="1"/>
    <col min="11" max="11" width="30.109375" style="55" customWidth="1"/>
    <col min="12" max="12" width="10.44140625" style="55" customWidth="1"/>
    <col min="13" max="13" width="14.6640625" style="55" customWidth="1"/>
    <col min="14" max="14" width="18.6640625" style="55" bestFit="1" customWidth="1"/>
    <col min="15" max="22" width="12.6640625" style="55" customWidth="1"/>
    <col min="23" max="23" width="12.6640625" style="55" bestFit="1" customWidth="1"/>
    <col min="24" max="16384" width="9.109375" style="55"/>
  </cols>
  <sheetData>
    <row r="1" spans="1:28" ht="7.5" customHeight="1" thickBot="1" x14ac:dyDescent="0.35"/>
    <row r="2" spans="1:28" ht="15" thickBot="1" x14ac:dyDescent="0.35">
      <c r="B2" s="208" t="str">
        <f>"Rates"&amp;" ("&amp;C3&amp;")"</f>
        <v>Rates (£)</v>
      </c>
      <c r="C2" s="209"/>
      <c r="E2" s="58"/>
      <c r="F2" s="208" t="s">
        <v>73</v>
      </c>
      <c r="G2" s="209"/>
      <c r="I2" s="97" t="s">
        <v>164</v>
      </c>
      <c r="K2" s="205" t="s">
        <v>107</v>
      </c>
      <c r="L2" s="206"/>
      <c r="M2" s="206"/>
      <c r="N2" s="207"/>
      <c r="W2" s="219" t="s">
        <v>71</v>
      </c>
      <c r="X2" s="220"/>
    </row>
    <row r="3" spans="1:28" x14ac:dyDescent="0.3">
      <c r="B3" s="56" t="s">
        <v>43</v>
      </c>
      <c r="C3" s="189" t="s">
        <v>41</v>
      </c>
      <c r="D3" s="55" t="s">
        <v>167</v>
      </c>
      <c r="E3" s="58"/>
      <c r="F3" s="42" t="s">
        <v>77</v>
      </c>
      <c r="G3" s="176">
        <v>45978</v>
      </c>
      <c r="I3" s="98" t="s">
        <v>100</v>
      </c>
      <c r="K3" s="160"/>
      <c r="L3" s="161" t="s">
        <v>137</v>
      </c>
      <c r="M3" s="161" t="s">
        <v>148</v>
      </c>
      <c r="N3" s="186" t="s">
        <v>142</v>
      </c>
      <c r="W3" s="56" t="s">
        <v>82</v>
      </c>
      <c r="X3" s="49"/>
    </row>
    <row r="4" spans="1:28" ht="15" customHeight="1" thickBot="1" x14ac:dyDescent="0.35">
      <c r="B4" s="56" t="s">
        <v>55</v>
      </c>
      <c r="C4" s="190">
        <v>126</v>
      </c>
      <c r="D4" s="191">
        <v>163</v>
      </c>
      <c r="E4" s="58"/>
      <c r="F4" s="44" t="s">
        <v>122</v>
      </c>
      <c r="G4" s="175">
        <v>14</v>
      </c>
      <c r="I4" s="98" t="s">
        <v>101</v>
      </c>
      <c r="K4" s="56" t="s">
        <v>153</v>
      </c>
      <c r="L4" s="112">
        <v>8</v>
      </c>
      <c r="M4" s="165">
        <v>4</v>
      </c>
      <c r="N4" s="223" t="s">
        <v>166</v>
      </c>
      <c r="W4" s="56" t="s">
        <v>65</v>
      </c>
      <c r="X4" s="69"/>
    </row>
    <row r="5" spans="1:28" ht="15" thickBot="1" x14ac:dyDescent="0.35">
      <c r="B5" s="56" t="s">
        <v>56</v>
      </c>
      <c r="C5" s="190">
        <v>97.5</v>
      </c>
      <c r="D5" s="191">
        <v>102.38</v>
      </c>
      <c r="E5" s="126"/>
      <c r="H5" s="58"/>
      <c r="I5" s="98" t="s">
        <v>103</v>
      </c>
      <c r="K5" s="56" t="s">
        <v>139</v>
      </c>
      <c r="L5" s="112">
        <v>6</v>
      </c>
      <c r="M5" s="165">
        <v>3</v>
      </c>
      <c r="N5" s="224"/>
      <c r="W5" s="57" t="s">
        <v>66</v>
      </c>
      <c r="X5" s="71"/>
    </row>
    <row r="6" spans="1:28" ht="15" thickBot="1" x14ac:dyDescent="0.35">
      <c r="E6" s="58"/>
      <c r="H6" s="58"/>
      <c r="I6" s="99" t="s">
        <v>150</v>
      </c>
      <c r="K6" s="153" t="s">
        <v>138</v>
      </c>
      <c r="L6" s="112">
        <v>16</v>
      </c>
      <c r="M6" s="166"/>
      <c r="N6" s="224"/>
      <c r="W6" s="59" t="s">
        <v>87</v>
      </c>
      <c r="X6" s="73">
        <f>ROUNDUP(X3*(1+X4+X5),0)</f>
        <v>0</v>
      </c>
    </row>
    <row r="7" spans="1:28" ht="15" thickBot="1" x14ac:dyDescent="0.35">
      <c r="B7" s="208" t="s">
        <v>45</v>
      </c>
      <c r="C7" s="226"/>
      <c r="D7" s="226"/>
      <c r="E7" s="226"/>
      <c r="F7" s="226"/>
      <c r="G7" s="209"/>
      <c r="H7" s="58"/>
      <c r="K7" s="153" t="s">
        <v>140</v>
      </c>
      <c r="L7" s="112">
        <f>8*3</f>
        <v>24</v>
      </c>
      <c r="M7" s="166"/>
      <c r="N7" s="224"/>
    </row>
    <row r="8" spans="1:28" ht="28.8" x14ac:dyDescent="0.3">
      <c r="A8" s="58"/>
      <c r="B8" s="45" t="s">
        <v>48</v>
      </c>
      <c r="C8" s="147" t="s">
        <v>60</v>
      </c>
      <c r="D8" s="40" t="s">
        <v>80</v>
      </c>
      <c r="E8" s="40" t="s">
        <v>81</v>
      </c>
      <c r="F8" s="40" t="str">
        <f>"Lower Bound"&amp;" ("&amp;C3&amp;")"</f>
        <v>Lower Bound (£)</v>
      </c>
      <c r="G8" s="41" t="str">
        <f>"Upper Bound"&amp;" ("&amp;C3&amp;")"</f>
        <v>Upper Bound (£)</v>
      </c>
      <c r="H8" s="58"/>
      <c r="K8" s="153" t="s">
        <v>141</v>
      </c>
      <c r="L8" s="112">
        <f>8*3+4</f>
        <v>28</v>
      </c>
      <c r="M8" s="166"/>
      <c r="N8" s="224"/>
      <c r="W8" s="208" t="s">
        <v>5</v>
      </c>
      <c r="X8" s="226"/>
      <c r="Y8" s="226"/>
      <c r="Z8" s="226"/>
      <c r="AA8" s="226"/>
      <c r="AB8" s="209"/>
    </row>
    <row r="9" spans="1:28" x14ac:dyDescent="0.3">
      <c r="A9" s="58"/>
      <c r="B9" s="56" t="s">
        <v>115</v>
      </c>
      <c r="C9" s="169"/>
      <c r="D9" s="116">
        <f>CEILING(L9,5)</f>
        <v>120</v>
      </c>
      <c r="E9" s="116">
        <f>CEILING(L10,5)</f>
        <v>150</v>
      </c>
      <c r="F9" s="60">
        <f>D9*$C$4</f>
        <v>15120</v>
      </c>
      <c r="G9" s="81">
        <f>E9*$C$4</f>
        <v>18900</v>
      </c>
      <c r="H9" s="58"/>
      <c r="K9" s="56" t="s">
        <v>96</v>
      </c>
      <c r="L9" s="148">
        <f>L4*M4+L5*M5+L6+L7+L8</f>
        <v>118</v>
      </c>
      <c r="M9" s="167" t="s">
        <v>136</v>
      </c>
      <c r="N9" s="224"/>
      <c r="W9" s="45" t="s">
        <v>85</v>
      </c>
      <c r="X9" s="253" t="str">
        <f>"Points per Dev per "&amp;N31&amp;"-week Sprint"</f>
        <v>Points per Dev per 3-week Sprint</v>
      </c>
      <c r="Y9" s="253"/>
      <c r="Z9" s="253"/>
      <c r="AA9" s="253" t="s">
        <v>70</v>
      </c>
      <c r="AB9" s="254"/>
    </row>
    <row r="10" spans="1:28" ht="15" thickBot="1" x14ac:dyDescent="0.35">
      <c r="A10" s="58"/>
      <c r="B10" s="56" t="s">
        <v>64</v>
      </c>
      <c r="C10" s="169"/>
      <c r="D10" s="116">
        <f>CEILING(L17,5)</f>
        <v>65</v>
      </c>
      <c r="E10" s="116">
        <f>CEILING(L18,5)</f>
        <v>80</v>
      </c>
      <c r="F10" s="60">
        <f>D10*$C$4</f>
        <v>8190</v>
      </c>
      <c r="G10" s="81">
        <f>E10*$C$4</f>
        <v>10080</v>
      </c>
      <c r="H10" s="58"/>
      <c r="K10" s="57" t="s">
        <v>97</v>
      </c>
      <c r="L10" s="146">
        <f>ROUND(L9*(1+M10),0)</f>
        <v>148</v>
      </c>
      <c r="M10" s="168">
        <v>0.25</v>
      </c>
      <c r="N10" s="225"/>
      <c r="W10" s="216" t="s">
        <v>14</v>
      </c>
      <c r="X10" s="218" t="s">
        <v>91</v>
      </c>
      <c r="Y10" s="218"/>
      <c r="Z10" s="124"/>
      <c r="AA10" s="244">
        <f>ROUNDUP(Z10*N22+Z11*N23,0)</f>
        <v>0</v>
      </c>
      <c r="AB10" s="245"/>
    </row>
    <row r="11" spans="1:28" ht="15" thickBot="1" x14ac:dyDescent="0.35">
      <c r="A11" s="58"/>
      <c r="B11" s="56" t="s">
        <v>118</v>
      </c>
      <c r="C11" s="169"/>
      <c r="D11" s="112">
        <v>3</v>
      </c>
      <c r="E11" s="112">
        <v>4</v>
      </c>
      <c r="F11" s="60">
        <f>D11*$N$32</f>
        <v>105300</v>
      </c>
      <c r="G11" s="81">
        <f>E11*$N$32</f>
        <v>140400</v>
      </c>
      <c r="H11" s="58"/>
      <c r="W11" s="217"/>
      <c r="X11" s="248" t="s">
        <v>92</v>
      </c>
      <c r="Y11" s="248"/>
      <c r="Z11" s="125"/>
      <c r="AA11" s="246"/>
      <c r="AB11" s="247"/>
    </row>
    <row r="12" spans="1:28" ht="15" thickBot="1" x14ac:dyDescent="0.35">
      <c r="B12" s="56" t="s">
        <v>152</v>
      </c>
      <c r="C12" s="173">
        <v>0.25</v>
      </c>
      <c r="D12" s="112">
        <v>3</v>
      </c>
      <c r="E12" s="112">
        <v>3</v>
      </c>
      <c r="F12" s="60">
        <f>D12*$C$12*$C$5*40</f>
        <v>2925</v>
      </c>
      <c r="G12" s="81">
        <f>E12*$C$12*$C$5*40</f>
        <v>2925</v>
      </c>
      <c r="H12" s="58"/>
      <c r="J12" s="78"/>
      <c r="K12" s="208" t="s">
        <v>154</v>
      </c>
      <c r="L12" s="226"/>
      <c r="M12" s="209"/>
      <c r="W12" s="64" t="s">
        <v>15</v>
      </c>
      <c r="X12" s="249" t="s">
        <v>68</v>
      </c>
      <c r="Y12" s="250"/>
      <c r="Z12" s="90">
        <v>0.8</v>
      </c>
      <c r="AA12" s="251">
        <f>ROUNDDOWN(AA10*Z12,0)</f>
        <v>0</v>
      </c>
      <c r="AB12" s="252"/>
    </row>
    <row r="13" spans="1:28" ht="15" thickBot="1" x14ac:dyDescent="0.35">
      <c r="B13" s="56" t="s">
        <v>159</v>
      </c>
      <c r="C13" s="173">
        <v>0.25</v>
      </c>
      <c r="D13" s="112">
        <v>2</v>
      </c>
      <c r="E13" s="112">
        <v>2</v>
      </c>
      <c r="F13" s="60">
        <f>D13*$C$13*$C$5*40</f>
        <v>1950</v>
      </c>
      <c r="G13" s="81">
        <f>E13*$C$13*$C$5*40</f>
        <v>1950</v>
      </c>
      <c r="H13" s="58"/>
      <c r="K13" s="132" t="s">
        <v>95</v>
      </c>
      <c r="L13" s="112">
        <v>3</v>
      </c>
      <c r="M13" s="137"/>
    </row>
    <row r="14" spans="1:28" ht="15" thickBot="1" x14ac:dyDescent="0.35">
      <c r="B14" s="57" t="s">
        <v>117</v>
      </c>
      <c r="C14" s="170"/>
      <c r="D14" s="83">
        <v>9.01</v>
      </c>
      <c r="E14" s="83">
        <v>12.025</v>
      </c>
      <c r="F14" s="61">
        <f>D14*C$4</f>
        <v>1135.26</v>
      </c>
      <c r="G14" s="84">
        <f>E14*$C$4</f>
        <v>1515.15</v>
      </c>
      <c r="H14" s="58"/>
      <c r="K14" s="42" t="s">
        <v>155</v>
      </c>
      <c r="L14" s="37">
        <v>0.4</v>
      </c>
      <c r="M14" s="67" t="s">
        <v>148</v>
      </c>
      <c r="W14" s="221" t="s">
        <v>34</v>
      </c>
      <c r="X14" s="222"/>
    </row>
    <row r="15" spans="1:28" ht="15" thickBot="1" x14ac:dyDescent="0.35">
      <c r="B15" s="233" t="s">
        <v>78</v>
      </c>
      <c r="C15" s="234"/>
      <c r="D15" s="234"/>
      <c r="E15" s="235"/>
      <c r="F15" s="62">
        <f>SUM(F9:F14)</f>
        <v>134620.26</v>
      </c>
      <c r="G15" s="86">
        <f>SUM(G9:G14)</f>
        <v>175770.15</v>
      </c>
      <c r="H15" s="58"/>
      <c r="K15" s="56" t="s">
        <v>156</v>
      </c>
      <c r="L15" s="141">
        <v>3</v>
      </c>
      <c r="M15" s="163">
        <v>4</v>
      </c>
      <c r="W15" s="210" t="s">
        <v>93</v>
      </c>
      <c r="X15" s="211"/>
    </row>
    <row r="16" spans="1:28" ht="15" thickBot="1" x14ac:dyDescent="0.35">
      <c r="B16" s="110"/>
      <c r="C16" s="110"/>
      <c r="D16" s="110"/>
      <c r="E16" s="110"/>
      <c r="F16" s="110"/>
      <c r="G16" s="110"/>
      <c r="H16" s="58"/>
      <c r="K16" s="56" t="s">
        <v>157</v>
      </c>
      <c r="L16" s="141">
        <v>1</v>
      </c>
      <c r="M16" s="163">
        <v>3</v>
      </c>
      <c r="W16" s="212" t="s">
        <v>99</v>
      </c>
      <c r="X16" s="213"/>
    </row>
    <row r="17" spans="1:38" ht="15" thickBot="1" x14ac:dyDescent="0.35">
      <c r="B17" s="205" t="s">
        <v>113</v>
      </c>
      <c r="C17" s="206"/>
      <c r="D17" s="206"/>
      <c r="E17" s="206"/>
      <c r="F17" s="206"/>
      <c r="G17" s="206"/>
      <c r="H17" s="206"/>
      <c r="I17" s="207"/>
      <c r="K17" s="56" t="s">
        <v>96</v>
      </c>
      <c r="L17" s="148">
        <f>L15*M15+L16*M16+L13*40*L14</f>
        <v>63</v>
      </c>
      <c r="M17" s="67" t="s">
        <v>136</v>
      </c>
      <c r="W17" s="214" t="s">
        <v>151</v>
      </c>
      <c r="X17" s="215"/>
    </row>
    <row r="18" spans="1:38" ht="15" thickBot="1" x14ac:dyDescent="0.35">
      <c r="B18" s="239" t="s">
        <v>48</v>
      </c>
      <c r="C18" s="240"/>
      <c r="D18" s="238" t="s">
        <v>63</v>
      </c>
      <c r="E18" s="238"/>
      <c r="F18" s="172" t="str">
        <f t="shared" ref="F18:G21" si="0">F8</f>
        <v>Lower Bound (£)</v>
      </c>
      <c r="G18" s="172" t="str">
        <f t="shared" si="0"/>
        <v>Upper Bound (£)</v>
      </c>
      <c r="H18" s="161" t="s">
        <v>160</v>
      </c>
      <c r="I18" s="162" t="s">
        <v>161</v>
      </c>
      <c r="K18" s="57" t="s">
        <v>97</v>
      </c>
      <c r="L18" s="146">
        <f>ROUND(L17*(1+M18),0)</f>
        <v>76</v>
      </c>
      <c r="M18" s="159">
        <v>0.2</v>
      </c>
    </row>
    <row r="19" spans="1:38" ht="15" thickBot="1" x14ac:dyDescent="0.35">
      <c r="B19" s="203" t="s">
        <v>107</v>
      </c>
      <c r="C19" s="204"/>
      <c r="D19" s="113">
        <v>4</v>
      </c>
      <c r="E19" s="113">
        <v>4</v>
      </c>
      <c r="F19" s="63">
        <f>F9</f>
        <v>15120</v>
      </c>
      <c r="G19" s="63">
        <f t="shared" si="0"/>
        <v>18900</v>
      </c>
      <c r="H19" s="171">
        <f>G3+(D19)*7-1</f>
        <v>46005</v>
      </c>
      <c r="I19" s="179">
        <f>G3+(E19)*7-1</f>
        <v>46005</v>
      </c>
    </row>
    <row r="20" spans="1:38" ht="15" thickBot="1" x14ac:dyDescent="0.35">
      <c r="B20" s="203" t="s">
        <v>64</v>
      </c>
      <c r="C20" s="204"/>
      <c r="D20" s="89">
        <f>L13</f>
        <v>3</v>
      </c>
      <c r="E20" s="113">
        <v>4</v>
      </c>
      <c r="F20" s="63">
        <f t="shared" si="0"/>
        <v>8190</v>
      </c>
      <c r="G20" s="63">
        <f t="shared" si="0"/>
        <v>10080</v>
      </c>
      <c r="H20" s="171">
        <f>H19+(D20)*7+G4</f>
        <v>46040</v>
      </c>
      <c r="I20" s="179">
        <f>I19+(E20)*7+G4</f>
        <v>46047</v>
      </c>
      <c r="K20" s="205" t="s">
        <v>79</v>
      </c>
      <c r="L20" s="206"/>
      <c r="M20" s="206"/>
      <c r="N20" s="207"/>
      <c r="V20" s="79"/>
    </row>
    <row r="21" spans="1:38" x14ac:dyDescent="0.3">
      <c r="B21" s="203" t="s">
        <v>69</v>
      </c>
      <c r="C21" s="204"/>
      <c r="D21" s="89">
        <f>SUM(D11:D11)*N31</f>
        <v>9</v>
      </c>
      <c r="E21" s="89">
        <f>SUM(E11:E11)*N31</f>
        <v>12</v>
      </c>
      <c r="F21" s="63">
        <f t="shared" si="0"/>
        <v>105300</v>
      </c>
      <c r="G21" s="63">
        <f t="shared" si="0"/>
        <v>140400</v>
      </c>
      <c r="H21" s="171">
        <f>H20+(D21)*7</f>
        <v>46103</v>
      </c>
      <c r="I21" s="179">
        <f>I20+E21*7</f>
        <v>46131</v>
      </c>
      <c r="K21" s="185" t="s">
        <v>58</v>
      </c>
      <c r="L21" s="161" t="s">
        <v>59</v>
      </c>
      <c r="M21" s="161" t="s">
        <v>6</v>
      </c>
      <c r="N21" s="162" t="s">
        <v>60</v>
      </c>
    </row>
    <row r="22" spans="1:38" x14ac:dyDescent="0.3">
      <c r="B22" s="203" t="s">
        <v>31</v>
      </c>
      <c r="C22" s="204"/>
      <c r="D22" s="89">
        <f>D12</f>
        <v>3</v>
      </c>
      <c r="E22" s="89">
        <f>E12</f>
        <v>3</v>
      </c>
      <c r="F22" s="63">
        <f>F12</f>
        <v>2925</v>
      </c>
      <c r="G22" s="63">
        <f>G12</f>
        <v>2925</v>
      </c>
      <c r="H22" s="171">
        <f>H21+D22*7</f>
        <v>46124</v>
      </c>
      <c r="I22" s="193">
        <f>I21+E22*7</f>
        <v>46152</v>
      </c>
      <c r="K22" s="53" t="s">
        <v>12</v>
      </c>
      <c r="L22" s="70">
        <v>1</v>
      </c>
      <c r="M22" s="37">
        <v>1</v>
      </c>
      <c r="N22" s="77">
        <f>L22*M22</f>
        <v>1</v>
      </c>
    </row>
    <row r="23" spans="1:38" x14ac:dyDescent="0.3">
      <c r="B23" s="203" t="s">
        <v>98</v>
      </c>
      <c r="C23" s="204"/>
      <c r="D23" s="89">
        <f>D13</f>
        <v>2</v>
      </c>
      <c r="E23" s="89">
        <f>E13</f>
        <v>2</v>
      </c>
      <c r="F23" s="63">
        <f>F13</f>
        <v>1950</v>
      </c>
      <c r="G23" s="63">
        <f t="shared" ref="F23:G24" si="1">G13</f>
        <v>1950</v>
      </c>
      <c r="H23" s="171">
        <f>H22+D23*7</f>
        <v>46138</v>
      </c>
      <c r="I23" s="179">
        <f>I22+E23*7</f>
        <v>46166</v>
      </c>
      <c r="K23" s="53" t="s">
        <v>11</v>
      </c>
      <c r="L23" s="70">
        <v>1</v>
      </c>
      <c r="M23" s="37">
        <v>0.65</v>
      </c>
      <c r="N23" s="77">
        <f>L23*M23</f>
        <v>0.65</v>
      </c>
    </row>
    <row r="24" spans="1:38" ht="15" thickBot="1" x14ac:dyDescent="0.35">
      <c r="B24" s="203" t="s">
        <v>72</v>
      </c>
      <c r="C24" s="204"/>
      <c r="D24" s="118">
        <v>0</v>
      </c>
      <c r="E24" s="118">
        <v>0</v>
      </c>
      <c r="F24" s="180">
        <f t="shared" si="1"/>
        <v>1135.26</v>
      </c>
      <c r="G24" s="180">
        <f t="shared" si="1"/>
        <v>1515.15</v>
      </c>
      <c r="H24" s="199"/>
      <c r="I24" s="200"/>
      <c r="J24" s="110"/>
      <c r="K24" s="53" t="s">
        <v>7</v>
      </c>
      <c r="L24" s="70">
        <v>1</v>
      </c>
      <c r="M24" s="37">
        <v>0.55000000000000004</v>
      </c>
      <c r="N24" s="77">
        <f>L24*M24</f>
        <v>0.55000000000000004</v>
      </c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</row>
    <row r="25" spans="1:38" ht="15" thickBot="1" x14ac:dyDescent="0.35">
      <c r="B25" s="201" t="s">
        <v>163</v>
      </c>
      <c r="C25" s="202"/>
      <c r="D25" s="181">
        <f>SUM(D19:D24)</f>
        <v>21</v>
      </c>
      <c r="E25" s="181">
        <f>SUM(E19:E24)</f>
        <v>25</v>
      </c>
      <c r="F25" s="182">
        <f>SUM(F19:F24)</f>
        <v>134620.26</v>
      </c>
      <c r="G25" s="182">
        <f>SUM(G19:G24)</f>
        <v>175770.15</v>
      </c>
      <c r="H25" s="236"/>
      <c r="I25" s="237"/>
      <c r="J25" s="110"/>
      <c r="K25" s="53" t="s">
        <v>162</v>
      </c>
      <c r="M25" s="174">
        <f>N24/(SUM(N22:N23))</f>
        <v>0.33333333333333337</v>
      </c>
      <c r="N25" s="137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</row>
    <row r="26" spans="1:38" ht="15" thickBot="1" x14ac:dyDescent="0.35">
      <c r="B26" s="201" t="s">
        <v>158</v>
      </c>
      <c r="C26" s="202"/>
      <c r="D26" s="164">
        <f>(D25+(G4/7))/(52/12)</f>
        <v>5.3076923076923084</v>
      </c>
      <c r="E26" s="164">
        <f>(E25+(G4/7))/(52/12)</f>
        <v>6.2307692307692308</v>
      </c>
      <c r="F26" s="241"/>
      <c r="G26" s="242"/>
      <c r="H26" s="242"/>
      <c r="I26" s="243"/>
      <c r="J26" s="110"/>
      <c r="K26" s="53" t="s">
        <v>108</v>
      </c>
      <c r="L26" s="70">
        <v>1</v>
      </c>
      <c r="M26" s="37">
        <v>0.15</v>
      </c>
      <c r="N26" s="77">
        <f>L26*M26</f>
        <v>0.15</v>
      </c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</row>
    <row r="27" spans="1:38" ht="15" thickBot="1" x14ac:dyDescent="0.35">
      <c r="B27" s="194"/>
      <c r="C27" s="195"/>
      <c r="D27" s="195"/>
      <c r="E27" s="195"/>
      <c r="F27" s="195"/>
      <c r="G27" s="196" t="s">
        <v>168</v>
      </c>
      <c r="H27" s="197"/>
      <c r="I27" s="198" t="s">
        <v>169</v>
      </c>
      <c r="J27" s="110"/>
      <c r="K27" s="53" t="s">
        <v>8</v>
      </c>
      <c r="L27" s="70">
        <v>1</v>
      </c>
      <c r="M27" s="37">
        <v>0.35</v>
      </c>
      <c r="N27" s="77">
        <f>L27*M27</f>
        <v>0.35</v>
      </c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</row>
    <row r="28" spans="1:38" x14ac:dyDescent="0.3">
      <c r="J28" s="110"/>
      <c r="K28" s="53" t="s">
        <v>57</v>
      </c>
      <c r="L28" s="70">
        <v>1</v>
      </c>
      <c r="M28" s="37">
        <v>0.15</v>
      </c>
      <c r="N28" s="77">
        <f t="shared" ref="N28:N29" si="2">L28*M28</f>
        <v>0.15</v>
      </c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</row>
    <row r="29" spans="1:38" ht="15" thickBot="1" x14ac:dyDescent="0.35">
      <c r="A29" s="110"/>
      <c r="E29" s="79"/>
      <c r="J29" s="110"/>
      <c r="K29" s="177" t="s">
        <v>9</v>
      </c>
      <c r="L29" s="102">
        <v>1</v>
      </c>
      <c r="M29" s="178">
        <v>0.15</v>
      </c>
      <c r="N29" s="183">
        <f t="shared" si="2"/>
        <v>0.15</v>
      </c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</row>
    <row r="30" spans="1:38" x14ac:dyDescent="0.3">
      <c r="K30" s="230" t="s">
        <v>61</v>
      </c>
      <c r="L30" s="231"/>
      <c r="M30" s="232"/>
      <c r="N30" s="184">
        <f>SUM(N22:N29)</f>
        <v>3</v>
      </c>
    </row>
    <row r="31" spans="1:38" ht="15" customHeight="1" thickBot="1" x14ac:dyDescent="0.35">
      <c r="K31" s="227" t="s">
        <v>88</v>
      </c>
      <c r="L31" s="228"/>
      <c r="M31" s="229"/>
      <c r="N31" s="187">
        <v>3</v>
      </c>
    </row>
    <row r="32" spans="1:38" ht="15" thickBot="1" x14ac:dyDescent="0.35">
      <c r="K32" s="233" t="str">
        <f>"Cost per Sprint"&amp;" ("&amp;C3&amp;")"</f>
        <v>Cost per Sprint (£)</v>
      </c>
      <c r="L32" s="234"/>
      <c r="M32" s="235"/>
      <c r="N32" s="188">
        <f>CEILING(N30*N31*C5*40,10)</f>
        <v>35100</v>
      </c>
    </row>
    <row r="33" spans="11:14" x14ac:dyDescent="0.3">
      <c r="K33" s="55" t="s">
        <v>165</v>
      </c>
      <c r="N33" s="192">
        <v>35100</v>
      </c>
    </row>
  </sheetData>
  <mergeCells count="39">
    <mergeCell ref="AA10:AB11"/>
    <mergeCell ref="X11:Y11"/>
    <mergeCell ref="X12:Y12"/>
    <mergeCell ref="AA12:AB12"/>
    <mergeCell ref="W8:AB8"/>
    <mergeCell ref="X9:Z9"/>
    <mergeCell ref="AA9:AB9"/>
    <mergeCell ref="K31:M31"/>
    <mergeCell ref="K30:M30"/>
    <mergeCell ref="K32:M32"/>
    <mergeCell ref="H25:I25"/>
    <mergeCell ref="B7:G7"/>
    <mergeCell ref="D18:E18"/>
    <mergeCell ref="B17:I17"/>
    <mergeCell ref="B15:E15"/>
    <mergeCell ref="B20:C20"/>
    <mergeCell ref="B21:C21"/>
    <mergeCell ref="B22:C22"/>
    <mergeCell ref="B23:C23"/>
    <mergeCell ref="B24:C24"/>
    <mergeCell ref="B18:C18"/>
    <mergeCell ref="F26:I26"/>
    <mergeCell ref="K20:N20"/>
    <mergeCell ref="W2:X2"/>
    <mergeCell ref="W14:X14"/>
    <mergeCell ref="F2:G2"/>
    <mergeCell ref="N4:N10"/>
    <mergeCell ref="K12:M12"/>
    <mergeCell ref="W15:X15"/>
    <mergeCell ref="W16:X16"/>
    <mergeCell ref="W17:X17"/>
    <mergeCell ref="W10:W11"/>
    <mergeCell ref="X10:Y10"/>
    <mergeCell ref="H24:I24"/>
    <mergeCell ref="B25:C25"/>
    <mergeCell ref="B26:C26"/>
    <mergeCell ref="B19:C19"/>
    <mergeCell ref="K2:N2"/>
    <mergeCell ref="B2:C2"/>
  </mergeCells>
  <phoneticPr fontId="1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E6C046-4E09-4665-BD8D-7AE3EEB309E1}">
          <x14:formula1>
            <xm:f>Currency!$B$2:$B$4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C9E5-BE0A-495A-BDC3-B162AA10F730}">
  <sheetPr>
    <tabColor theme="7"/>
  </sheetPr>
  <dimension ref="B1:AC32"/>
  <sheetViews>
    <sheetView showGridLines="0" workbookViewId="0">
      <selection activeCell="F2" sqref="F2:F10"/>
    </sheetView>
  </sheetViews>
  <sheetFormatPr defaultColWidth="9.109375" defaultRowHeight="14.4" x14ac:dyDescent="0.3"/>
  <cols>
    <col min="1" max="1" width="2" style="55" customWidth="1"/>
    <col min="2" max="2" width="34.109375" style="55" customWidth="1"/>
    <col min="3" max="4" width="15" style="55" customWidth="1"/>
    <col min="5" max="5" width="11.109375" style="55" customWidth="1"/>
    <col min="6" max="6" width="20.88671875" style="55" bestFit="1" customWidth="1"/>
    <col min="7" max="7" width="15.88671875" style="55" customWidth="1"/>
    <col min="8" max="8" width="19.44140625" style="55" customWidth="1"/>
    <col min="9" max="9" width="8.6640625" style="55" customWidth="1"/>
    <col min="10" max="10" width="6.5546875" style="55" customWidth="1"/>
    <col min="11" max="11" width="25.33203125" style="55" customWidth="1"/>
    <col min="12" max="12" width="8.5546875" style="55" customWidth="1"/>
    <col min="13" max="13" width="12.5546875" style="55" bestFit="1" customWidth="1"/>
    <col min="14" max="14" width="12.6640625" style="55" bestFit="1" customWidth="1"/>
    <col min="15" max="16384" width="9.109375" style="55"/>
  </cols>
  <sheetData>
    <row r="1" spans="2:10" ht="9" customHeight="1" thickBot="1" x14ac:dyDescent="0.35"/>
    <row r="2" spans="2:10" x14ac:dyDescent="0.3">
      <c r="B2" s="219" t="str">
        <f>"Rates"&amp;" ("&amp;C3&amp;")"</f>
        <v>Rates (£)</v>
      </c>
      <c r="C2" s="220"/>
      <c r="D2" s="58"/>
      <c r="F2" s="154" t="s">
        <v>142</v>
      </c>
      <c r="H2" s="221" t="s">
        <v>34</v>
      </c>
      <c r="I2" s="222"/>
    </row>
    <row r="3" spans="2:10" x14ac:dyDescent="0.3">
      <c r="B3" s="56" t="s">
        <v>43</v>
      </c>
      <c r="C3" s="103" t="s">
        <v>41</v>
      </c>
      <c r="D3" s="58"/>
      <c r="F3" s="156" t="s">
        <v>146</v>
      </c>
      <c r="H3" s="68" t="s">
        <v>93</v>
      </c>
      <c r="I3" s="91"/>
    </row>
    <row r="4" spans="2:10" ht="15" customHeight="1" x14ac:dyDescent="0.3">
      <c r="B4" s="56" t="s">
        <v>55</v>
      </c>
      <c r="C4" s="104">
        <v>163</v>
      </c>
      <c r="D4" s="58"/>
      <c r="F4" s="156" t="s">
        <v>149</v>
      </c>
      <c r="H4" s="94" t="s">
        <v>99</v>
      </c>
      <c r="I4" s="158"/>
    </row>
    <row r="5" spans="2:10" ht="15" thickBot="1" x14ac:dyDescent="0.35">
      <c r="B5" s="155" t="s">
        <v>136</v>
      </c>
      <c r="C5" s="71">
        <v>0.3</v>
      </c>
      <c r="D5" s="126"/>
      <c r="F5" s="156"/>
      <c r="H5" s="72" t="s">
        <v>94</v>
      </c>
      <c r="I5" s="92"/>
    </row>
    <row r="6" spans="2:10" ht="15" thickBot="1" x14ac:dyDescent="0.35">
      <c r="B6" s="58"/>
      <c r="C6" s="58"/>
      <c r="D6" s="58"/>
      <c r="F6" s="98" t="s">
        <v>143</v>
      </c>
    </row>
    <row r="7" spans="2:10" x14ac:dyDescent="0.3">
      <c r="B7" s="208" t="s">
        <v>107</v>
      </c>
      <c r="C7" s="226"/>
      <c r="D7" s="209"/>
      <c r="F7" s="156" t="s">
        <v>144</v>
      </c>
      <c r="H7" s="219" t="s">
        <v>102</v>
      </c>
      <c r="I7" s="220"/>
    </row>
    <row r="8" spans="2:10" x14ac:dyDescent="0.3">
      <c r="B8" s="152"/>
      <c r="C8" s="66" t="s">
        <v>137</v>
      </c>
      <c r="D8" s="67" t="s">
        <v>148</v>
      </c>
      <c r="F8" s="156" t="s">
        <v>145</v>
      </c>
      <c r="H8" s="263" t="s">
        <v>100</v>
      </c>
      <c r="I8" s="264"/>
    </row>
    <row r="9" spans="2:10" x14ac:dyDescent="0.3">
      <c r="B9" s="56" t="s">
        <v>147</v>
      </c>
      <c r="C9" s="141">
        <v>8</v>
      </c>
      <c r="D9" s="140">
        <v>4</v>
      </c>
      <c r="F9" s="156"/>
      <c r="H9" s="263" t="s">
        <v>101</v>
      </c>
      <c r="I9" s="264"/>
    </row>
    <row r="10" spans="2:10" x14ac:dyDescent="0.3">
      <c r="B10" s="56" t="s">
        <v>139</v>
      </c>
      <c r="C10" s="141">
        <v>4</v>
      </c>
      <c r="D10" s="140">
        <v>3</v>
      </c>
      <c r="F10" s="156"/>
      <c r="H10" s="263" t="s">
        <v>103</v>
      </c>
      <c r="I10" s="264"/>
    </row>
    <row r="11" spans="2:10" ht="15" thickBot="1" x14ac:dyDescent="0.35">
      <c r="B11" s="153" t="s">
        <v>138</v>
      </c>
      <c r="C11" s="141">
        <v>12</v>
      </c>
      <c r="D11" s="137"/>
      <c r="F11" s="156"/>
      <c r="H11" s="255"/>
      <c r="I11" s="256"/>
    </row>
    <row r="12" spans="2:10" ht="15" thickBot="1" x14ac:dyDescent="0.35">
      <c r="B12" s="153" t="s">
        <v>140</v>
      </c>
      <c r="C12" s="141">
        <f>8*3</f>
        <v>24</v>
      </c>
      <c r="D12" s="137"/>
      <c r="F12" s="156"/>
    </row>
    <row r="13" spans="2:10" x14ac:dyDescent="0.3">
      <c r="B13" s="153" t="s">
        <v>141</v>
      </c>
      <c r="C13" s="141">
        <f>8*3+4</f>
        <v>28</v>
      </c>
      <c r="D13" s="137"/>
      <c r="F13" s="156"/>
      <c r="H13" s="149" t="s">
        <v>25</v>
      </c>
      <c r="I13" s="150"/>
    </row>
    <row r="14" spans="2:10" x14ac:dyDescent="0.3">
      <c r="B14" s="56" t="s">
        <v>96</v>
      </c>
      <c r="C14" s="148">
        <f>C9*D9+C10*D10+C11+C12+C13</f>
        <v>108</v>
      </c>
      <c r="D14" s="137"/>
      <c r="F14" s="156"/>
      <c r="H14" s="259"/>
      <c r="I14" s="260"/>
    </row>
    <row r="15" spans="2:10" ht="15" thickBot="1" x14ac:dyDescent="0.35">
      <c r="B15" s="57" t="s">
        <v>97</v>
      </c>
      <c r="C15" s="146">
        <f>ROUND(C14*(1+C5),0)</f>
        <v>140</v>
      </c>
      <c r="D15" s="139"/>
      <c r="F15" s="157"/>
      <c r="H15" s="261"/>
      <c r="I15" s="262"/>
    </row>
    <row r="16" spans="2:10" ht="15.75" customHeight="1" thickBot="1" x14ac:dyDescent="0.35">
      <c r="B16" s="58"/>
      <c r="C16" s="58"/>
      <c r="D16" s="58"/>
      <c r="E16" s="58"/>
      <c r="F16" s="58"/>
      <c r="G16" s="58"/>
      <c r="H16" s="58"/>
      <c r="I16" s="58"/>
      <c r="J16" s="58"/>
    </row>
    <row r="17" spans="2:29" x14ac:dyDescent="0.3">
      <c r="B17" s="208" t="s">
        <v>113</v>
      </c>
      <c r="C17" s="226"/>
      <c r="D17" s="226"/>
      <c r="E17" s="226"/>
      <c r="F17" s="226"/>
      <c r="G17" s="226"/>
      <c r="H17" s="209"/>
      <c r="I17" s="58"/>
    </row>
    <row r="18" spans="2:29" ht="15" customHeight="1" x14ac:dyDescent="0.3">
      <c r="B18" s="45" t="s">
        <v>48</v>
      </c>
      <c r="C18" s="40" t="s">
        <v>80</v>
      </c>
      <c r="D18" s="40" t="s">
        <v>81</v>
      </c>
      <c r="E18" s="257" t="s">
        <v>63</v>
      </c>
      <c r="F18" s="258"/>
      <c r="G18" s="40" t="str">
        <f>"Lower Bound"&amp;" ("&amp;C3&amp;")"</f>
        <v>Lower Bound (£)</v>
      </c>
      <c r="H18" s="41" t="str">
        <f>"Upper Bound"&amp;" ("&amp;C3&amp;")"</f>
        <v>Upper Bound (£)</v>
      </c>
      <c r="I18" s="58"/>
    </row>
    <row r="19" spans="2:29" x14ac:dyDescent="0.3">
      <c r="B19" s="56" t="s">
        <v>115</v>
      </c>
      <c r="C19" s="48">
        <f>CEILING(C14,5)</f>
        <v>110</v>
      </c>
      <c r="D19" s="48">
        <f>CEILING(C15,5)</f>
        <v>140</v>
      </c>
      <c r="E19" s="113"/>
      <c r="F19" s="113"/>
      <c r="G19" s="60">
        <f>C19*$C$4</f>
        <v>17930</v>
      </c>
      <c r="H19" s="81">
        <f>D19*$C$4</f>
        <v>22820</v>
      </c>
      <c r="I19" s="58"/>
    </row>
    <row r="20" spans="2:29" ht="15" thickBot="1" x14ac:dyDescent="0.35">
      <c r="B20" s="59" t="s">
        <v>78</v>
      </c>
      <c r="C20" s="85"/>
      <c r="D20" s="85"/>
      <c r="E20" s="151"/>
      <c r="F20" s="151"/>
      <c r="G20" s="62">
        <f>SUM(G19:G19)</f>
        <v>17930</v>
      </c>
      <c r="H20" s="86">
        <f>SUM(H19:H19)</f>
        <v>22820</v>
      </c>
      <c r="I20" s="58"/>
    </row>
    <row r="21" spans="2:29" x14ac:dyDescent="0.3">
      <c r="J21" s="58"/>
      <c r="K21" s="79"/>
    </row>
    <row r="22" spans="2:29" x14ac:dyDescent="0.3">
      <c r="J22" s="58"/>
      <c r="K22" s="110"/>
    </row>
    <row r="23" spans="2:29" x14ac:dyDescent="0.3">
      <c r="J23" s="110"/>
      <c r="K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</row>
    <row r="24" spans="2:29" x14ac:dyDescent="0.3">
      <c r="J24" s="110"/>
      <c r="K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</row>
    <row r="25" spans="2:29" x14ac:dyDescent="0.3">
      <c r="J25" s="110"/>
      <c r="K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</row>
    <row r="26" spans="2:29" x14ac:dyDescent="0.3">
      <c r="J26" s="110"/>
      <c r="K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</row>
    <row r="27" spans="2:29" x14ac:dyDescent="0.3">
      <c r="J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</row>
    <row r="28" spans="2:29" x14ac:dyDescent="0.3">
      <c r="J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</row>
    <row r="29" spans="2:29" x14ac:dyDescent="0.3">
      <c r="J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</row>
    <row r="30" spans="2:29" x14ac:dyDescent="0.3">
      <c r="J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</row>
    <row r="31" spans="2:29" x14ac:dyDescent="0.3">
      <c r="J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</row>
    <row r="32" spans="2:29" x14ac:dyDescent="0.3">
      <c r="J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</row>
  </sheetData>
  <mergeCells count="11">
    <mergeCell ref="H11:I11"/>
    <mergeCell ref="E18:F18"/>
    <mergeCell ref="B17:H17"/>
    <mergeCell ref="H14:I15"/>
    <mergeCell ref="B2:C2"/>
    <mergeCell ref="H2:I2"/>
    <mergeCell ref="B7:D7"/>
    <mergeCell ref="H7:I7"/>
    <mergeCell ref="H8:I8"/>
    <mergeCell ref="H9:I9"/>
    <mergeCell ref="H10:I10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1639D-6D3C-41E8-B5DC-628124092EE6}">
          <x14:formula1>
            <xm:f>Currency!$B$2:$B$4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2286-D071-4DEC-BB30-73328C8C8F7A}">
  <sheetPr>
    <tabColor theme="8"/>
  </sheetPr>
  <dimension ref="B1:AG38"/>
  <sheetViews>
    <sheetView showGridLines="0" topLeftCell="A7" workbookViewId="0">
      <selection activeCell="P36" sqref="P36"/>
    </sheetView>
  </sheetViews>
  <sheetFormatPr defaultColWidth="9.109375" defaultRowHeight="14.4" x14ac:dyDescent="0.3"/>
  <cols>
    <col min="1" max="1" width="2" style="55" customWidth="1"/>
    <col min="2" max="2" width="49.88671875" style="55" bestFit="1" customWidth="1"/>
    <col min="3" max="4" width="11.109375" style="55" customWidth="1"/>
    <col min="5" max="5" width="25.109375" style="55" customWidth="1"/>
    <col min="6" max="6" width="19" style="55" customWidth="1"/>
    <col min="7" max="7" width="6.5546875" style="55" customWidth="1"/>
    <col min="8" max="8" width="19.6640625" style="55" customWidth="1"/>
    <col min="9" max="11" width="10.6640625" style="55" customWidth="1"/>
    <col min="12" max="13" width="9.6640625" style="55" customWidth="1"/>
    <col min="14" max="14" width="4.109375" style="55" customWidth="1"/>
    <col min="15" max="15" width="27.109375" style="55" bestFit="1" customWidth="1"/>
    <col min="16" max="16" width="8.5546875" style="55" customWidth="1"/>
    <col min="17" max="17" width="12.5546875" style="55" bestFit="1" customWidth="1"/>
    <col min="18" max="18" width="12.6640625" style="55" bestFit="1" customWidth="1"/>
    <col min="19" max="16384" width="9.109375" style="55"/>
  </cols>
  <sheetData>
    <row r="1" spans="2:16" ht="9" customHeight="1" thickBot="1" x14ac:dyDescent="0.35"/>
    <row r="2" spans="2:16" x14ac:dyDescent="0.3">
      <c r="B2" s="219" t="str">
        <f>"Rates"&amp;" ("&amp;C3&amp;")"</f>
        <v>Rates (£)</v>
      </c>
      <c r="C2" s="220"/>
      <c r="D2" s="58"/>
      <c r="E2" s="219" t="s">
        <v>71</v>
      </c>
      <c r="F2" s="220"/>
      <c r="G2" s="58"/>
      <c r="H2" s="208" t="s">
        <v>79</v>
      </c>
      <c r="I2" s="226"/>
      <c r="J2" s="226"/>
      <c r="K2" s="226"/>
      <c r="L2" s="226"/>
      <c r="M2" s="209"/>
      <c r="O2" s="221" t="s">
        <v>34</v>
      </c>
      <c r="P2" s="222"/>
    </row>
    <row r="3" spans="2:16" x14ac:dyDescent="0.3">
      <c r="B3" s="56" t="s">
        <v>43</v>
      </c>
      <c r="C3" s="103" t="s">
        <v>41</v>
      </c>
      <c r="D3" s="58"/>
      <c r="E3" s="56" t="s">
        <v>82</v>
      </c>
      <c r="F3" s="49"/>
      <c r="G3" s="58"/>
      <c r="H3" s="52" t="s">
        <v>58</v>
      </c>
      <c r="I3" s="66" t="s">
        <v>59</v>
      </c>
      <c r="J3" s="66" t="s">
        <v>6</v>
      </c>
      <c r="K3" s="66" t="s">
        <v>60</v>
      </c>
      <c r="L3" s="66" t="s">
        <v>83</v>
      </c>
      <c r="M3" s="67" t="s">
        <v>84</v>
      </c>
      <c r="O3" s="68" t="s">
        <v>93</v>
      </c>
      <c r="P3" s="91"/>
    </row>
    <row r="4" spans="2:16" ht="15" customHeight="1" x14ac:dyDescent="0.3">
      <c r="B4" s="56" t="s">
        <v>55</v>
      </c>
      <c r="C4" s="104">
        <v>163</v>
      </c>
      <c r="D4" s="58"/>
      <c r="E4" s="56" t="s">
        <v>65</v>
      </c>
      <c r="F4" s="69"/>
      <c r="G4" s="58"/>
      <c r="H4" s="53" t="s">
        <v>12</v>
      </c>
      <c r="I4" s="70">
        <v>1</v>
      </c>
      <c r="J4" s="37">
        <v>1</v>
      </c>
      <c r="K4" s="48">
        <f>I4*J4</f>
        <v>1</v>
      </c>
      <c r="L4" s="281">
        <f>(K4+K5)/K11</f>
        <v>0.5</v>
      </c>
      <c r="M4" s="282"/>
      <c r="O4" s="94" t="s">
        <v>99</v>
      </c>
      <c r="P4" s="95"/>
    </row>
    <row r="5" spans="2:16" ht="15" thickBot="1" x14ac:dyDescent="0.35">
      <c r="B5" s="56" t="s">
        <v>56</v>
      </c>
      <c r="C5" s="104">
        <f>97.5*1.05</f>
        <v>102.375</v>
      </c>
      <c r="D5" s="126">
        <f>C5/97.5</f>
        <v>1.05</v>
      </c>
      <c r="E5" s="57" t="s">
        <v>66</v>
      </c>
      <c r="F5" s="71"/>
      <c r="G5" s="58"/>
      <c r="H5" s="53" t="s">
        <v>11</v>
      </c>
      <c r="I5" s="70">
        <v>1</v>
      </c>
      <c r="J5" s="37">
        <v>0</v>
      </c>
      <c r="K5" s="48">
        <f>I5*J5</f>
        <v>0</v>
      </c>
      <c r="L5" s="281"/>
      <c r="M5" s="282"/>
      <c r="O5" s="72" t="s">
        <v>94</v>
      </c>
      <c r="P5" s="92"/>
    </row>
    <row r="6" spans="2:16" ht="15" thickBot="1" x14ac:dyDescent="0.35">
      <c r="B6" s="57" t="s">
        <v>88</v>
      </c>
      <c r="C6" s="105">
        <v>3</v>
      </c>
      <c r="D6" s="58"/>
      <c r="E6" s="59" t="s">
        <v>87</v>
      </c>
      <c r="F6" s="73">
        <f>ROUNDUP(F3*(1+F4+F5),0)</f>
        <v>0</v>
      </c>
      <c r="G6" s="58"/>
      <c r="H6" s="53" t="s">
        <v>7</v>
      </c>
      <c r="I6" s="70">
        <v>1</v>
      </c>
      <c r="J6" s="37">
        <v>0.4</v>
      </c>
      <c r="K6" s="48">
        <f>I6*J6</f>
        <v>0.4</v>
      </c>
      <c r="L6" s="38">
        <f>K6/K11</f>
        <v>0.2</v>
      </c>
      <c r="M6" s="39"/>
    </row>
    <row r="7" spans="2:16" ht="15" thickBot="1" x14ac:dyDescent="0.35">
      <c r="B7" s="58"/>
      <c r="C7" s="58"/>
      <c r="D7" s="58"/>
      <c r="E7" s="58"/>
      <c r="F7" s="58"/>
      <c r="G7" s="58"/>
      <c r="H7" s="53" t="s">
        <v>108</v>
      </c>
      <c r="I7" s="70">
        <v>1</v>
      </c>
      <c r="J7" s="37">
        <v>0.1</v>
      </c>
      <c r="K7" s="48">
        <f>I7*J7</f>
        <v>0.1</v>
      </c>
      <c r="L7" s="283">
        <f>(K8+K9+K7)/K11</f>
        <v>0.25</v>
      </c>
      <c r="M7" s="39"/>
      <c r="O7" s="97" t="s">
        <v>102</v>
      </c>
    </row>
    <row r="8" spans="2:16" x14ac:dyDescent="0.3">
      <c r="B8" s="219" t="s">
        <v>89</v>
      </c>
      <c r="C8" s="220"/>
      <c r="D8" s="58"/>
      <c r="E8" s="219" t="s">
        <v>86</v>
      </c>
      <c r="F8" s="220"/>
      <c r="G8" s="58"/>
      <c r="H8" s="53" t="s">
        <v>8</v>
      </c>
      <c r="I8" s="70">
        <v>1</v>
      </c>
      <c r="J8" s="37">
        <v>0.3</v>
      </c>
      <c r="K8" s="48">
        <f>I8*J8</f>
        <v>0.3</v>
      </c>
      <c r="L8" s="284"/>
      <c r="M8" s="282"/>
      <c r="O8" s="98"/>
    </row>
    <row r="9" spans="2:16" x14ac:dyDescent="0.3">
      <c r="B9" s="56" t="s">
        <v>32</v>
      </c>
      <c r="C9" s="65">
        <v>2</v>
      </c>
      <c r="D9" s="58"/>
      <c r="E9" s="56" t="s">
        <v>67</v>
      </c>
      <c r="F9" s="77">
        <f>SUM(C22:C22)</f>
        <v>0</v>
      </c>
      <c r="G9" s="58"/>
      <c r="H9" s="53" t="s">
        <v>57</v>
      </c>
      <c r="I9" s="101">
        <v>1</v>
      </c>
      <c r="J9" s="37">
        <v>0.1</v>
      </c>
      <c r="K9" s="48">
        <f t="shared" ref="K9:K10" si="0">I9*J9</f>
        <v>0.1</v>
      </c>
      <c r="L9" s="285"/>
      <c r="M9" s="282"/>
      <c r="O9" s="98"/>
    </row>
    <row r="10" spans="2:16" ht="15" thickBot="1" x14ac:dyDescent="0.35">
      <c r="B10" s="56" t="s">
        <v>112</v>
      </c>
      <c r="C10" s="65">
        <v>2</v>
      </c>
      <c r="D10" s="58"/>
      <c r="E10" s="56" t="s">
        <v>75</v>
      </c>
      <c r="F10" s="77">
        <f>SUM(D22:D22)</f>
        <v>0</v>
      </c>
      <c r="G10" s="58"/>
      <c r="H10" s="64" t="s">
        <v>9</v>
      </c>
      <c r="I10" s="102">
        <v>1</v>
      </c>
      <c r="J10" s="100">
        <v>0.1</v>
      </c>
      <c r="K10" s="50">
        <f t="shared" si="0"/>
        <v>0.1</v>
      </c>
      <c r="L10" s="46">
        <f>K10/K11</f>
        <v>0.05</v>
      </c>
      <c r="M10" s="47"/>
      <c r="O10" s="98"/>
    </row>
    <row r="11" spans="2:16" ht="15" thickBot="1" x14ac:dyDescent="0.35">
      <c r="B11" s="56" t="s">
        <v>121</v>
      </c>
      <c r="C11" s="111">
        <v>0.5</v>
      </c>
      <c r="D11" s="58"/>
      <c r="E11" s="56" t="s">
        <v>90</v>
      </c>
      <c r="F11" s="77">
        <f>CEILING(K11,0.05)</f>
        <v>2</v>
      </c>
      <c r="G11" s="58"/>
      <c r="H11" s="54" t="s">
        <v>61</v>
      </c>
      <c r="I11" s="93"/>
      <c r="J11" s="75"/>
      <c r="K11" s="74">
        <f>SUM(K4:K10)</f>
        <v>2</v>
      </c>
      <c r="L11" s="76">
        <f>SUM(L4:L10)</f>
        <v>1</v>
      </c>
      <c r="M11" s="96">
        <f>SUM(M4:M10)</f>
        <v>0</v>
      </c>
      <c r="O11" s="98"/>
    </row>
    <row r="12" spans="2:16" ht="15" thickBot="1" x14ac:dyDescent="0.35">
      <c r="B12" s="57" t="str">
        <f>"Cost per Week"&amp;" ("&amp;C3&amp;")"</f>
        <v>Cost per Week (£)</v>
      </c>
      <c r="C12" s="51">
        <f>(C11*C5*40)</f>
        <v>2047.5</v>
      </c>
      <c r="D12" s="58"/>
      <c r="E12" s="57" t="str">
        <f>"Cost per Sprint"&amp;" ("&amp;C3&amp;")"</f>
        <v>Cost per Sprint (£)</v>
      </c>
      <c r="F12" s="51">
        <f>CEILING(F11*C6*C5*40,10)</f>
        <v>24570</v>
      </c>
      <c r="G12" s="58"/>
      <c r="H12" s="58"/>
      <c r="I12" s="58"/>
      <c r="J12" s="58"/>
      <c r="K12" s="58"/>
      <c r="L12" s="58"/>
      <c r="M12" s="78"/>
      <c r="O12" s="99"/>
    </row>
    <row r="13" spans="2:16" ht="15" thickBot="1" x14ac:dyDescent="0.35">
      <c r="F13" s="117"/>
      <c r="G13" s="58"/>
      <c r="H13" s="208" t="s">
        <v>5</v>
      </c>
      <c r="I13" s="226"/>
      <c r="J13" s="226"/>
      <c r="K13" s="226"/>
      <c r="L13" s="226"/>
      <c r="M13" s="209"/>
    </row>
    <row r="14" spans="2:16" x14ac:dyDescent="0.3">
      <c r="B14" s="208" t="s">
        <v>25</v>
      </c>
      <c r="C14" s="226"/>
      <c r="D14" s="226"/>
      <c r="E14" s="226"/>
      <c r="F14" s="209"/>
      <c r="G14" s="58"/>
      <c r="H14" s="45" t="s">
        <v>85</v>
      </c>
      <c r="I14" s="253" t="str">
        <f>"Points per Dev per "&amp;C6&amp;"-week Sprint"</f>
        <v>Points per Dev per 3-week Sprint</v>
      </c>
      <c r="J14" s="253"/>
      <c r="K14" s="253"/>
      <c r="L14" s="253" t="s">
        <v>70</v>
      </c>
      <c r="M14" s="254"/>
    </row>
    <row r="15" spans="2:16" ht="15" customHeight="1" x14ac:dyDescent="0.3">
      <c r="B15" s="270" t="s">
        <v>114</v>
      </c>
      <c r="C15" s="271"/>
      <c r="D15" s="271"/>
      <c r="E15" s="271"/>
      <c r="F15" s="272"/>
      <c r="G15" s="58"/>
      <c r="H15" s="216" t="s">
        <v>14</v>
      </c>
      <c r="I15" s="218" t="s">
        <v>91</v>
      </c>
      <c r="J15" s="218"/>
      <c r="K15" s="124">
        <v>20</v>
      </c>
      <c r="L15" s="244">
        <f>ROUNDUP(K15*K4+K16*K5,0)</f>
        <v>20</v>
      </c>
      <c r="M15" s="245"/>
    </row>
    <row r="16" spans="2:16" ht="15" thickBot="1" x14ac:dyDescent="0.35">
      <c r="B16" s="273"/>
      <c r="C16" s="274"/>
      <c r="D16" s="274"/>
      <c r="E16" s="274"/>
      <c r="F16" s="275"/>
      <c r="G16" s="58"/>
      <c r="H16" s="217"/>
      <c r="I16" s="248" t="s">
        <v>92</v>
      </c>
      <c r="J16" s="248"/>
      <c r="K16" s="125">
        <v>17</v>
      </c>
      <c r="L16" s="246"/>
      <c r="M16" s="247"/>
    </row>
    <row r="17" spans="2:33" ht="15.75" customHeight="1" thickBot="1" x14ac:dyDescent="0.35">
      <c r="B17" s="58"/>
      <c r="C17" s="58"/>
      <c r="D17" s="58"/>
      <c r="E17" s="58"/>
      <c r="F17" s="58"/>
      <c r="G17" s="58"/>
      <c r="H17" s="64" t="s">
        <v>15</v>
      </c>
      <c r="I17" s="249" t="s">
        <v>68</v>
      </c>
      <c r="J17" s="250"/>
      <c r="K17" s="90">
        <v>0.8</v>
      </c>
      <c r="L17" s="251">
        <f>ROUNDDOWN(L15*K17,0)</f>
        <v>16</v>
      </c>
      <c r="M17" s="252"/>
    </row>
    <row r="18" spans="2:33" ht="15" thickBot="1" x14ac:dyDescent="0.35">
      <c r="B18" s="208" t="s">
        <v>45</v>
      </c>
      <c r="C18" s="226"/>
      <c r="D18" s="226"/>
      <c r="E18" s="226"/>
      <c r="F18" s="209"/>
      <c r="G18" s="58"/>
      <c r="H18" s="58"/>
      <c r="I18" s="58"/>
      <c r="J18" s="58"/>
      <c r="K18" s="58"/>
      <c r="L18" s="58"/>
      <c r="M18" s="58"/>
      <c r="O18" s="79"/>
    </row>
    <row r="19" spans="2:33" ht="15" thickBot="1" x14ac:dyDescent="0.35">
      <c r="B19" s="45" t="s">
        <v>48</v>
      </c>
      <c r="C19" s="40" t="s">
        <v>80</v>
      </c>
      <c r="D19" s="40" t="s">
        <v>81</v>
      </c>
      <c r="E19" s="40" t="str">
        <f>"Lower Bound"&amp;" ("&amp;C3&amp;")"</f>
        <v>Lower Bound (£)</v>
      </c>
      <c r="F19" s="41" t="str">
        <f>"Upper Bound"&amp;" ("&amp;C3&amp;")"</f>
        <v>Upper Bound (£)</v>
      </c>
      <c r="G19" s="58"/>
      <c r="H19" s="205" t="s">
        <v>116</v>
      </c>
      <c r="I19" s="206"/>
      <c r="J19" s="206"/>
      <c r="K19" s="206"/>
      <c r="L19" s="205" t="s">
        <v>135</v>
      </c>
      <c r="M19" s="206"/>
      <c r="N19" s="206"/>
      <c r="O19" s="206"/>
      <c r="P19" s="207"/>
    </row>
    <row r="20" spans="2:33" x14ac:dyDescent="0.3">
      <c r="B20" s="56" t="s">
        <v>115</v>
      </c>
      <c r="C20" s="112"/>
      <c r="D20" s="112"/>
      <c r="E20" s="60">
        <f>C20*$C$4</f>
        <v>0</v>
      </c>
      <c r="F20" s="81">
        <f>D20*$C$4</f>
        <v>0</v>
      </c>
      <c r="G20" s="58"/>
      <c r="H20" s="132" t="s">
        <v>95</v>
      </c>
      <c r="I20" s="133"/>
      <c r="J20" s="134">
        <v>3</v>
      </c>
      <c r="K20" s="58"/>
      <c r="L20" s="136"/>
      <c r="O20" s="79"/>
      <c r="P20" s="137"/>
    </row>
    <row r="21" spans="2:33" x14ac:dyDescent="0.3">
      <c r="B21" s="56" t="s">
        <v>64</v>
      </c>
      <c r="C21" s="112"/>
      <c r="D21" s="112"/>
      <c r="E21" s="60">
        <f>C21*$C$4</f>
        <v>0</v>
      </c>
      <c r="F21" s="81">
        <f>D21*$C$4</f>
        <v>0</v>
      </c>
      <c r="G21" s="58"/>
      <c r="H21" s="42" t="s">
        <v>125</v>
      </c>
      <c r="I21" s="80"/>
      <c r="J21" s="69">
        <v>0.3</v>
      </c>
      <c r="K21" s="58"/>
      <c r="L21" s="136"/>
      <c r="O21" s="79"/>
      <c r="P21" s="137"/>
    </row>
    <row r="22" spans="2:33" x14ac:dyDescent="0.3">
      <c r="B22" s="56" t="s">
        <v>118</v>
      </c>
      <c r="C22" s="127"/>
      <c r="D22" s="127"/>
      <c r="E22" s="60">
        <f t="shared" ref="E22" si="1">C22*$F$12</f>
        <v>0</v>
      </c>
      <c r="F22" s="81">
        <f t="shared" ref="F22" si="2">D22*$F$12</f>
        <v>0</v>
      </c>
      <c r="G22" s="58"/>
      <c r="H22" s="43" t="s">
        <v>126</v>
      </c>
      <c r="I22" s="58"/>
      <c r="J22" s="69">
        <v>0.45</v>
      </c>
      <c r="K22" s="58" t="s">
        <v>111</v>
      </c>
      <c r="L22" s="142" t="s">
        <v>130</v>
      </c>
      <c r="M22" s="143"/>
      <c r="N22" s="109"/>
      <c r="O22" s="141"/>
      <c r="P22" s="137" t="s">
        <v>131</v>
      </c>
    </row>
    <row r="23" spans="2:33" x14ac:dyDescent="0.3">
      <c r="B23" s="56" t="s">
        <v>120</v>
      </c>
      <c r="C23" s="116">
        <f>C9</f>
        <v>2</v>
      </c>
      <c r="D23" s="116">
        <f>C9</f>
        <v>2</v>
      </c>
      <c r="E23" s="60">
        <f>C23*C12</f>
        <v>4095</v>
      </c>
      <c r="F23" s="81">
        <f>D23*C12</f>
        <v>4095</v>
      </c>
      <c r="G23" s="58"/>
      <c r="H23" s="42" t="s">
        <v>127</v>
      </c>
      <c r="I23" s="80"/>
      <c r="J23" s="82">
        <v>3</v>
      </c>
      <c r="K23" s="135">
        <v>4</v>
      </c>
      <c r="L23" s="42" t="s">
        <v>132</v>
      </c>
      <c r="M23" s="143"/>
      <c r="N23" s="109"/>
      <c r="O23" s="141"/>
      <c r="P23" s="140"/>
    </row>
    <row r="24" spans="2:33" x14ac:dyDescent="0.3">
      <c r="B24" s="56" t="s">
        <v>119</v>
      </c>
      <c r="C24" s="116">
        <f>C10</f>
        <v>2</v>
      </c>
      <c r="D24" s="116">
        <f>C10</f>
        <v>2</v>
      </c>
      <c r="E24" s="60">
        <f>C24*0.25*C5*40</f>
        <v>2047.5</v>
      </c>
      <c r="F24" s="81">
        <f>D24*0.25*C5*40</f>
        <v>2047.5</v>
      </c>
      <c r="G24" s="58"/>
      <c r="H24" s="43" t="s">
        <v>128</v>
      </c>
      <c r="I24" s="58"/>
      <c r="J24" s="82">
        <v>1</v>
      </c>
      <c r="K24" s="135">
        <v>3</v>
      </c>
      <c r="L24" s="43" t="s">
        <v>133</v>
      </c>
      <c r="O24" s="141"/>
      <c r="P24" s="140"/>
    </row>
    <row r="25" spans="2:33" ht="15" thickBot="1" x14ac:dyDescent="0.35">
      <c r="B25" s="57" t="s">
        <v>117</v>
      </c>
      <c r="C25" s="83"/>
      <c r="D25" s="83"/>
      <c r="E25" s="61">
        <f>C25*C$4</f>
        <v>0</v>
      </c>
      <c r="F25" s="84">
        <f>D25*$C$4</f>
        <v>0</v>
      </c>
      <c r="G25" s="58"/>
      <c r="H25" s="42" t="s">
        <v>96</v>
      </c>
      <c r="I25" s="80"/>
      <c r="J25" s="49">
        <f>J20*(40*J21+J23*K23+J24*K24)</f>
        <v>81</v>
      </c>
      <c r="K25" s="123"/>
      <c r="L25" s="142" t="s">
        <v>129</v>
      </c>
      <c r="M25" s="143"/>
      <c r="N25" s="109"/>
      <c r="O25" s="141"/>
      <c r="P25" s="137"/>
      <c r="Q25" s="79"/>
    </row>
    <row r="26" spans="2:33" ht="15" thickBot="1" x14ac:dyDescent="0.35">
      <c r="B26" s="59" t="s">
        <v>78</v>
      </c>
      <c r="C26" s="85"/>
      <c r="D26" s="85"/>
      <c r="E26" s="62">
        <f>SUM(E20:E25)</f>
        <v>6142.5</v>
      </c>
      <c r="F26" s="86">
        <f>SUM(F20:F25)</f>
        <v>6142.5</v>
      </c>
      <c r="G26" s="58"/>
      <c r="H26" s="44" t="s">
        <v>97</v>
      </c>
      <c r="I26" s="87"/>
      <c r="J26" s="88">
        <f>J20*(40*J22+J23*K23+J24*K24)</f>
        <v>99</v>
      </c>
      <c r="K26" s="123"/>
      <c r="L26" s="144" t="s">
        <v>134</v>
      </c>
      <c r="M26" s="145"/>
      <c r="N26" s="138"/>
      <c r="O26" s="146">
        <f>O22+O23*P23+O24*P24+O25</f>
        <v>0</v>
      </c>
      <c r="P26" s="139"/>
    </row>
    <row r="27" spans="2:33" ht="15" thickBot="1" x14ac:dyDescent="0.35">
      <c r="B27" s="110"/>
      <c r="C27" s="110"/>
      <c r="D27" s="110"/>
      <c r="E27" s="110"/>
      <c r="F27" s="110"/>
      <c r="G27" s="58"/>
      <c r="H27" s="110"/>
      <c r="I27" s="110"/>
      <c r="J27" s="110"/>
      <c r="K27" s="110"/>
      <c r="L27" s="110"/>
      <c r="M27" s="58"/>
      <c r="O27" s="79"/>
    </row>
    <row r="28" spans="2:33" x14ac:dyDescent="0.3">
      <c r="B28" s="208" t="s">
        <v>113</v>
      </c>
      <c r="C28" s="226"/>
      <c r="D28" s="226"/>
      <c r="E28" s="226"/>
      <c r="F28" s="209"/>
      <c r="G28" s="58"/>
      <c r="H28" s="208" t="s">
        <v>73</v>
      </c>
      <c r="I28" s="226"/>
      <c r="J28" s="226"/>
      <c r="K28" s="226"/>
      <c r="L28" s="209"/>
      <c r="M28" s="58"/>
      <c r="O28" s="79"/>
    </row>
    <row r="29" spans="2:33" ht="15" thickBot="1" x14ac:dyDescent="0.35">
      <c r="B29" s="45"/>
      <c r="C29" s="257" t="s">
        <v>63</v>
      </c>
      <c r="D29" s="280"/>
      <c r="E29" s="40" t="str">
        <f t="shared" ref="E29:F31" si="3">E19</f>
        <v>Lower Bound (£)</v>
      </c>
      <c r="F29" s="41" t="str">
        <f t="shared" si="3"/>
        <v>Upper Bound (£)</v>
      </c>
      <c r="G29" s="110"/>
      <c r="H29" s="276" t="s">
        <v>77</v>
      </c>
      <c r="I29" s="277"/>
      <c r="J29" s="250"/>
      <c r="K29" s="278">
        <v>45962</v>
      </c>
      <c r="L29" s="279"/>
      <c r="M29" s="110"/>
      <c r="N29" s="110"/>
      <c r="O29" s="79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</row>
    <row r="30" spans="2:33" x14ac:dyDescent="0.3">
      <c r="B30" s="56" t="s">
        <v>107</v>
      </c>
      <c r="C30" s="113">
        <v>4</v>
      </c>
      <c r="D30" s="113">
        <v>4</v>
      </c>
      <c r="E30" s="63">
        <f t="shared" si="3"/>
        <v>0</v>
      </c>
      <c r="F30" s="63">
        <f t="shared" si="3"/>
        <v>0</v>
      </c>
      <c r="G30" s="110"/>
      <c r="H30" s="208" t="s">
        <v>74</v>
      </c>
      <c r="I30" s="226"/>
      <c r="J30" s="226"/>
      <c r="K30" s="226"/>
      <c r="L30" s="209"/>
      <c r="M30" s="110"/>
      <c r="N30" s="110"/>
      <c r="O30" s="79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</row>
    <row r="31" spans="2:33" x14ac:dyDescent="0.3">
      <c r="B31" s="56" t="s">
        <v>64</v>
      </c>
      <c r="C31" s="89">
        <f>J20</f>
        <v>3</v>
      </c>
      <c r="D31" s="89">
        <f>C31</f>
        <v>3</v>
      </c>
      <c r="E31" s="63">
        <f t="shared" si="3"/>
        <v>0</v>
      </c>
      <c r="F31" s="63">
        <f t="shared" si="3"/>
        <v>0</v>
      </c>
      <c r="G31" s="110"/>
      <c r="H31" s="45" t="s">
        <v>110</v>
      </c>
      <c r="I31" s="257" t="s">
        <v>0</v>
      </c>
      <c r="J31" s="258"/>
      <c r="K31" s="257" t="s">
        <v>1</v>
      </c>
      <c r="L31" s="290"/>
      <c r="M31" s="110"/>
      <c r="N31" s="110"/>
      <c r="O31" s="79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</row>
    <row r="32" spans="2:33" x14ac:dyDescent="0.3">
      <c r="B32" s="56" t="s">
        <v>69</v>
      </c>
      <c r="C32" s="89">
        <f>SUM(C22:C22)*C6</f>
        <v>0</v>
      </c>
      <c r="D32" s="89">
        <f>SUM(D22:D22)*C6</f>
        <v>0</v>
      </c>
      <c r="E32" s="63">
        <f>SUM(E22:E22)</f>
        <v>0</v>
      </c>
      <c r="F32" s="63">
        <f>SUM(F22:F22)</f>
        <v>0</v>
      </c>
      <c r="G32" s="110"/>
      <c r="H32" s="56" t="s">
        <v>109</v>
      </c>
      <c r="I32" s="287">
        <f>K29+(C30+C31)*7-1</f>
        <v>46010</v>
      </c>
      <c r="J32" s="289"/>
      <c r="K32" s="287">
        <f>K29+(D30+D31)*7-1</f>
        <v>46010</v>
      </c>
      <c r="L32" s="288"/>
      <c r="M32" s="110"/>
      <c r="N32" s="110"/>
      <c r="O32" s="79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</row>
    <row r="33" spans="2:33" x14ac:dyDescent="0.3">
      <c r="B33" s="56" t="s">
        <v>31</v>
      </c>
      <c r="C33" s="89">
        <f>C23</f>
        <v>2</v>
      </c>
      <c r="D33" s="89">
        <f>D23</f>
        <v>2</v>
      </c>
      <c r="E33" s="63">
        <f>E23</f>
        <v>4095</v>
      </c>
      <c r="F33" s="63">
        <f>F23</f>
        <v>4095</v>
      </c>
      <c r="G33" s="110"/>
      <c r="H33" s="56" t="s">
        <v>122</v>
      </c>
      <c r="I33" s="267">
        <v>14</v>
      </c>
      <c r="J33" s="268"/>
      <c r="K33" s="267">
        <v>14</v>
      </c>
      <c r="L33" s="269"/>
      <c r="M33" s="110"/>
      <c r="N33" s="110"/>
      <c r="O33" s="79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</row>
    <row r="34" spans="2:33" x14ac:dyDescent="0.3">
      <c r="B34" s="56" t="s">
        <v>98</v>
      </c>
      <c r="C34" s="89">
        <f>C24</f>
        <v>2</v>
      </c>
      <c r="D34" s="89">
        <f>D24</f>
        <v>2</v>
      </c>
      <c r="E34" s="63">
        <f t="shared" ref="E34:F35" si="4">E24</f>
        <v>2047.5</v>
      </c>
      <c r="F34" s="63">
        <f t="shared" si="4"/>
        <v>2047.5</v>
      </c>
      <c r="G34" s="110"/>
      <c r="H34" s="56" t="s">
        <v>69</v>
      </c>
      <c r="I34" s="287">
        <f>I32+(C32)*7+I33</f>
        <v>46024</v>
      </c>
      <c r="J34" s="289"/>
      <c r="K34" s="287">
        <f>K32+D32*7+K33</f>
        <v>46024</v>
      </c>
      <c r="L34" s="288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</row>
    <row r="35" spans="2:33" ht="15" thickBot="1" x14ac:dyDescent="0.35">
      <c r="B35" s="114" t="s">
        <v>72</v>
      </c>
      <c r="C35" s="118">
        <v>0</v>
      </c>
      <c r="D35" s="118">
        <v>0</v>
      </c>
      <c r="E35" s="63">
        <f t="shared" si="4"/>
        <v>0</v>
      </c>
      <c r="F35" s="63">
        <f t="shared" si="4"/>
        <v>0</v>
      </c>
      <c r="G35" s="110"/>
      <c r="H35" s="56" t="s">
        <v>76</v>
      </c>
      <c r="I35" s="287">
        <f>I34+C33*7</f>
        <v>46038</v>
      </c>
      <c r="J35" s="289"/>
      <c r="K35" s="287">
        <f>K34+D33*7</f>
        <v>46038</v>
      </c>
      <c r="L35" s="288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</row>
    <row r="36" spans="2:33" ht="15" thickBot="1" x14ac:dyDescent="0.35">
      <c r="B36" s="119" t="str">
        <f>B26</f>
        <v>Total</v>
      </c>
      <c r="C36" s="120">
        <f>SUM(C30:C35)</f>
        <v>11</v>
      </c>
      <c r="D36" s="120">
        <f>SUM(D30:D35)</f>
        <v>11</v>
      </c>
      <c r="E36" s="121">
        <f>SUM(E30:E35)</f>
        <v>6142.5</v>
      </c>
      <c r="F36" s="122">
        <f>SUM(F30:F35)</f>
        <v>6142.5</v>
      </c>
      <c r="G36" s="110"/>
      <c r="H36" s="57" t="s">
        <v>62</v>
      </c>
      <c r="I36" s="265">
        <f>I35+C34*7</f>
        <v>46052</v>
      </c>
      <c r="J36" s="291"/>
      <c r="K36" s="265">
        <f>K35+D34*7</f>
        <v>46052</v>
      </c>
      <c r="L36" s="266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</row>
    <row r="37" spans="2:33" ht="15" thickBot="1" x14ac:dyDescent="0.35">
      <c r="B37" s="55" t="s">
        <v>123</v>
      </c>
      <c r="C37" s="55">
        <v>2</v>
      </c>
      <c r="D37" s="55">
        <v>2</v>
      </c>
      <c r="G37" s="110"/>
      <c r="H37" s="115"/>
      <c r="I37" s="286"/>
      <c r="J37" s="286"/>
      <c r="K37" s="286"/>
      <c r="L37" s="286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2:33" ht="15" thickBot="1" x14ac:dyDescent="0.35">
      <c r="B38" s="128" t="s">
        <v>124</v>
      </c>
      <c r="C38" s="129">
        <f>SUM(C36:C37)*12/52</f>
        <v>3</v>
      </c>
      <c r="D38" s="129">
        <f>SUM(D36:D37)*12/52</f>
        <v>3</v>
      </c>
      <c r="E38" s="130"/>
      <c r="F38" s="131"/>
      <c r="G38" s="110"/>
      <c r="H38" s="115"/>
      <c r="I38" s="286"/>
      <c r="J38" s="286"/>
      <c r="K38" s="286"/>
      <c r="L38" s="286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</row>
  </sheetData>
  <mergeCells count="46">
    <mergeCell ref="I37:J37"/>
    <mergeCell ref="K37:L37"/>
    <mergeCell ref="I38:J38"/>
    <mergeCell ref="K38:L38"/>
    <mergeCell ref="H19:K19"/>
    <mergeCell ref="L19:P19"/>
    <mergeCell ref="K32:L32"/>
    <mergeCell ref="I34:J34"/>
    <mergeCell ref="K34:L34"/>
    <mergeCell ref="H30:L30"/>
    <mergeCell ref="I31:J31"/>
    <mergeCell ref="K31:L31"/>
    <mergeCell ref="I32:J32"/>
    <mergeCell ref="I35:J35"/>
    <mergeCell ref="I36:J36"/>
    <mergeCell ref="K35:L35"/>
    <mergeCell ref="O2:P2"/>
    <mergeCell ref="L4:L5"/>
    <mergeCell ref="M4:M5"/>
    <mergeCell ref="I17:J17"/>
    <mergeCell ref="L17:M17"/>
    <mergeCell ref="M8:M9"/>
    <mergeCell ref="H13:M13"/>
    <mergeCell ref="I14:K14"/>
    <mergeCell ref="L14:M14"/>
    <mergeCell ref="H15:H16"/>
    <mergeCell ref="I15:J15"/>
    <mergeCell ref="L15:M16"/>
    <mergeCell ref="I16:J16"/>
    <mergeCell ref="L7:L9"/>
    <mergeCell ref="K36:L36"/>
    <mergeCell ref="I33:J33"/>
    <mergeCell ref="K33:L33"/>
    <mergeCell ref="B2:C2"/>
    <mergeCell ref="E2:F2"/>
    <mergeCell ref="H2:M2"/>
    <mergeCell ref="B8:C8"/>
    <mergeCell ref="E8:F8"/>
    <mergeCell ref="B14:F14"/>
    <mergeCell ref="B15:F16"/>
    <mergeCell ref="B18:F18"/>
    <mergeCell ref="B28:F28"/>
    <mergeCell ref="H28:L28"/>
    <mergeCell ref="H29:J29"/>
    <mergeCell ref="K29:L29"/>
    <mergeCell ref="C29:D29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4732BD-3902-4A51-AE5E-8AAAF48D8A00}">
          <x14:formula1>
            <xm:f>Currency!$B$2:$B$4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319D-DB6B-422D-AEAB-DCE9144088FC}">
  <sheetPr>
    <tabColor theme="8"/>
  </sheetPr>
  <dimension ref="A1:D5"/>
  <sheetViews>
    <sheetView workbookViewId="0">
      <pane ySplit="1" topLeftCell="A2" activePane="bottomLeft" state="frozen"/>
      <selection activeCell="E63" sqref="E63"/>
      <selection pane="bottomLeft" activeCell="C51" sqref="C51"/>
    </sheetView>
  </sheetViews>
  <sheetFormatPr defaultColWidth="9.109375" defaultRowHeight="13.8" x14ac:dyDescent="0.3"/>
  <cols>
    <col min="1" max="1" width="15.33203125" style="107" customWidth="1"/>
    <col min="2" max="2" width="34.33203125" style="107" customWidth="1"/>
    <col min="3" max="3" width="65" style="107" customWidth="1"/>
    <col min="4" max="4" width="12.44140625" style="107" customWidth="1"/>
    <col min="5" max="16384" width="9.109375" style="107"/>
  </cols>
  <sheetData>
    <row r="1" spans="1:4" x14ac:dyDescent="0.3">
      <c r="A1" s="106" t="s">
        <v>104</v>
      </c>
      <c r="B1" s="106" t="s">
        <v>106</v>
      </c>
      <c r="C1" s="106" t="s">
        <v>105</v>
      </c>
      <c r="D1" s="106" t="s">
        <v>71</v>
      </c>
    </row>
    <row r="2" spans="1:4" s="108" customFormat="1" x14ac:dyDescent="0.3">
      <c r="A2" s="107"/>
      <c r="B2" s="107"/>
      <c r="C2" s="107"/>
      <c r="D2" s="107"/>
    </row>
    <row r="3" spans="1:4" s="108" customFormat="1" x14ac:dyDescent="0.3">
      <c r="A3" s="107"/>
      <c r="B3" s="107"/>
      <c r="C3" s="107"/>
      <c r="D3" s="107"/>
    </row>
    <row r="4" spans="1:4" s="108" customFormat="1" x14ac:dyDescent="0.3">
      <c r="A4" s="107"/>
      <c r="B4" s="107"/>
      <c r="C4" s="107"/>
      <c r="D4" s="107"/>
    </row>
    <row r="5" spans="1:4" s="108" customFormat="1" x14ac:dyDescent="0.3">
      <c r="A5" s="107"/>
      <c r="B5" s="107"/>
      <c r="C5" s="107"/>
      <c r="D5" s="107"/>
    </row>
  </sheetData>
  <autoFilter ref="A1:D1" xr:uid="{769F49B6-09BD-459D-8ABC-E4739B45540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C1:K33"/>
  <sheetViews>
    <sheetView showGridLines="0" workbookViewId="0">
      <selection activeCell="K31" sqref="K31"/>
    </sheetView>
  </sheetViews>
  <sheetFormatPr defaultRowHeight="14.4" x14ac:dyDescent="0.3"/>
  <cols>
    <col min="2" max="2" width="2" customWidth="1"/>
    <col min="3" max="3" width="44.44140625" bestFit="1" customWidth="1"/>
    <col min="4" max="4" width="18.33203125" bestFit="1" customWidth="1"/>
    <col min="5" max="5" width="23.109375" bestFit="1" customWidth="1"/>
    <col min="6" max="6" width="26.88671875" bestFit="1" customWidth="1"/>
    <col min="7" max="7" width="18.109375" customWidth="1"/>
    <col min="8" max="8" width="12.6640625" bestFit="1" customWidth="1"/>
    <col min="9" max="9" width="18.5546875" customWidth="1"/>
    <col min="10" max="10" width="9" customWidth="1"/>
    <col min="11" max="11" width="17.88671875" customWidth="1"/>
    <col min="12" max="12" width="46.5546875" bestFit="1" customWidth="1"/>
    <col min="13" max="13" width="26.88671875" bestFit="1" customWidth="1"/>
    <col min="14" max="14" width="12.5546875" bestFit="1" customWidth="1"/>
    <col min="15" max="15" width="12.6640625" bestFit="1" customWidth="1"/>
  </cols>
  <sheetData>
    <row r="1" spans="3:8" x14ac:dyDescent="0.3">
      <c r="C1" s="295" t="s">
        <v>34</v>
      </c>
      <c r="D1" s="296"/>
    </row>
    <row r="2" spans="3:8" x14ac:dyDescent="0.3">
      <c r="C2" s="6" t="s">
        <v>35</v>
      </c>
      <c r="D2" s="13"/>
    </row>
    <row r="3" spans="3:8" x14ac:dyDescent="0.3">
      <c r="C3" s="6" t="s">
        <v>36</v>
      </c>
      <c r="D3" s="14"/>
    </row>
    <row r="4" spans="3:8" x14ac:dyDescent="0.3">
      <c r="C4" s="6" t="s">
        <v>43</v>
      </c>
      <c r="D4" s="36" t="s">
        <v>41</v>
      </c>
    </row>
    <row r="6" spans="3:8" x14ac:dyDescent="0.3">
      <c r="C6" s="297" t="s">
        <v>49</v>
      </c>
      <c r="D6" s="297"/>
      <c r="E6" s="297" t="s">
        <v>50</v>
      </c>
      <c r="F6" s="297"/>
    </row>
    <row r="7" spans="3:8" x14ac:dyDescent="0.3">
      <c r="C7" s="6" t="s">
        <v>51</v>
      </c>
      <c r="D7" s="12">
        <v>120</v>
      </c>
      <c r="E7" s="6" t="s">
        <v>18</v>
      </c>
      <c r="F7" s="13">
        <v>110</v>
      </c>
      <c r="H7" s="19"/>
    </row>
    <row r="8" spans="3:8" x14ac:dyDescent="0.3">
      <c r="C8" s="6" t="s">
        <v>17</v>
      </c>
      <c r="D8" s="12">
        <v>97</v>
      </c>
      <c r="E8" s="6" t="s">
        <v>26</v>
      </c>
      <c r="F8" s="14">
        <f>'DNU_Team &amp; Velocity v1'!B11</f>
        <v>25</v>
      </c>
    </row>
    <row r="9" spans="3:8" x14ac:dyDescent="0.3">
      <c r="C9" s="6" t="s">
        <v>22</v>
      </c>
      <c r="D9" s="15">
        <f>ROUND('DNU_Team &amp; Velocity v1'!B8,0)</f>
        <v>3</v>
      </c>
      <c r="E9" s="6" t="s">
        <v>27</v>
      </c>
      <c r="F9" s="14">
        <f>'DNU_Team &amp; Velocity v1'!B12</f>
        <v>15</v>
      </c>
    </row>
    <row r="10" spans="3:8" x14ac:dyDescent="0.3">
      <c r="C10" s="6" t="s">
        <v>23</v>
      </c>
      <c r="D10" s="17">
        <v>1</v>
      </c>
      <c r="E10" s="6" t="s">
        <v>28</v>
      </c>
      <c r="F10" s="14">
        <f>ROUNDUP(F7/F8,0)</f>
        <v>5</v>
      </c>
    </row>
    <row r="11" spans="3:8" x14ac:dyDescent="0.3">
      <c r="C11" s="6" t="s">
        <v>54</v>
      </c>
      <c r="D11" s="35">
        <v>120</v>
      </c>
      <c r="E11" s="6" t="s">
        <v>29</v>
      </c>
      <c r="F11" s="14">
        <f>ROUNDUP(F7/F9,0)</f>
        <v>8</v>
      </c>
    </row>
    <row r="12" spans="3:8" x14ac:dyDescent="0.3">
      <c r="C12" s="6" t="s">
        <v>30</v>
      </c>
      <c r="D12" s="35">
        <f>(D10*D8*8*5)</f>
        <v>3880</v>
      </c>
      <c r="E12" s="6" t="s">
        <v>32</v>
      </c>
      <c r="F12" s="13">
        <v>2</v>
      </c>
    </row>
    <row r="13" spans="3:8" x14ac:dyDescent="0.3">
      <c r="D13" s="18"/>
      <c r="E13" s="6" t="s">
        <v>33</v>
      </c>
      <c r="F13" s="13">
        <v>2</v>
      </c>
    </row>
    <row r="14" spans="3:8" ht="15" thickBot="1" x14ac:dyDescent="0.35">
      <c r="D14" s="18"/>
    </row>
    <row r="15" spans="3:8" x14ac:dyDescent="0.3">
      <c r="C15" s="292" t="s">
        <v>45</v>
      </c>
      <c r="D15" s="293"/>
      <c r="E15" s="293"/>
      <c r="F15" s="293"/>
      <c r="G15" s="293"/>
      <c r="H15" s="294"/>
    </row>
    <row r="16" spans="3:8" x14ac:dyDescent="0.3">
      <c r="C16" s="22" t="s">
        <v>48</v>
      </c>
      <c r="D16" s="9" t="s">
        <v>19</v>
      </c>
      <c r="E16" s="9" t="s">
        <v>20</v>
      </c>
      <c r="F16" s="9" t="s">
        <v>25</v>
      </c>
      <c r="G16" s="9" t="s">
        <v>0</v>
      </c>
      <c r="H16" s="23" t="s">
        <v>1</v>
      </c>
    </row>
    <row r="17" spans="3:11" x14ac:dyDescent="0.3">
      <c r="C17" s="24" t="s">
        <v>52</v>
      </c>
      <c r="D17" s="13">
        <v>80</v>
      </c>
      <c r="E17" s="13">
        <v>100</v>
      </c>
      <c r="F17" s="6" t="s">
        <v>21</v>
      </c>
      <c r="G17" s="16">
        <f>D17*$D$7</f>
        <v>9600</v>
      </c>
      <c r="H17" s="25">
        <f>E17*$D$7</f>
        <v>12000</v>
      </c>
    </row>
    <row r="18" spans="3:11" x14ac:dyDescent="0.3">
      <c r="C18" s="24" t="s">
        <v>53</v>
      </c>
      <c r="D18" s="14">
        <f>F10</f>
        <v>5</v>
      </c>
      <c r="E18" s="14">
        <f>F11</f>
        <v>8</v>
      </c>
      <c r="F18" s="6"/>
      <c r="G18" s="16">
        <f>D18*D11</f>
        <v>600</v>
      </c>
      <c r="H18" s="25">
        <f>E18*D11</f>
        <v>960</v>
      </c>
    </row>
    <row r="19" spans="3:11" x14ac:dyDescent="0.3">
      <c r="C19" s="24" t="s">
        <v>31</v>
      </c>
      <c r="D19" s="14">
        <f>F12</f>
        <v>2</v>
      </c>
      <c r="E19" s="14">
        <f>F12</f>
        <v>2</v>
      </c>
      <c r="F19" s="6"/>
      <c r="G19" s="16">
        <f>D19*D12</f>
        <v>7760</v>
      </c>
      <c r="H19" s="25">
        <f>E19*D12</f>
        <v>7760</v>
      </c>
    </row>
    <row r="20" spans="3:11" x14ac:dyDescent="0.3">
      <c r="C20" s="24" t="s">
        <v>2</v>
      </c>
      <c r="D20" s="14">
        <f>F13</f>
        <v>2</v>
      </c>
      <c r="E20" s="14">
        <f>F13</f>
        <v>2</v>
      </c>
      <c r="F20" s="6"/>
      <c r="G20" s="16">
        <f>D20*D12</f>
        <v>7760</v>
      </c>
      <c r="H20" s="25">
        <f>E20*D12</f>
        <v>7760</v>
      </c>
    </row>
    <row r="21" spans="3:11" x14ac:dyDescent="0.3">
      <c r="C21" s="24" t="s">
        <v>3</v>
      </c>
      <c r="D21" s="13">
        <v>6</v>
      </c>
      <c r="E21" s="13">
        <v>8</v>
      </c>
      <c r="F21" s="6" t="s">
        <v>4</v>
      </c>
      <c r="G21" s="16">
        <f>D21*D$7</f>
        <v>720</v>
      </c>
      <c r="H21" s="25">
        <f>E21*$D$7</f>
        <v>960</v>
      </c>
      <c r="K21" t="s">
        <v>47</v>
      </c>
    </row>
    <row r="22" spans="3:11" ht="15" thickBot="1" x14ac:dyDescent="0.35">
      <c r="C22" s="26" t="s">
        <v>24</v>
      </c>
      <c r="D22" s="6"/>
      <c r="E22" s="6"/>
      <c r="F22" s="7"/>
      <c r="G22" s="8">
        <f>SUM(G17:G21)</f>
        <v>26440</v>
      </c>
      <c r="H22" s="27">
        <f>SUM(H17:H21)</f>
        <v>29440</v>
      </c>
    </row>
    <row r="23" spans="3:11" ht="15.6" thickTop="1" thickBot="1" x14ac:dyDescent="0.35">
      <c r="C23" s="28"/>
      <c r="D23" s="29"/>
      <c r="E23" s="29"/>
      <c r="F23" s="29"/>
      <c r="G23" s="29"/>
      <c r="H23" s="30"/>
    </row>
    <row r="24" spans="3:11" ht="15" thickBot="1" x14ac:dyDescent="0.35"/>
    <row r="25" spans="3:11" x14ac:dyDescent="0.3">
      <c r="C25" s="292" t="s">
        <v>46</v>
      </c>
      <c r="D25" s="293"/>
      <c r="E25" s="293"/>
      <c r="F25" s="294"/>
    </row>
    <row r="26" spans="3:11" x14ac:dyDescent="0.3">
      <c r="C26" s="22" t="str">
        <f t="shared" ref="C26:C32" si="0">C16</f>
        <v>Project Phase</v>
      </c>
      <c r="D26" s="9" t="s">
        <v>44</v>
      </c>
      <c r="E26" s="9" t="s">
        <v>0</v>
      </c>
      <c r="F26" s="23" t="s">
        <v>1</v>
      </c>
    </row>
    <row r="27" spans="3:11" x14ac:dyDescent="0.3">
      <c r="C27" s="24" t="str">
        <f t="shared" si="0"/>
        <v>Sprint 0 (hours)</v>
      </c>
      <c r="D27" s="6"/>
      <c r="E27" s="31">
        <f t="shared" ref="E27:F31" si="1">G17</f>
        <v>9600</v>
      </c>
      <c r="F27" s="33">
        <f t="shared" si="1"/>
        <v>12000</v>
      </c>
    </row>
    <row r="28" spans="3:11" x14ac:dyDescent="0.3">
      <c r="C28" s="24" t="s">
        <v>53</v>
      </c>
      <c r="D28" s="6"/>
      <c r="E28" s="31">
        <f t="shared" si="1"/>
        <v>600</v>
      </c>
      <c r="F28" s="33">
        <f t="shared" si="1"/>
        <v>960</v>
      </c>
    </row>
    <row r="29" spans="3:11" x14ac:dyDescent="0.3">
      <c r="C29" s="24" t="str">
        <f t="shared" si="0"/>
        <v>Final UAT</v>
      </c>
      <c r="D29" s="6"/>
      <c r="E29" s="31">
        <f t="shared" si="1"/>
        <v>7760</v>
      </c>
      <c r="F29" s="33">
        <f t="shared" si="1"/>
        <v>7760</v>
      </c>
    </row>
    <row r="30" spans="3:11" x14ac:dyDescent="0.3">
      <c r="C30" s="24" t="str">
        <f t="shared" si="0"/>
        <v>Production Deployment &amp; Post Go-Live Support </v>
      </c>
      <c r="D30" s="6"/>
      <c r="E30" s="31">
        <f t="shared" si="1"/>
        <v>7760</v>
      </c>
      <c r="F30" s="33">
        <f t="shared" si="1"/>
        <v>7760</v>
      </c>
    </row>
    <row r="31" spans="3:11" x14ac:dyDescent="0.3">
      <c r="C31" s="24" t="str">
        <f t="shared" si="0"/>
        <v>User guide creation</v>
      </c>
      <c r="D31" s="6"/>
      <c r="E31" s="31">
        <f t="shared" si="1"/>
        <v>720</v>
      </c>
      <c r="F31" s="33">
        <f t="shared" si="1"/>
        <v>960</v>
      </c>
    </row>
    <row r="32" spans="3:11" x14ac:dyDescent="0.3">
      <c r="C32" s="26" t="str">
        <f t="shared" si="0"/>
        <v>Total Cost for Release 1</v>
      </c>
      <c r="D32" s="7"/>
      <c r="E32" s="32">
        <f>G22</f>
        <v>26440</v>
      </c>
      <c r="F32" s="34">
        <f>H22</f>
        <v>29440</v>
      </c>
    </row>
    <row r="33" spans="3:6" ht="15" thickBot="1" x14ac:dyDescent="0.35">
      <c r="C33" s="28"/>
      <c r="D33" s="29"/>
      <c r="E33" s="29"/>
      <c r="F33" s="30"/>
    </row>
  </sheetData>
  <mergeCells count="5">
    <mergeCell ref="C15:H15"/>
    <mergeCell ref="C25:F25"/>
    <mergeCell ref="C1:D1"/>
    <mergeCell ref="C6:D6"/>
    <mergeCell ref="E6:F6"/>
  </mergeCells>
  <conditionalFormatting sqref="D7:D8">
    <cfRule type="expression" dxfId="11" priority="1">
      <formula>$D$4="$"</formula>
    </cfRule>
    <cfRule type="expression" dxfId="10" priority="2">
      <formula>$D$4="£"</formula>
    </cfRule>
    <cfRule type="expression" dxfId="9" priority="3">
      <formula>$D$4="R"</formula>
    </cfRule>
  </conditionalFormatting>
  <conditionalFormatting sqref="D11:D12">
    <cfRule type="expression" dxfId="8" priority="5">
      <formula>$D$4="$"</formula>
    </cfRule>
    <cfRule type="expression" dxfId="7" priority="6">
      <formula>$D$4="£"</formula>
    </cfRule>
    <cfRule type="expression" dxfId="6" priority="7">
      <formula>$D$4="R"</formula>
    </cfRule>
  </conditionalFormatting>
  <conditionalFormatting sqref="E27:F32">
    <cfRule type="expression" dxfId="5" priority="11">
      <formula>$D$4="$"</formula>
    </cfRule>
    <cfRule type="expression" dxfId="4" priority="12">
      <formula>$D$4="£"</formula>
    </cfRule>
    <cfRule type="expression" dxfId="3" priority="13">
      <formula>$D$4="R"</formula>
    </cfRule>
  </conditionalFormatting>
  <conditionalFormatting sqref="G17:H22">
    <cfRule type="expression" dxfId="2" priority="8">
      <formula>$D$4="$"</formula>
    </cfRule>
    <cfRule type="expression" dxfId="1" priority="9">
      <formula>$D$4="£"</formula>
    </cfRule>
    <cfRule type="expression" dxfId="0" priority="10">
      <formula>$D$4="R"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57DCE36-7953-4FD8-9078-4D867EFADAE4}">
          <x14:formula1>
            <xm:f>Currency!$B$2:$B$4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D13"/>
  <sheetViews>
    <sheetView workbookViewId="0">
      <selection activeCell="N14" sqref="N14"/>
    </sheetView>
  </sheetViews>
  <sheetFormatPr defaultRowHeight="14.4" x14ac:dyDescent="0.3"/>
  <cols>
    <col min="1" max="1" width="31.6640625" style="1" customWidth="1"/>
    <col min="2" max="2" width="21.44140625" style="1" customWidth="1"/>
    <col min="3" max="4" width="12.88671875" style="1" customWidth="1"/>
    <col min="5" max="5" width="9.44140625" customWidth="1"/>
  </cols>
  <sheetData>
    <row r="1" spans="1:4" x14ac:dyDescent="0.3">
      <c r="A1" s="2" t="s">
        <v>10</v>
      </c>
      <c r="B1" s="11" t="s">
        <v>6</v>
      </c>
      <c r="D1" s="2"/>
    </row>
    <row r="2" spans="1:4" x14ac:dyDescent="0.3">
      <c r="A2" s="1" t="s">
        <v>57</v>
      </c>
      <c r="B2" s="4">
        <v>1</v>
      </c>
      <c r="D2" s="2"/>
    </row>
    <row r="3" spans="1:4" x14ac:dyDescent="0.3">
      <c r="A3" s="1" t="s">
        <v>12</v>
      </c>
      <c r="B3" s="4">
        <v>1</v>
      </c>
      <c r="D3" s="3"/>
    </row>
    <row r="4" spans="1:4" x14ac:dyDescent="0.3">
      <c r="A4" s="1" t="s">
        <v>11</v>
      </c>
      <c r="B4" s="4">
        <v>0.5</v>
      </c>
      <c r="D4" s="3"/>
    </row>
    <row r="5" spans="1:4" x14ac:dyDescent="0.3">
      <c r="A5" s="1" t="s">
        <v>7</v>
      </c>
      <c r="B5" s="4">
        <v>0.25</v>
      </c>
      <c r="D5" s="3"/>
    </row>
    <row r="6" spans="1:4" x14ac:dyDescent="0.3">
      <c r="A6" s="1" t="s">
        <v>8</v>
      </c>
      <c r="B6" s="4">
        <f>B5*0.5</f>
        <v>0.125</v>
      </c>
      <c r="D6" s="3"/>
    </row>
    <row r="7" spans="1:4" x14ac:dyDescent="0.3">
      <c r="A7" s="1" t="s">
        <v>9</v>
      </c>
      <c r="B7" s="4">
        <v>0.2</v>
      </c>
    </row>
    <row r="8" spans="1:4" x14ac:dyDescent="0.3">
      <c r="A8" s="2" t="s">
        <v>13</v>
      </c>
      <c r="B8" s="10">
        <f>SUM(B2:B7)</f>
        <v>3.0750000000000002</v>
      </c>
    </row>
    <row r="9" spans="1:4" x14ac:dyDescent="0.3">
      <c r="C9" s="4"/>
    </row>
    <row r="10" spans="1:4" x14ac:dyDescent="0.3">
      <c r="A10" s="2" t="s">
        <v>5</v>
      </c>
      <c r="B10" s="2" t="s">
        <v>16</v>
      </c>
      <c r="C10" s="2"/>
      <c r="D10" s="5"/>
    </row>
    <row r="11" spans="1:4" x14ac:dyDescent="0.3">
      <c r="A11" s="1" t="s">
        <v>14</v>
      </c>
      <c r="B11" s="1">
        <v>25</v>
      </c>
      <c r="D11" s="3"/>
    </row>
    <row r="12" spans="1:4" x14ac:dyDescent="0.3">
      <c r="A12" s="1" t="s">
        <v>15</v>
      </c>
      <c r="B12" s="1">
        <v>15</v>
      </c>
    </row>
    <row r="13" spans="1:4" x14ac:dyDescent="0.3">
      <c r="D13" s="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81967-FFB9-480C-8D95-EF72778D202F}">
  <dimension ref="A2:B4"/>
  <sheetViews>
    <sheetView workbookViewId="0">
      <selection activeCell="F25" sqref="F25"/>
    </sheetView>
  </sheetViews>
  <sheetFormatPr defaultRowHeight="14.4" x14ac:dyDescent="0.3"/>
  <sheetData>
    <row r="2" spans="1:2" x14ac:dyDescent="0.3">
      <c r="A2" t="s">
        <v>37</v>
      </c>
      <c r="B2" s="20" t="s">
        <v>42</v>
      </c>
    </row>
    <row r="3" spans="1:2" x14ac:dyDescent="0.3">
      <c r="A3" t="s">
        <v>38</v>
      </c>
      <c r="B3" s="21" t="s">
        <v>41</v>
      </c>
    </row>
    <row r="4" spans="1:2" x14ac:dyDescent="0.3">
      <c r="A4" t="s">
        <v>39</v>
      </c>
      <c r="B4" s="20" t="s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��
</file>

<file path=customXml/item5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6F47DA-94B6-4FE3-A415-F9360973E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195739-F48A-45FA-B14B-AA6F1092D482}">
  <ds:schemaRefs>
    <ds:schemaRef ds:uri="http://www.w3.org/XML/1998/namespace"/>
    <ds:schemaRef ds:uri="http://schemas.openxmlformats.org/package/2006/metadata/core-properties"/>
    <ds:schemaRef ds:uri="http://purl.org/dc/dcmitype/"/>
    <ds:schemaRef ds:uri="1ffbd5dc-7a64-4097-8396-87f6c90b212f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15C47CB9-CB87-4A69-8952-5A20359B75E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Consulting SOW Estimate</vt:lpstr>
      <vt:lpstr>Consulting SOW Estimate1</vt:lpstr>
      <vt:lpstr>Proposal x Estimate</vt:lpstr>
      <vt:lpstr>Proposal x_Features</vt:lpstr>
      <vt:lpstr>DNU_SOW v1</vt:lpstr>
      <vt:lpstr>DNU_Team &amp; Velocity v1</vt:lpstr>
      <vt:lpstr>Currency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Shaun Barrett</cp:lastModifiedBy>
  <cp:revision/>
  <dcterms:created xsi:type="dcterms:W3CDTF">2020-08-13T15:11:43Z</dcterms:created>
  <dcterms:modified xsi:type="dcterms:W3CDTF">2025-11-20T15:27:02Z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  <property fmtid="{D5CDD505-2E9C-101B-9397-08002B2CF9AE}" pid="20" name="nae5750f31d8428b9a1182bd8e59d390">
    <vt:lpwstr>Enterprise Solutions|08c57b01-67e8-4a4f-abc6-ffb3392ace7f</vt:lpwstr>
  </property>
  <property fmtid="{D5CDD505-2E9C-101B-9397-08002B2CF9AE}" pid="21" name="k6ebf865df8440b3a55c1aa81c9bae7c">
    <vt:lpwstr>Generic Project Document|258c2ed6-b93b-4ffe-8901-a23f2dc98ec9</vt:lpwstr>
  </property>
  <property fmtid="{D5CDD505-2E9C-101B-9397-08002B2CF9AE}" pid="22" name="ica44df5449d49f98766f83f0bd254a7">
    <vt:lpwstr>Grainger PLC|a74f1cb5-e995-4f9e-8521-6d52e2c6bf08</vt:lpwstr>
  </property>
</Properties>
</file>