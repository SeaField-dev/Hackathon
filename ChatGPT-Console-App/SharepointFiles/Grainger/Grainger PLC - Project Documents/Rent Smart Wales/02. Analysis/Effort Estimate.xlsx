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t Smart Wales/02. Analysis/"/>
    </mc:Choice>
  </mc:AlternateContent>
  <xr:revisionPtr revIDLastSave="86" documentId="8_{22710CDB-DF65-4AAD-AA74-46A42AFB4158}" xr6:coauthVersionLast="47" xr6:coauthVersionMax="47" xr10:uidLastSave="{89B9AC25-18F0-8D46-9E9D-FE81FBE9AF12}"/>
  <bookViews>
    <workbookView xWindow="0" yWindow="500" windowWidth="37640" windowHeight="21100" activeTab="1" xr2:uid="{1B05C849-CC2D-402E-AE46-9840DBDD81ED}"/>
  </bookViews>
  <sheets>
    <sheet name="Sheet1" sheetId="2" r:id="rId1"/>
    <sheet name="TImelin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2" i="3" s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F8" i="2"/>
  <c r="G8" i="2"/>
  <c r="H6" i="2"/>
  <c r="H8" i="2"/>
  <c r="H5" i="2"/>
  <c r="H4" i="2"/>
  <c r="H3" i="2"/>
</calcChain>
</file>

<file path=xl/sharedStrings.xml><?xml version="1.0" encoding="utf-8"?>
<sst xmlns="http://schemas.openxmlformats.org/spreadsheetml/2006/main" count="41" uniqueCount="37">
  <si>
    <t>Notes</t>
  </si>
  <si>
    <t>Task</t>
  </si>
  <si>
    <t>Rate</t>
  </si>
  <si>
    <t>Cost</t>
  </si>
  <si>
    <t>Duration (weeks)</t>
  </si>
  <si>
    <t>Sprint 0</t>
  </si>
  <si>
    <t>Analysis / Tech approach / Add items to Jira and work with Grainger to have AC's approved (3 people involved)</t>
  </si>
  <si>
    <t>Total Effort (days)</t>
  </si>
  <si>
    <t>Sprint 1</t>
  </si>
  <si>
    <t>3 week deliver. Dev, Test and deployments. Team of 1 Architecht, 1 developer, 1 QA, BA, PM</t>
  </si>
  <si>
    <t>UAT</t>
  </si>
  <si>
    <t>1 week</t>
  </si>
  <si>
    <t>Total</t>
  </si>
  <si>
    <t>Prod Support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</si>
  <si>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</si>
  <si>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</si>
  <si>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</si>
  <si>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</si>
  <si>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</si>
  <si>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</si>
  <si>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</si>
  <si>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</si>
  <si>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</si>
  <si>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</si>
  <si>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</si>
  <si>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</si>
  <si>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</si>
  <si>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</si>
  <si>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</si>
  <si>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</si>
  <si>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</si>
  <si>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</si>
  <si>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</si>
  <si>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</si>
  <si>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Development</t>
  </si>
  <si>
    <t>PROD go live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</si>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</sst>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1" fillId="0" borderId="2" xfId="0" applyNumberFormat="1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3" fillId="4" borderId="0" xfId="2"/>
    <xf numFmtId="0" fontId="2" fillId="3" borderId="0" xfId="1"/>
    <xf numFmtId="0" fontId="1" fillId="0" borderId="0" xfId="0" applyFont="1"/>
    <xf numFmtId="0" fontId="5" fillId="4" borderId="0" xfId="2" applyFont="1"/>
    <xf numFmtId="14" fontId="1" fillId="0" borderId="0" xfId="0" applyNumberFormat="1" applyFont="1"/>
    <xf numFmtId="14" fontId="5" fillId="4" borderId="0" xfId="2" applyNumberFormat="1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658C-663F-4800-8B47-19E2D4BD46A2}">
  <dimension ref="A1:H9"/>
  <sheetViews>
    <sheetView workbookViewId="0">
      <selection activeCell="F8" sqref="F8"/>
    </sheetView>
  </sheetViews>
  <sheetFormatPr baseColWidth="10" defaultColWidth="8.83203125" defaultRowHeight="15" x14ac:dyDescent="0.2"/>
  <cols>
    <col min="4" max="4" width="21.5" customWidth="1"/>
    <col min="5" max="5" width="101.5" customWidth="1"/>
    <col min="6" max="6" width="16.5" bestFit="1" customWidth="1"/>
    <col min="7" max="7" width="16.83203125" bestFit="1" customWidth="1"/>
    <col min="8" max="8" width="15.33203125" customWidth="1"/>
  </cols>
  <sheetData>
    <row r="1" spans="1:8" x14ac:dyDescent="0.2">
      <c r="A1" t="s">
        <v>2</v>
      </c>
      <c r="B1" s="1">
        <v>630</v>
      </c>
    </row>
    <row r="2" spans="1:8" x14ac:dyDescent="0.2">
      <c r="D2" s="6" t="s">
        <v>1</v>
      </c>
      <c r="E2" s="6" t="s">
        <v>0</v>
      </c>
      <c r="F2" s="6" t="s">
        <v>4</v>
      </c>
      <c r="G2" s="6" t="s">
        <v>7</v>
      </c>
      <c r="H2" s="7" t="s">
        <v>3</v>
      </c>
    </row>
    <row r="3" spans="1:8" x14ac:dyDescent="0.2">
      <c r="D3" s="3" t="s">
        <v>5</v>
      </c>
      <c r="E3" s="3" t="s">
        <v>6</v>
      </c>
      <c r="F3" s="3">
        <v>1</v>
      </c>
      <c r="G3" s="3">
        <v>3</v>
      </c>
      <c r="H3" s="4">
        <f>G3*B1</f>
        <v>1890</v>
      </c>
    </row>
    <row r="4" spans="1:8" x14ac:dyDescent="0.2">
      <c r="D4" s="3" t="s">
        <v>8</v>
      </c>
      <c r="E4" s="3" t="s">
        <v>9</v>
      </c>
      <c r="F4" s="3">
        <v>3</v>
      </c>
      <c r="G4" s="3">
        <v>18</v>
      </c>
      <c r="H4" s="4">
        <f>G4*B1</f>
        <v>11340</v>
      </c>
    </row>
    <row r="5" spans="1:8" x14ac:dyDescent="0.2">
      <c r="D5" s="3" t="s">
        <v>10</v>
      </c>
      <c r="E5" s="3" t="s">
        <v>11</v>
      </c>
      <c r="F5" s="3">
        <v>1</v>
      </c>
      <c r="G5" s="3">
        <v>2.5</v>
      </c>
      <c r="H5" s="4">
        <f>G5*B1</f>
        <v>1575</v>
      </c>
    </row>
    <row r="6" spans="1:8" x14ac:dyDescent="0.2">
      <c r="D6" s="3" t="s">
        <v>13</v>
      </c>
      <c r="E6" s="3" t="s">
        <v>11</v>
      </c>
      <c r="F6" s="3">
        <v>1</v>
      </c>
      <c r="G6" s="3">
        <v>2.5</v>
      </c>
      <c r="H6" s="4">
        <f>G6*B1</f>
        <v>1575</v>
      </c>
    </row>
    <row r="7" spans="1:8" x14ac:dyDescent="0.2">
      <c r="D7" s="3"/>
      <c r="E7" s="3"/>
      <c r="F7" s="3"/>
      <c r="G7" s="3"/>
      <c r="H7" s="3"/>
    </row>
    <row r="8" spans="1:8" ht="16" thickBot="1" x14ac:dyDescent="0.25">
      <c r="D8" s="2" t="s">
        <v>12</v>
      </c>
      <c r="E8" s="2"/>
      <c r="F8" s="2">
        <f>SUM(F3:F7)</f>
        <v>6</v>
      </c>
      <c r="G8" s="2">
        <f>SUM(G3:G7)</f>
        <v>26</v>
      </c>
      <c r="H8" s="5">
        <f>SUM(H3:H7)</f>
        <v>16380</v>
      </c>
    </row>
    <row r="9" spans="1:8" ht="16" thickTop="1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A83C-1B03-954D-9538-E3D313117F69}">
  <dimension ref="A1:T3"/>
  <sheetViews>
    <sheetView tabSelected="1" workbookViewId="0">
      <selection activeCell="H10" sqref="H10"/>
    </sheetView>
  </sheetViews>
  <sheetFormatPr baseColWidth="10" defaultRowHeight="16" x14ac:dyDescent="0.2"/>
  <cols>
    <col min="7" max="7" width="10.83203125" style="8"/>
  </cols>
  <sheetData>
    <row r="1" spans="1:20" s="10" customFormat="1" x14ac:dyDescent="0.2">
      <c r="A1" s="10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1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31</v>
      </c>
      <c r="S1" s="10" t="s">
        <v>32</v>
      </c>
      <c r="T1" s="10" t="s">
        <v>33</v>
      </c>
    </row>
    <row r="2" spans="1:20" s="10" customFormat="1" x14ac:dyDescent="0.2">
      <c r="A2" s="12">
        <v>45231</v>
      </c>
      <c r="B2" s="12">
        <f>A2+7</f>
        <v>45238</v>
      </c>
      <c r="C2" s="12">
        <f t="shared" ref="C2:S2" si="0">B2+7</f>
        <v>45245</v>
      </c>
      <c r="D2" s="12">
        <f t="shared" si="0"/>
        <v>45252</v>
      </c>
      <c r="E2" s="12">
        <f t="shared" si="0"/>
        <v>45259</v>
      </c>
      <c r="F2" s="12">
        <f t="shared" si="0"/>
        <v>45266</v>
      </c>
      <c r="G2" s="13">
        <f t="shared" si="0"/>
        <v>45273</v>
      </c>
      <c r="H2" s="12">
        <f t="shared" si="0"/>
        <v>45280</v>
      </c>
      <c r="I2" s="12">
        <f t="shared" si="0"/>
        <v>45287</v>
      </c>
      <c r="J2" s="12">
        <f t="shared" si="0"/>
        <v>45294</v>
      </c>
      <c r="K2" s="12">
        <f t="shared" si="0"/>
        <v>45301</v>
      </c>
      <c r="L2" s="12">
        <f t="shared" si="0"/>
        <v>45308</v>
      </c>
      <c r="M2" s="12">
        <f t="shared" si="0"/>
        <v>45315</v>
      </c>
      <c r="N2" s="12">
        <f t="shared" si="0"/>
        <v>45322</v>
      </c>
      <c r="O2" s="12">
        <f t="shared" si="0"/>
        <v>45329</v>
      </c>
      <c r="P2" s="12">
        <f t="shared" si="0"/>
        <v>45336</v>
      </c>
      <c r="Q2" s="12">
        <f t="shared" si="0"/>
        <v>45343</v>
      </c>
      <c r="R2" s="12">
        <f t="shared" si="0"/>
        <v>45350</v>
      </c>
      <c r="S2" s="12">
        <f t="shared" si="0"/>
        <v>45357</v>
      </c>
    </row>
    <row r="3" spans="1:20" x14ac:dyDescent="0.2">
      <c r="A3" t="s">
        <v>36</v>
      </c>
      <c r="B3" t="s">
        <v>34</v>
      </c>
      <c r="C3" t="s">
        <v>34</v>
      </c>
      <c r="D3" t="s">
        <v>34</v>
      </c>
      <c r="E3" t="s">
        <v>10</v>
      </c>
      <c r="F3" s="9" t="s">
        <v>35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General Information</TermName>
          <TermId xmlns="http://schemas.microsoft.com/office/infopath/2007/PartnerControls">daa73be0-193e-45ef-b7b0-ef595ceacf72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11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04DE18-D79E-49B7-9076-C8470A01A1C0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1ffbd5dc-7a64-4097-8396-87f6c90b212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312219B-D72B-420F-89E3-A12F9AF35BC5}"/>
</file>

<file path=customXml/itemProps3.xml><?xml version="1.0" encoding="utf-8"?>
<ds:datastoreItem xmlns:ds="http://schemas.openxmlformats.org/officeDocument/2006/customXml" ds:itemID="{2CF3ACCE-2ADB-4824-893E-03E62D451C3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ACC3D54-0B48-4343-AC77-D2CBADABAE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TImeline</vt:lpstr>
    </vt:vector>
  </TitlesOfParts>
  <Manager/>
  <Company>Grainger PLC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Sam Duncan</cp:lastModifiedBy>
  <cp:revision/>
  <dcterms:created xsi:type="dcterms:W3CDTF">2023-09-15T08:13:32Z</dcterms:created>
  <dcterms:modified xsi:type="dcterms:W3CDTF">2023-11-09T06:30:41Z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11;#General Information|daa73be0-193e-45ef-b7b0-ef595ceacf72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</Properties>
</file>