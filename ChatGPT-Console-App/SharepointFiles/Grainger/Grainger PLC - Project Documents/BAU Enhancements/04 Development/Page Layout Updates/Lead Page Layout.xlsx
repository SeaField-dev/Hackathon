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04 Development/Page Layout Updates/"/>
    </mc:Choice>
  </mc:AlternateContent>
  <xr:revisionPtr revIDLastSave="610" documentId="8_{C3C1340F-A1BA-4B1A-B695-273579B725BE}" xr6:coauthVersionLast="47" xr6:coauthVersionMax="47" xr10:uidLastSave="{0856B400-08EA-4AF4-9D39-7D292FD9AB19}"/>
  <bookViews>
    <workbookView xWindow="-23148" yWindow="-108" windowWidth="23256" windowHeight="12576" tabRatio="760" activeTab="1" xr2:uid="{21508F47-FE1B-4741-B7B9-7EA48B62E697}"/>
  </bookViews>
  <sheets>
    <sheet name="New Page Layout" sheetId="10" r:id="rId1"/>
    <sheet name="Compact Layout and Path" sheetId="1" r:id="rId2"/>
    <sheet name="Contact Info" sheetId="2" r:id="rId3"/>
    <sheet name="Grainger Info" sheetId="3" r:id="rId4"/>
    <sheet name="Basic Details" sheetId="4" r:id="rId5"/>
    <sheet name="Building Unit Info" sheetId="5" r:id="rId6"/>
    <sheet name="Lead Qual - Financal and Legal" sheetId="6" r:id="rId7"/>
    <sheet name="LeadPro Qual" sheetId="7" r:id="rId8"/>
    <sheet name="System Info" sheetId="8" r:id="rId9"/>
    <sheet name="Related Tab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6" l="1"/>
</calcChain>
</file>

<file path=xl/sharedStrings.xml><?xml version="1.0" encoding="utf-8"?>
<sst xmlns="http://schemas.openxmlformats.org/spreadsheetml/2006/main" count="211" uniqueCount="153">
  <si>
    <t>New Lead Page Layout</t>
  </si>
  <si>
    <t>NOTE: Fields in orange signify that there is conditional visibility</t>
  </si>
  <si>
    <t>Highlight Panel</t>
  </si>
  <si>
    <t>Name</t>
  </si>
  <si>
    <t>Email</t>
  </si>
  <si>
    <t>Number of Beds</t>
  </si>
  <si>
    <t>Monthly rental budget</t>
  </si>
  <si>
    <t>Move-in Date</t>
  </si>
  <si>
    <t>Block of Interst</t>
  </si>
  <si>
    <t>Lead Status</t>
  </si>
  <si>
    <t>Contact Details</t>
  </si>
  <si>
    <t>Company</t>
  </si>
  <si>
    <t>Phone</t>
  </si>
  <si>
    <t>Different Whatsapp number</t>
  </si>
  <si>
    <t>WhatsApp Number</t>
  </si>
  <si>
    <t>Property Requirements</t>
  </si>
  <si>
    <t>Block of Interest</t>
  </si>
  <si>
    <t>Unit of Interest</t>
  </si>
  <si>
    <t>Furniture</t>
  </si>
  <si>
    <t>Parking</t>
  </si>
  <si>
    <t>Pets</t>
  </si>
  <si>
    <t>Number of Parking Spaces</t>
  </si>
  <si>
    <t>Number of Pets</t>
  </si>
  <si>
    <t>Parking 1</t>
  </si>
  <si>
    <t>Pet 1</t>
  </si>
  <si>
    <t>Parking 2</t>
  </si>
  <si>
    <t>Pet 2</t>
  </si>
  <si>
    <t>Notes</t>
  </si>
  <si>
    <t>Number of occupants</t>
  </si>
  <si>
    <t>Personal Details</t>
  </si>
  <si>
    <t>Employment Type</t>
  </si>
  <si>
    <t>Required Household Income</t>
  </si>
  <si>
    <t>Student Type</t>
  </si>
  <si>
    <t>Adverse Credit?</t>
  </si>
  <si>
    <t>Industry</t>
  </si>
  <si>
    <t>Adverse Credit: Amount</t>
  </si>
  <si>
    <t>Addordability Met?</t>
  </si>
  <si>
    <t>Adverse Credit: Settiled?</t>
  </si>
  <si>
    <t>Low Income Options</t>
  </si>
  <si>
    <t>Adverse Credit: Outstanding Amount</t>
  </si>
  <si>
    <t>Right to Rent</t>
  </si>
  <si>
    <t>Reason for Moving</t>
  </si>
  <si>
    <t>Any Questions/Comments</t>
  </si>
  <si>
    <t>Leadpro Qualification</t>
  </si>
  <si>
    <t>When are you looking to move</t>
  </si>
  <si>
    <t>How many people will be living with you</t>
  </si>
  <si>
    <t>What is your employment Status</t>
  </si>
  <si>
    <t>How long do you want to live with us</t>
  </si>
  <si>
    <t>Which industry do you work in</t>
  </si>
  <si>
    <t>How many bedrooms do you need</t>
  </si>
  <si>
    <t>What is the household's annual income</t>
  </si>
  <si>
    <t>Reason for moving/ANy other questions</t>
  </si>
  <si>
    <t>Grainger Informaiton</t>
  </si>
  <si>
    <t>Lead Owner</t>
  </si>
  <si>
    <t>Lead Closed Reason</t>
  </si>
  <si>
    <t>Chase Cycle</t>
  </si>
  <si>
    <t>Lead Source</t>
  </si>
  <si>
    <t>Opt into Marketing</t>
  </si>
  <si>
    <t>Created by</t>
  </si>
  <si>
    <t xml:space="preserve"> </t>
  </si>
  <si>
    <t xml:space="preserve">Please can we have 8? </t>
  </si>
  <si>
    <t>Compact Layout - Maximum 6 fields</t>
  </si>
  <si>
    <t>Path - Change the values</t>
  </si>
  <si>
    <t>Buttons</t>
  </si>
  <si>
    <t>Keep</t>
  </si>
  <si>
    <t>Display where on the chase cycle the lead is</t>
  </si>
  <si>
    <t>Edit</t>
  </si>
  <si>
    <t>Remove the button to move the stage - this will be done by updating the chase stage field</t>
  </si>
  <si>
    <t>Convert</t>
  </si>
  <si>
    <t xml:space="preserve">Do you mean ribbon?  If so yes </t>
  </si>
  <si>
    <t>Remove the rest</t>
  </si>
  <si>
    <t>Add</t>
  </si>
  <si>
    <t xml:space="preserve">Bedrooms </t>
  </si>
  <si>
    <t>Budget</t>
  </si>
  <si>
    <t>Latest move date</t>
  </si>
  <si>
    <t xml:space="preserve">HT/EM comments in Green throughout </t>
  </si>
  <si>
    <t>Fields to Keep</t>
  </si>
  <si>
    <t>Fields to Remove</t>
  </si>
  <si>
    <t>Rating</t>
  </si>
  <si>
    <t>Address</t>
  </si>
  <si>
    <t xml:space="preserve">Move to Primary Requirements? </t>
  </si>
  <si>
    <t>Any Questions</t>
  </si>
  <si>
    <t>passed from web enquiry</t>
  </si>
  <si>
    <t>All good</t>
  </si>
  <si>
    <t>None</t>
  </si>
  <si>
    <t xml:space="preserve">We don't need to duplicate and would prefer it at the top </t>
  </si>
  <si>
    <t>conditionally visible when status = lead closed</t>
  </si>
  <si>
    <t>de capitlaise these so it is 'Chase 1' etc instead of 'CHASE 1'</t>
  </si>
  <si>
    <t>add information - this is to be used to make a note about the person generally, not to summarise the info on the record</t>
  </si>
  <si>
    <t>Also believe that Rightmove comments come to here, this needs to be mapped to the Questions/comments field</t>
  </si>
  <si>
    <t xml:space="preserve">Everything else agreed. </t>
  </si>
  <si>
    <t xml:space="preserve">One field for all their comments merged - website and rightmove </t>
  </si>
  <si>
    <t xml:space="preserve">One field for our notes only if they're showin on opportunity </t>
  </si>
  <si>
    <t>Rename: Essential Information?</t>
  </si>
  <si>
    <t>Move in Date</t>
  </si>
  <si>
    <t>a date for the earliest move in - update label to idenitfy this</t>
  </si>
  <si>
    <t>Number of beds</t>
  </si>
  <si>
    <t>Monthly Rental Budget</t>
  </si>
  <si>
    <t>Fields to Move</t>
  </si>
  <si>
    <t>company</t>
  </si>
  <si>
    <t>Latest Move in Date</t>
  </si>
  <si>
    <t>a date for the latest that someone can move in</t>
  </si>
  <si>
    <t xml:space="preserve">Rename - Primary Requirements? </t>
  </si>
  <si>
    <t xml:space="preserve">Building </t>
  </si>
  <si>
    <t xml:space="preserve"> should be populated automatically from the website/rightmove enquiry - and be removed from the page layout</t>
  </si>
  <si>
    <t xml:space="preserve">remove? </t>
  </si>
  <si>
    <t>Floor Level</t>
  </si>
  <si>
    <t xml:space="preserve">Change to Accessability Requirements? </t>
  </si>
  <si>
    <t>this is yes/no if yes conditinally show other fields that specify number and type eg car/motorbike</t>
  </si>
  <si>
    <t>this is yes/no if yes conditinally show other fields that specify number and type eg cat for pet 1 dog for pet 2</t>
  </si>
  <si>
    <t>Block of interst</t>
  </si>
  <si>
    <t>populated by website/rightmove - and required if manually creating a lead</t>
  </si>
  <si>
    <t>Unit</t>
  </si>
  <si>
    <t>populated by website/rightmove</t>
  </si>
  <si>
    <t>Fields to Add</t>
  </si>
  <si>
    <t>Amount of Parking</t>
  </si>
  <si>
    <t>Parking Requirements</t>
  </si>
  <si>
    <t>motorbike, car, electticv, disabled etc</t>
  </si>
  <si>
    <t>Pet Details</t>
  </si>
  <si>
    <t xml:space="preserve">picklist for pets, number of pets = number of picklists </t>
  </si>
  <si>
    <t xml:space="preserve">Add- how long looking to live and Why moving </t>
  </si>
  <si>
    <t>Employment type</t>
  </si>
  <si>
    <t>Should be populated from website</t>
  </si>
  <si>
    <t>Accessibilty Requirements</t>
  </si>
  <si>
    <t>removing as there are 78 that have this as yes in all leads</t>
  </si>
  <si>
    <t>conditional visiblity based on employment type: 1st year, 2nd year, PhD, Masters, etc</t>
  </si>
  <si>
    <t>Accessibilty Requirements details</t>
  </si>
  <si>
    <t xml:space="preserve">Change for floor level? </t>
  </si>
  <si>
    <t>Number of Occupants</t>
  </si>
  <si>
    <t xml:space="preserve">Rename: Affordability Met? </t>
  </si>
  <si>
    <t>Household income at least 30x rent</t>
  </si>
  <si>
    <t>change the label : too long - this field will be yes/no</t>
  </si>
  <si>
    <t>yes - all good</t>
  </si>
  <si>
    <t>no - new field for what they will do GA/RIA</t>
  </si>
  <si>
    <t xml:space="preserve">Rename: Adverse Credit? </t>
  </si>
  <si>
    <t>Do any applicants have advers credit</t>
  </si>
  <si>
    <t>yes - new fields</t>
  </si>
  <si>
    <t>Required Household income</t>
  </si>
  <si>
    <t>caclulation of bodget x 30</t>
  </si>
  <si>
    <t>Low income options</t>
  </si>
  <si>
    <t>Rent in Advance or GA</t>
  </si>
  <si>
    <t>number</t>
  </si>
  <si>
    <t>Adverse Credit: Settled</t>
  </si>
  <si>
    <t>yes/no</t>
  </si>
  <si>
    <t>if no conditinally show outstanding</t>
  </si>
  <si>
    <t>Adverse Credit: Outstanding</t>
  </si>
  <si>
    <t>Remove all these - from page and from object totally</t>
  </si>
  <si>
    <t>Leadpro should be replaced with something that is more dynamic</t>
  </si>
  <si>
    <t>Any of these that are populated by the website should go into their other corresponding fields</t>
  </si>
  <si>
    <t xml:space="preserve">doesnt make sense to have uneditable fields </t>
  </si>
  <si>
    <t xml:space="preserve">How long not covered anywhere else? </t>
  </si>
  <si>
    <t>Remove all from page layout</t>
  </si>
  <si>
    <t>No need for anything related to the Lead, so remove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</si>
</sst>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3" fillId="2" borderId="0" xfId="0" applyFont="1" applyFill="1"/>
    <xf numFmtId="9" fontId="0" fillId="0" borderId="0" xfId="0" applyNumberFormat="1"/>
    <xf numFmtId="0" fontId="0" fillId="4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67982</xdr:rowOff>
    </xdr:from>
    <xdr:to>
      <xdr:col>26</xdr:col>
      <xdr:colOff>407330</xdr:colOff>
      <xdr:row>7</xdr:row>
      <xdr:rowOff>66485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7C3368-98F3-D8B4-AC37-C4A44418A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67982"/>
          <a:ext cx="15799730" cy="12653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217600</xdr:colOff>
      <xdr:row>12</xdr:row>
      <xdr:rowOff>75929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5AAA7D-4AC2-8F1C-E6D1-9729F617A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800000" cy="21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151695</xdr:colOff>
      <xdr:row>11</xdr:row>
      <xdr:rowOff>161667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08BFBB-FA7E-F81B-CBFC-C4A228EE3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638095" cy="2066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104775</xdr:rowOff>
    </xdr:from>
    <xdr:to>
      <xdr:col>20</xdr:col>
      <xdr:colOff>189019</xdr:colOff>
      <xdr:row>8</xdr:row>
      <xdr:rowOff>9348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849041-D28B-9690-5CE3-D16BA58BF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04775"/>
          <a:ext cx="11847619" cy="13523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265219</xdr:colOff>
      <xdr:row>9</xdr:row>
      <xdr:rowOff>76000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76FD1A-DB26-4296-3B92-3AB30EA3C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847619" cy="16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404278</xdr:colOff>
      <xdr:row>13</xdr:row>
      <xdr:rowOff>18762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BECBDA-F051-76C2-6F5C-4A4D75CBD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895238" cy="23047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246171</xdr:colOff>
      <xdr:row>12</xdr:row>
      <xdr:rowOff>18786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284062-B7AE-F364-C313-8DE654FAA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828571" cy="21142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322362</xdr:colOff>
      <xdr:row>7</xdr:row>
      <xdr:rowOff>66524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8D682-054D-5E1B-5221-8E997EF87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904762" cy="12095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455695</xdr:colOff>
      <xdr:row>15</xdr:row>
      <xdr:rowOff>47286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EA05BF-94B4-AB98-3B02-BBC34FB84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2038095" cy="27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7EF2-573B-4104-8158-24ACEAAF8AAD}">
  <dimension ref="A1:C50"/>
  <sheetViews>
    <sheetView workbookViewId="0">
      <selection activeCell="A2" sqref="A2"/>
    </sheetView>
  </sheetViews>
  <sheetFormatPr defaultRowHeight="15"/>
  <cols>
    <col min="1" max="1" width="35.42578125" bestFit="1" customWidth="1"/>
    <col min="2" max="2" width="35.5703125" bestFit="1" customWidth="1"/>
  </cols>
  <sheetData>
    <row r="1" spans="1:3">
      <c r="A1" t="s">
        <v>0</v>
      </c>
      <c r="C1" t="s">
        <v>1</v>
      </c>
    </row>
    <row r="3" spans="1:3">
      <c r="A3" s="1" t="s">
        <v>2</v>
      </c>
    </row>
    <row r="4" spans="1:3">
      <c r="A4" t="s">
        <v>3</v>
      </c>
    </row>
    <row r="5" spans="1:3">
      <c r="A5" t="s">
        <v>4</v>
      </c>
    </row>
    <row r="6" spans="1:3">
      <c r="A6" t="s">
        <v>5</v>
      </c>
    </row>
    <row r="7" spans="1:3">
      <c r="A7" t="s">
        <v>6</v>
      </c>
    </row>
    <row r="8" spans="1:3">
      <c r="A8" t="s">
        <v>7</v>
      </c>
    </row>
    <row r="9" spans="1:3">
      <c r="A9" t="s">
        <v>8</v>
      </c>
    </row>
    <row r="10" spans="1:3">
      <c r="A10" t="s">
        <v>9</v>
      </c>
    </row>
    <row r="12" spans="1:3">
      <c r="A12" s="10" t="s">
        <v>10</v>
      </c>
      <c r="B12" s="10"/>
    </row>
    <row r="13" spans="1:3">
      <c r="A13" t="s">
        <v>3</v>
      </c>
      <c r="B13" t="s">
        <v>11</v>
      </c>
    </row>
    <row r="14" spans="1:3">
      <c r="A14" t="s">
        <v>12</v>
      </c>
      <c r="B14" t="s">
        <v>13</v>
      </c>
    </row>
    <row r="15" spans="1:3">
      <c r="A15" t="s">
        <v>4</v>
      </c>
      <c r="B15" s="9" t="s">
        <v>14</v>
      </c>
    </row>
    <row r="17" spans="1:2">
      <c r="A17" s="10" t="s">
        <v>15</v>
      </c>
      <c r="B17" s="10"/>
    </row>
    <row r="18" spans="1:2">
      <c r="A18" t="s">
        <v>7</v>
      </c>
      <c r="B18" t="s">
        <v>16</v>
      </c>
    </row>
    <row r="19" spans="1:2">
      <c r="A19" t="s">
        <v>5</v>
      </c>
      <c r="B19" t="s">
        <v>17</v>
      </c>
    </row>
    <row r="20" spans="1:2">
      <c r="A20" t="s">
        <v>18</v>
      </c>
      <c r="B20" t="s">
        <v>19</v>
      </c>
    </row>
    <row r="21" spans="1:2">
      <c r="A21" t="s">
        <v>20</v>
      </c>
      <c r="B21" s="9" t="s">
        <v>21</v>
      </c>
    </row>
    <row r="22" spans="1:2">
      <c r="A22" s="9" t="s">
        <v>22</v>
      </c>
      <c r="B22" s="9" t="s">
        <v>23</v>
      </c>
    </row>
    <row r="23" spans="1:2">
      <c r="A23" s="9" t="s">
        <v>24</v>
      </c>
      <c r="B23" s="9" t="s">
        <v>25</v>
      </c>
    </row>
    <row r="24" spans="1:2">
      <c r="A24" s="9" t="s">
        <v>26</v>
      </c>
      <c r="B24" t="s">
        <v>27</v>
      </c>
    </row>
    <row r="25" spans="1:2">
      <c r="A25" t="s">
        <v>28</v>
      </c>
    </row>
    <row r="27" spans="1:2">
      <c r="A27" s="10" t="s">
        <v>29</v>
      </c>
      <c r="B27" s="10"/>
    </row>
    <row r="28" spans="1:2">
      <c r="A28" t="s">
        <v>6</v>
      </c>
      <c r="B28" t="s">
        <v>30</v>
      </c>
    </row>
    <row r="29" spans="1:2">
      <c r="A29" t="s">
        <v>31</v>
      </c>
      <c r="B29" s="9" t="s">
        <v>32</v>
      </c>
    </row>
    <row r="30" spans="1:2">
      <c r="A30" t="s">
        <v>33</v>
      </c>
      <c r="B30" t="s">
        <v>34</v>
      </c>
    </row>
    <row r="31" spans="1:2">
      <c r="A31" s="9" t="s">
        <v>35</v>
      </c>
      <c r="B31" t="s">
        <v>36</v>
      </c>
    </row>
    <row r="32" spans="1:2">
      <c r="A32" s="9" t="s">
        <v>37</v>
      </c>
      <c r="B32" s="9" t="s">
        <v>38</v>
      </c>
    </row>
    <row r="33" spans="1:2">
      <c r="A33" s="9" t="s">
        <v>39</v>
      </c>
      <c r="B33" t="s">
        <v>40</v>
      </c>
    </row>
    <row r="34" spans="1:2">
      <c r="A34" t="s">
        <v>41</v>
      </c>
      <c r="B34" t="s">
        <v>42</v>
      </c>
    </row>
    <row r="35" spans="1:2">
      <c r="A35" s="9" t="s">
        <v>41</v>
      </c>
    </row>
    <row r="37" spans="1:2">
      <c r="A37" s="10" t="s">
        <v>43</v>
      </c>
      <c r="B37" s="10"/>
    </row>
    <row r="38" spans="1:2">
      <c r="A38" t="s">
        <v>44</v>
      </c>
      <c r="B38" t="s">
        <v>45</v>
      </c>
    </row>
    <row r="39" spans="1:2">
      <c r="A39" t="s">
        <v>46</v>
      </c>
      <c r="B39" t="s">
        <v>47</v>
      </c>
    </row>
    <row r="40" spans="1:2">
      <c r="A40" t="s">
        <v>48</v>
      </c>
      <c r="B40" t="s">
        <v>49</v>
      </c>
    </row>
    <row r="41" spans="1:2">
      <c r="A41" t="s">
        <v>50</v>
      </c>
      <c r="B41" t="s">
        <v>51</v>
      </c>
    </row>
    <row r="43" spans="1:2">
      <c r="A43" s="1" t="s">
        <v>52</v>
      </c>
    </row>
    <row r="44" spans="1:2">
      <c r="A44" t="s">
        <v>53</v>
      </c>
    </row>
    <row r="45" spans="1:2">
      <c r="A45" t="s">
        <v>9</v>
      </c>
    </row>
    <row r="46" spans="1:2">
      <c r="A46" s="9" t="s">
        <v>54</v>
      </c>
    </row>
    <row r="47" spans="1:2">
      <c r="A47" t="s">
        <v>55</v>
      </c>
    </row>
    <row r="48" spans="1:2">
      <c r="A48" t="s">
        <v>56</v>
      </c>
    </row>
    <row r="49" spans="1:1">
      <c r="A49" t="s">
        <v>57</v>
      </c>
    </row>
    <row r="50" spans="1:1">
      <c r="A50" t="s">
        <v>58</v>
      </c>
    </row>
  </sheetData>
  <mergeCells count="4">
    <mergeCell ref="A27:B27"/>
    <mergeCell ref="A17:B17"/>
    <mergeCell ref="A12:B12"/>
    <mergeCell ref="A37:B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F534-2DC5-45C4-AFAD-1430473CA353}">
  <dimension ref="C11:W23"/>
  <sheetViews>
    <sheetView tabSelected="1" workbookViewId="0">
      <selection activeCell="C20" sqref="C20"/>
    </sheetView>
  </sheetViews>
  <sheetFormatPr defaultRowHeight="14.45"/>
  <sheetData>
    <row r="11" spans="3:23">
      <c r="C11" s="5" t="s">
        <v>59</v>
      </c>
      <c r="D11" s="4" t="s">
        <v>60</v>
      </c>
    </row>
    <row r="12" spans="3:23">
      <c r="C12" s="1" t="s">
        <v>61</v>
      </c>
      <c r="H12" s="1" t="s">
        <v>62</v>
      </c>
      <c r="V12" s="1" t="s">
        <v>63</v>
      </c>
    </row>
    <row r="13" spans="3:23">
      <c r="C13" s="4" t="s">
        <v>3</v>
      </c>
      <c r="D13" s="4" t="s">
        <v>64</v>
      </c>
      <c r="E13">
        <v>1</v>
      </c>
      <c r="H13" s="4" t="s">
        <v>65</v>
      </c>
      <c r="V13" s="4" t="s">
        <v>66</v>
      </c>
      <c r="W13" t="s">
        <v>64</v>
      </c>
    </row>
    <row r="14" spans="3:23">
      <c r="C14" s="4" t="s">
        <v>12</v>
      </c>
      <c r="D14" s="4" t="s">
        <v>64</v>
      </c>
      <c r="E14" t="s">
        <v>59</v>
      </c>
      <c r="H14" t="s">
        <v>67</v>
      </c>
      <c r="V14" s="4" t="s">
        <v>68</v>
      </c>
      <c r="W14" t="s">
        <v>64</v>
      </c>
    </row>
    <row r="15" spans="3:23">
      <c r="C15" s="4" t="s">
        <v>4</v>
      </c>
      <c r="D15" s="4" t="s">
        <v>64</v>
      </c>
      <c r="E15" t="s">
        <v>59</v>
      </c>
      <c r="H15" s="4" t="s">
        <v>69</v>
      </c>
      <c r="V15" t="s">
        <v>70</v>
      </c>
    </row>
    <row r="16" spans="3:23">
      <c r="C16" t="s">
        <v>9</v>
      </c>
      <c r="D16" t="s">
        <v>71</v>
      </c>
      <c r="E16">
        <v>2</v>
      </c>
      <c r="V16" t="s">
        <v>59</v>
      </c>
    </row>
    <row r="17" spans="3:5">
      <c r="C17" t="s">
        <v>16</v>
      </c>
      <c r="D17" t="s">
        <v>71</v>
      </c>
      <c r="E17">
        <v>3</v>
      </c>
    </row>
    <row r="18" spans="3:5">
      <c r="C18" s="4" t="s">
        <v>72</v>
      </c>
      <c r="D18" s="4" t="s">
        <v>71</v>
      </c>
      <c r="E18">
        <v>4</v>
      </c>
    </row>
    <row r="19" spans="3:5">
      <c r="C19" s="4" t="s">
        <v>73</v>
      </c>
      <c r="D19" s="4" t="s">
        <v>71</v>
      </c>
      <c r="E19">
        <v>5</v>
      </c>
    </row>
    <row r="20" spans="3:5">
      <c r="C20" s="4" t="s">
        <v>74</v>
      </c>
      <c r="D20" s="4" t="s">
        <v>71</v>
      </c>
      <c r="E20">
        <v>6</v>
      </c>
    </row>
    <row r="23" spans="3:5">
      <c r="C23" s="4" t="s">
        <v>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36C7-CB12-4081-BAE6-400C6453B9B8}">
  <dimension ref="C15:T27"/>
  <sheetViews>
    <sheetView topLeftCell="A11" workbookViewId="0">
      <selection activeCell="C21" sqref="C21"/>
    </sheetView>
  </sheetViews>
  <sheetFormatPr defaultRowHeight="14.45"/>
  <sheetData>
    <row r="15" spans="3:9">
      <c r="C15" s="1" t="s">
        <v>76</v>
      </c>
      <c r="I15" s="1" t="s">
        <v>77</v>
      </c>
    </row>
    <row r="16" spans="3:9">
      <c r="C16" t="s">
        <v>3</v>
      </c>
      <c r="I16" t="s">
        <v>78</v>
      </c>
    </row>
    <row r="17" spans="3:20">
      <c r="C17" t="s">
        <v>12</v>
      </c>
      <c r="I17" t="s">
        <v>79</v>
      </c>
    </row>
    <row r="18" spans="3:20">
      <c r="C18" t="s">
        <v>4</v>
      </c>
    </row>
    <row r="19" spans="3:20">
      <c r="C19" s="4" t="s">
        <v>41</v>
      </c>
      <c r="G19" s="4" t="s">
        <v>80</v>
      </c>
    </row>
    <row r="20" spans="3:20">
      <c r="C20" t="s">
        <v>81</v>
      </c>
      <c r="O20" s="1"/>
      <c r="T20" s="1"/>
    </row>
    <row r="21" spans="3:20">
      <c r="C21" t="s">
        <v>57</v>
      </c>
      <c r="E21" s="2" t="s">
        <v>82</v>
      </c>
    </row>
    <row r="23" spans="3:20">
      <c r="C23" s="4" t="s">
        <v>83</v>
      </c>
    </row>
    <row r="27" spans="3:20">
      <c r="P27" s="2"/>
      <c r="Q27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B182-96BB-4F5C-96D1-D89C9B497850}">
  <dimension ref="C17:Q28"/>
  <sheetViews>
    <sheetView topLeftCell="A11" workbookViewId="0">
      <selection activeCell="C19" sqref="C19"/>
    </sheetView>
  </sheetViews>
  <sheetFormatPr defaultRowHeight="14.45"/>
  <sheetData>
    <row r="17" spans="3:17">
      <c r="C17" s="1" t="s">
        <v>76</v>
      </c>
      <c r="Q17" s="1" t="s">
        <v>77</v>
      </c>
    </row>
    <row r="18" spans="3:17">
      <c r="C18" t="s">
        <v>53</v>
      </c>
      <c r="Q18" t="s">
        <v>84</v>
      </c>
    </row>
    <row r="19" spans="3:17">
      <c r="C19" t="s">
        <v>9</v>
      </c>
      <c r="E19" s="4" t="s">
        <v>85</v>
      </c>
    </row>
    <row r="20" spans="3:17">
      <c r="C20" t="s">
        <v>54</v>
      </c>
      <c r="E20" s="2" t="s">
        <v>86</v>
      </c>
    </row>
    <row r="21" spans="3:17">
      <c r="C21" t="s">
        <v>55</v>
      </c>
      <c r="E21" s="2" t="s">
        <v>87</v>
      </c>
    </row>
    <row r="22" spans="3:17">
      <c r="C22" t="s">
        <v>27</v>
      </c>
      <c r="E22" s="2" t="s">
        <v>88</v>
      </c>
    </row>
    <row r="23" spans="3:17">
      <c r="E23" s="2" t="s">
        <v>89</v>
      </c>
    </row>
    <row r="25" spans="3:17">
      <c r="C25" s="4" t="s">
        <v>90</v>
      </c>
    </row>
    <row r="27" spans="3:17">
      <c r="C27" t="s">
        <v>91</v>
      </c>
    </row>
    <row r="28" spans="3:17">
      <c r="C28" t="s">
        <v>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64F4-9836-4DAE-BE84-796F08530AFD}">
  <dimension ref="B10:O21"/>
  <sheetViews>
    <sheetView workbookViewId="0">
      <selection activeCell="D13" sqref="D13"/>
    </sheetView>
  </sheetViews>
  <sheetFormatPr defaultRowHeight="14.45"/>
  <sheetData>
    <row r="10" spans="2:15">
      <c r="I10" s="4" t="s">
        <v>93</v>
      </c>
    </row>
    <row r="12" spans="2:15">
      <c r="C12" s="1" t="s">
        <v>76</v>
      </c>
      <c r="O12" s="1" t="s">
        <v>77</v>
      </c>
    </row>
    <row r="13" spans="2:15">
      <c r="B13">
        <v>1</v>
      </c>
      <c r="C13" t="s">
        <v>94</v>
      </c>
      <c r="F13" s="2" t="s">
        <v>95</v>
      </c>
      <c r="L13" t="s">
        <v>59</v>
      </c>
      <c r="O13" t="s">
        <v>84</v>
      </c>
    </row>
    <row r="14" spans="2:15">
      <c r="B14">
        <v>3</v>
      </c>
      <c r="C14" t="s">
        <v>96</v>
      </c>
    </row>
    <row r="15" spans="2:15">
      <c r="B15">
        <v>4</v>
      </c>
      <c r="C15" t="s">
        <v>97</v>
      </c>
    </row>
    <row r="16" spans="2:15">
      <c r="O16" s="1" t="s">
        <v>98</v>
      </c>
    </row>
    <row r="17" spans="2:15">
      <c r="O17" t="s">
        <v>56</v>
      </c>
    </row>
    <row r="18" spans="2:15">
      <c r="C18" s="1" t="s">
        <v>76</v>
      </c>
      <c r="O18" t="s">
        <v>99</v>
      </c>
    </row>
    <row r="19" spans="2:15">
      <c r="B19">
        <v>2</v>
      </c>
      <c r="C19" t="s">
        <v>100</v>
      </c>
      <c r="F19" s="2" t="s">
        <v>101</v>
      </c>
    </row>
    <row r="21" spans="2:15">
      <c r="C21" t="s">
        <v>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2111-616C-4DF2-B135-69149A5A12D6}">
  <dimension ref="B11:P26"/>
  <sheetViews>
    <sheetView workbookViewId="0">
      <selection activeCell="E14" sqref="E14"/>
    </sheetView>
  </sheetViews>
  <sheetFormatPr defaultRowHeight="14.45"/>
  <sheetData>
    <row r="11" spans="2:16">
      <c r="G11" t="s">
        <v>102</v>
      </c>
    </row>
    <row r="12" spans="2:16">
      <c r="C12" s="1" t="s">
        <v>76</v>
      </c>
      <c r="O12" s="1" t="s">
        <v>77</v>
      </c>
    </row>
    <row r="13" spans="2:16">
      <c r="C13" s="4" t="s">
        <v>18</v>
      </c>
      <c r="O13" s="4" t="s">
        <v>103</v>
      </c>
      <c r="P13" s="2" t="s">
        <v>104</v>
      </c>
    </row>
    <row r="14" spans="2:16">
      <c r="B14" s="4" t="s">
        <v>105</v>
      </c>
      <c r="C14" t="s">
        <v>106</v>
      </c>
      <c r="E14" s="4" t="s">
        <v>107</v>
      </c>
      <c r="P14" s="2"/>
    </row>
    <row r="15" spans="2:16">
      <c r="C15" s="4" t="s">
        <v>19</v>
      </c>
      <c r="E15" s="2" t="s">
        <v>108</v>
      </c>
    </row>
    <row r="16" spans="2:16">
      <c r="C16" s="4" t="s">
        <v>20</v>
      </c>
      <c r="E16" s="2" t="s">
        <v>109</v>
      </c>
    </row>
    <row r="17" spans="3:5">
      <c r="C17" s="4" t="s">
        <v>110</v>
      </c>
      <c r="E17" s="2" t="s">
        <v>111</v>
      </c>
    </row>
    <row r="18" spans="3:5">
      <c r="C18" s="4" t="s">
        <v>112</v>
      </c>
      <c r="E18" s="2" t="s">
        <v>113</v>
      </c>
    </row>
    <row r="20" spans="3:5">
      <c r="C20" s="1" t="s">
        <v>114</v>
      </c>
    </row>
    <row r="21" spans="3:5">
      <c r="C21" t="s">
        <v>115</v>
      </c>
    </row>
    <row r="22" spans="3:5">
      <c r="C22" t="s">
        <v>116</v>
      </c>
      <c r="E22" s="2" t="s">
        <v>117</v>
      </c>
    </row>
    <row r="23" spans="3:5">
      <c r="C23" t="s">
        <v>22</v>
      </c>
    </row>
    <row r="24" spans="3:5">
      <c r="C24" t="s">
        <v>118</v>
      </c>
      <c r="E24" s="3" t="s">
        <v>119</v>
      </c>
    </row>
    <row r="26" spans="3:5">
      <c r="C26" s="4" t="s">
        <v>120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8D3C-BE90-49DC-9FE5-0152D3D88ACC}">
  <dimension ref="B16:R35"/>
  <sheetViews>
    <sheetView workbookViewId="0">
      <selection activeCell="P23" sqref="P23"/>
    </sheetView>
  </sheetViews>
  <sheetFormatPr defaultRowHeight="14.45"/>
  <cols>
    <col min="2" max="2" width="25.28515625" customWidth="1"/>
  </cols>
  <sheetData>
    <row r="16" spans="3:15">
      <c r="C16" s="1" t="s">
        <v>76</v>
      </c>
      <c r="O16" s="1" t="s">
        <v>77</v>
      </c>
    </row>
    <row r="17" spans="2:18">
      <c r="C17" s="4" t="s">
        <v>121</v>
      </c>
      <c r="E17" s="2" t="s">
        <v>122</v>
      </c>
      <c r="O17" t="s">
        <v>123</v>
      </c>
      <c r="R17" s="2" t="s">
        <v>124</v>
      </c>
    </row>
    <row r="18" spans="2:18">
      <c r="C18" s="4" t="s">
        <v>32</v>
      </c>
      <c r="E18" s="2" t="s">
        <v>125</v>
      </c>
      <c r="O18" t="s">
        <v>126</v>
      </c>
    </row>
    <row r="19" spans="2:18">
      <c r="C19" s="4" t="s">
        <v>34</v>
      </c>
      <c r="E19" s="3" t="s">
        <v>122</v>
      </c>
      <c r="O19" s="4" t="s">
        <v>127</v>
      </c>
    </row>
    <row r="20" spans="2:18">
      <c r="C20" s="4" t="s">
        <v>128</v>
      </c>
    </row>
    <row r="21" spans="2:18">
      <c r="B21" s="4" t="s">
        <v>129</v>
      </c>
      <c r="C21" t="s">
        <v>130</v>
      </c>
      <c r="G21" s="2" t="s">
        <v>131</v>
      </c>
    </row>
    <row r="22" spans="2:18">
      <c r="G22" s="6" t="s">
        <v>132</v>
      </c>
    </row>
    <row r="23" spans="2:18">
      <c r="G23" s="7" t="s">
        <v>133</v>
      </c>
      <c r="P23" s="8">
        <f>78/100000</f>
        <v>7.7999999999999999E-4</v>
      </c>
    </row>
    <row r="24" spans="2:18">
      <c r="B24" s="4" t="s">
        <v>134</v>
      </c>
      <c r="C24" t="s">
        <v>135</v>
      </c>
      <c r="G24" s="2" t="s">
        <v>131</v>
      </c>
    </row>
    <row r="25" spans="2:18">
      <c r="G25" s="6" t="s">
        <v>136</v>
      </c>
    </row>
    <row r="26" spans="2:18">
      <c r="C26" s="4" t="s">
        <v>40</v>
      </c>
    </row>
    <row r="30" spans="2:18">
      <c r="C30" s="1" t="s">
        <v>114</v>
      </c>
    </row>
    <row r="31" spans="2:18">
      <c r="C31" s="4" t="s">
        <v>137</v>
      </c>
      <c r="F31" s="2" t="s">
        <v>138</v>
      </c>
    </row>
    <row r="32" spans="2:18">
      <c r="C32" s="4" t="s">
        <v>139</v>
      </c>
      <c r="F32" s="2" t="s">
        <v>140</v>
      </c>
    </row>
    <row r="33" spans="3:7">
      <c r="C33" s="4" t="s">
        <v>35</v>
      </c>
      <c r="F33" s="2" t="s">
        <v>141</v>
      </c>
    </row>
    <row r="34" spans="3:7">
      <c r="C34" s="4" t="s">
        <v>142</v>
      </c>
      <c r="F34" s="2" t="s">
        <v>143</v>
      </c>
      <c r="G34" s="2" t="s">
        <v>144</v>
      </c>
    </row>
    <row r="35" spans="3:7">
      <c r="C35" s="4" t="s">
        <v>145</v>
      </c>
      <c r="F35" s="2" t="s">
        <v>141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0AB0-EC6A-4526-84FC-738262C04DD4}">
  <dimension ref="C15:L20"/>
  <sheetViews>
    <sheetView workbookViewId="0">
      <selection activeCell="C20" sqref="C20"/>
    </sheetView>
  </sheetViews>
  <sheetFormatPr defaultRowHeight="14.45"/>
  <sheetData>
    <row r="15" spans="3:3">
      <c r="C15" s="4" t="s">
        <v>146</v>
      </c>
    </row>
    <row r="17" spans="3:12">
      <c r="C17" t="s">
        <v>147</v>
      </c>
    </row>
    <row r="18" spans="3:12">
      <c r="C18" t="s">
        <v>148</v>
      </c>
      <c r="L18" s="2" t="s">
        <v>149</v>
      </c>
    </row>
    <row r="20" spans="3:12">
      <c r="C20" s="4" t="s">
        <v>150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4E56F-B037-4254-A8FE-B243C594FDE6}">
  <dimension ref="D9"/>
  <sheetViews>
    <sheetView workbookViewId="0">
      <selection activeCell="D9" sqref="D9"/>
    </sheetView>
  </sheetViews>
  <sheetFormatPr defaultRowHeight="14.45"/>
  <sheetData>
    <row r="9" spans="4:4">
      <c r="D9" s="4" t="s">
        <v>151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761D-D50E-44A6-93CD-D97843D98CBF}">
  <dimension ref="C18"/>
  <sheetViews>
    <sheetView workbookViewId="0">
      <selection activeCell="B21" sqref="B21"/>
    </sheetView>
  </sheetViews>
  <sheetFormatPr defaultRowHeight="14.45"/>
  <sheetData>
    <row r="18" spans="3:3">
      <c r="C18" s="4" t="s">
        <v>152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FC3C17DE-7357-429D-A7F6-5452FDFD8CB3}"/>
</file>

<file path=customXml/itemProps2.xml><?xml version="1.0" encoding="utf-8"?>
<ds:datastoreItem xmlns:ds="http://schemas.openxmlformats.org/officeDocument/2006/customXml" ds:itemID="{35109E0F-441E-4727-AF0E-A855C3456334}"/>
</file>

<file path=customXml/itemProps3.xml><?xml version="1.0" encoding="utf-8"?>
<ds:datastoreItem xmlns:ds="http://schemas.openxmlformats.org/officeDocument/2006/customXml" ds:itemID="{1A242B5A-DEB9-4961-9FA0-49CEB90CBB26}"/>
</file>

<file path=customXml/itemProps4.xml><?xml version="1.0" encoding="utf-8"?>
<ds:datastoreItem xmlns:ds="http://schemas.openxmlformats.org/officeDocument/2006/customXml" ds:itemID="{115F427A-29BF-4DC1-9384-84164FBAA8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Jacob Smycz</cp:lastModifiedBy>
  <cp:revision/>
  <dcterms:created xsi:type="dcterms:W3CDTF">2024-08-15T13:47:29Z</dcterms:created>
  <dcterms:modified xsi:type="dcterms:W3CDTF">2024-10-07T15:49:34Z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Client_x0020_Project">
    <vt:lpwstr/>
  </property>
</Properties>
</file>