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"/>
    </mc:Choice>
  </mc:AlternateContent>
  <xr:revisionPtr revIDLastSave="16" documentId="8_{41FD1BA9-6403-5E4D-82E9-9A27F35BB0A3}" xr6:coauthVersionLast="47" xr6:coauthVersionMax="47" xr10:uidLastSave="{01C884C4-7855-422C-8EDF-A9BFC7F1BFD0}"/>
  <bookViews>
    <workbookView xWindow="0" yWindow="500" windowWidth="37520" windowHeight="21100" firstSheet="1" xr2:uid="{8A26B301-55E5-894C-BFA4-9B80F5EEA406}"/>
  </bookViews>
  <sheets>
    <sheet name="PROD" sheetId="1" r:id="rId1"/>
    <sheet name="UAT" sheetId="2" r:id="rId2"/>
  </sheets>
  <definedNames>
    <definedName name="_xlnm._FilterDatabase" localSheetId="0" hidden="1">PROD!$A$1:$I$212</definedName>
    <definedName name="_xlnm._FilterDatabase" localSheetId="1" hidden="1">UAT!$A$1:$I$204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" i="1"/>
  <c r="H3" i="2"/>
  <c r="I3" i="2" s="1"/>
  <c r="H4" i="2"/>
  <c r="H5" i="2"/>
  <c r="H6" i="2"/>
  <c r="H7" i="2"/>
  <c r="H8" i="2"/>
  <c r="H9" i="2"/>
  <c r="H10" i="2"/>
  <c r="H11" i="2"/>
  <c r="I11" i="2" s="1"/>
  <c r="H12" i="2"/>
  <c r="H13" i="2"/>
  <c r="H14" i="2"/>
  <c r="H15" i="2"/>
  <c r="H16" i="2"/>
  <c r="H17" i="2"/>
  <c r="H18" i="2"/>
  <c r="H19" i="2"/>
  <c r="I19" i="2" s="1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I83" i="2" s="1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" i="2"/>
  <c r="I42" i="2" l="1"/>
  <c r="I7" i="1"/>
  <c r="I170" i="2"/>
  <c r="I195" i="2"/>
  <c r="I179" i="2"/>
  <c r="I155" i="2"/>
  <c r="I139" i="2"/>
  <c r="I131" i="2"/>
  <c r="I115" i="2"/>
  <c r="I99" i="2"/>
  <c r="I91" i="2"/>
  <c r="I75" i="2"/>
  <c r="I51" i="2"/>
  <c r="I43" i="2"/>
  <c r="I35" i="2"/>
  <c r="I162" i="2"/>
  <c r="I177" i="2"/>
  <c r="I137" i="2"/>
  <c r="I105" i="2"/>
  <c r="I65" i="2"/>
  <c r="I192" i="2"/>
  <c r="I168" i="2"/>
  <c r="I144" i="2"/>
  <c r="I112" i="2"/>
  <c r="I88" i="2"/>
  <c r="I56" i="2"/>
  <c r="I183" i="2"/>
  <c r="I167" i="2"/>
  <c r="I143" i="2"/>
  <c r="I119" i="2"/>
  <c r="I95" i="2"/>
  <c r="I71" i="2"/>
  <c r="I55" i="2"/>
  <c r="I204" i="2"/>
  <c r="I196" i="2"/>
  <c r="I188" i="2"/>
  <c r="I180" i="2"/>
  <c r="I172" i="2"/>
  <c r="I164" i="2"/>
  <c r="I156" i="2"/>
  <c r="I148" i="2"/>
  <c r="I140" i="2"/>
  <c r="I132" i="2"/>
  <c r="I124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I4" i="2"/>
  <c r="I194" i="2"/>
  <c r="I203" i="2"/>
  <c r="I187" i="2"/>
  <c r="I171" i="2"/>
  <c r="I163" i="2"/>
  <c r="I147" i="2"/>
  <c r="I123" i="2"/>
  <c r="I107" i="2"/>
  <c r="I67" i="2"/>
  <c r="I59" i="2"/>
  <c r="I154" i="2"/>
  <c r="I146" i="2"/>
  <c r="I122" i="2"/>
  <c r="I114" i="2"/>
  <c r="I98" i="2"/>
  <c r="I90" i="2"/>
  <c r="I82" i="2"/>
  <c r="I58" i="2"/>
  <c r="I50" i="2"/>
  <c r="I34" i="2"/>
  <c r="I26" i="2"/>
  <c r="I18" i="2"/>
  <c r="I10" i="2"/>
  <c r="I138" i="2"/>
  <c r="I201" i="2"/>
  <c r="I169" i="2"/>
  <c r="I129" i="2"/>
  <c r="I89" i="2"/>
  <c r="I49" i="2"/>
  <c r="I33" i="2"/>
  <c r="I25" i="2"/>
  <c r="I17" i="2"/>
  <c r="I9" i="2"/>
  <c r="I130" i="2"/>
  <c r="I27" i="2"/>
  <c r="I185" i="2"/>
  <c r="I145" i="2"/>
  <c r="I97" i="2"/>
  <c r="I41" i="2"/>
  <c r="I176" i="2"/>
  <c r="I136" i="2"/>
  <c r="I96" i="2"/>
  <c r="I72" i="2"/>
  <c r="I48" i="2"/>
  <c r="I40" i="2"/>
  <c r="I32" i="2"/>
  <c r="I24" i="2"/>
  <c r="I16" i="2"/>
  <c r="I8" i="2"/>
  <c r="I106" i="2"/>
  <c r="I186" i="2"/>
  <c r="I161" i="2"/>
  <c r="I121" i="2"/>
  <c r="I73" i="2"/>
  <c r="I200" i="2"/>
  <c r="I152" i="2"/>
  <c r="I120" i="2"/>
  <c r="I64" i="2"/>
  <c r="I191" i="2"/>
  <c r="I151" i="2"/>
  <c r="I111" i="2"/>
  <c r="I87" i="2"/>
  <c r="I63" i="2"/>
  <c r="I47" i="2"/>
  <c r="I39" i="2"/>
  <c r="I31" i="2"/>
  <c r="I23" i="2"/>
  <c r="I7" i="2"/>
  <c r="I2" i="1"/>
  <c r="I74" i="2"/>
  <c r="I198" i="2"/>
  <c r="I190" i="2"/>
  <c r="I182" i="2"/>
  <c r="I174" i="2"/>
  <c r="I166" i="2"/>
  <c r="I158" i="2"/>
  <c r="I150" i="2"/>
  <c r="I142" i="2"/>
  <c r="I134" i="2"/>
  <c r="I126" i="2"/>
  <c r="I118" i="2"/>
  <c r="I110" i="2"/>
  <c r="I102" i="2"/>
  <c r="I94" i="2"/>
  <c r="I86" i="2"/>
  <c r="I78" i="2"/>
  <c r="I70" i="2"/>
  <c r="I62" i="2"/>
  <c r="I54" i="2"/>
  <c r="I46" i="2"/>
  <c r="I38" i="2"/>
  <c r="I30" i="2"/>
  <c r="I22" i="2"/>
  <c r="I14" i="2"/>
  <c r="I6" i="2"/>
  <c r="I66" i="2"/>
  <c r="I178" i="2"/>
  <c r="I193" i="2"/>
  <c r="I153" i="2"/>
  <c r="I113" i="2"/>
  <c r="I81" i="2"/>
  <c r="I57" i="2"/>
  <c r="I184" i="2"/>
  <c r="I160" i="2"/>
  <c r="I128" i="2"/>
  <c r="I104" i="2"/>
  <c r="I80" i="2"/>
  <c r="I199" i="2"/>
  <c r="I175" i="2"/>
  <c r="I159" i="2"/>
  <c r="I135" i="2"/>
  <c r="I127" i="2"/>
  <c r="I103" i="2"/>
  <c r="I79" i="2"/>
  <c r="I15" i="2"/>
  <c r="I197" i="2"/>
  <c r="I189" i="2"/>
  <c r="I181" i="2"/>
  <c r="I173" i="2"/>
  <c r="I165" i="2"/>
  <c r="I157" i="2"/>
  <c r="I149" i="2"/>
  <c r="I141" i="2"/>
  <c r="I133" i="2"/>
  <c r="I125" i="2"/>
  <c r="I117" i="2"/>
  <c r="I109" i="2"/>
  <c r="I101" i="2"/>
  <c r="I93" i="2"/>
  <c r="I85" i="2"/>
  <c r="I77" i="2"/>
  <c r="I69" i="2"/>
  <c r="I61" i="2"/>
  <c r="I53" i="2"/>
  <c r="I45" i="2"/>
  <c r="I37" i="2"/>
  <c r="I29" i="2"/>
  <c r="I21" i="2"/>
  <c r="I13" i="2"/>
  <c r="I202" i="2"/>
  <c r="I32" i="1"/>
  <c r="I208" i="1"/>
  <c r="I190" i="1"/>
  <c r="I159" i="1"/>
  <c r="I127" i="1"/>
  <c r="I95" i="1"/>
  <c r="I63" i="1"/>
  <c r="I31" i="1"/>
  <c r="I192" i="1"/>
  <c r="I167" i="1"/>
  <c r="I135" i="1"/>
  <c r="I103" i="1"/>
  <c r="I71" i="1"/>
  <c r="I39" i="1"/>
  <c r="I191" i="1"/>
  <c r="I160" i="1"/>
  <c r="I128" i="1"/>
  <c r="I96" i="1"/>
  <c r="I64" i="1"/>
  <c r="I9" i="1"/>
  <c r="I8" i="1"/>
  <c r="I207" i="1"/>
  <c r="I184" i="1"/>
  <c r="I152" i="1"/>
  <c r="I120" i="1"/>
  <c r="I88" i="1"/>
  <c r="I56" i="1"/>
  <c r="I24" i="1"/>
  <c r="I206" i="1"/>
  <c r="I151" i="1"/>
  <c r="I87" i="1"/>
  <c r="I55" i="1"/>
  <c r="I23" i="1"/>
  <c r="I200" i="1"/>
  <c r="I176" i="1"/>
  <c r="I144" i="1"/>
  <c r="I112" i="1"/>
  <c r="I80" i="1"/>
  <c r="I48" i="1"/>
  <c r="I16" i="1"/>
  <c r="I183" i="1"/>
  <c r="I119" i="1"/>
  <c r="I199" i="1"/>
  <c r="I175" i="1"/>
  <c r="I143" i="1"/>
  <c r="I111" i="1"/>
  <c r="I79" i="1"/>
  <c r="I47" i="1"/>
  <c r="I15" i="1"/>
  <c r="I198" i="1"/>
  <c r="I168" i="1"/>
  <c r="I136" i="1"/>
  <c r="I104" i="1"/>
  <c r="I72" i="1"/>
  <c r="I40" i="1"/>
  <c r="I30" i="1"/>
  <c r="I5" i="1"/>
  <c r="I158" i="1"/>
  <c r="I22" i="1"/>
  <c r="I205" i="1"/>
  <c r="I13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" i="1"/>
  <c r="I174" i="1"/>
  <c r="I150" i="1"/>
  <c r="I134" i="1"/>
  <c r="I126" i="1"/>
  <c r="I110" i="1"/>
  <c r="I86" i="1"/>
  <c r="I70" i="1"/>
  <c r="I54" i="1"/>
  <c r="I38" i="1"/>
  <c r="I6" i="1"/>
  <c r="I197" i="1"/>
  <c r="I181" i="1"/>
  <c r="I157" i="1"/>
  <c r="I149" i="1"/>
  <c r="I133" i="1"/>
  <c r="I117" i="1"/>
  <c r="I101" i="1"/>
  <c r="I85" i="1"/>
  <c r="I69" i="1"/>
  <c r="I53" i="1"/>
  <c r="I37" i="1"/>
  <c r="I21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2" i="2"/>
  <c r="I5" i="2"/>
  <c r="I182" i="1"/>
  <c r="I166" i="1"/>
  <c r="I142" i="1"/>
  <c r="I118" i="1"/>
  <c r="I102" i="1"/>
  <c r="I94" i="1"/>
  <c r="I78" i="1"/>
  <c r="I62" i="1"/>
  <c r="I46" i="1"/>
  <c r="I14" i="1"/>
  <c r="I189" i="1"/>
  <c r="I173" i="1"/>
  <c r="I165" i="1"/>
  <c r="I141" i="1"/>
  <c r="I125" i="1"/>
  <c r="I109" i="1"/>
  <c r="I93" i="1"/>
  <c r="I77" i="1"/>
  <c r="I61" i="1"/>
  <c r="I45" i="1"/>
  <c r="I29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</calcChain>
</file>

<file path=xl/sharedStrings.xml><?xml version="1.0" encoding="utf-8"?>
<sst xmlns="http://schemas.openxmlformats.org/spreadsheetml/2006/main" count="2912" uniqueCount="615">
  <si>
    <t>_</t>
  </si>
  <si>
    <t>Id</t>
  </si>
  <si>
    <t>UserOrGroupId</t>
  </si>
  <si>
    <t>UserOrGroup</t>
  </si>
  <si>
    <t>UserOrGroup.Name</t>
  </si>
  <si>
    <t>Group</t>
  </si>
  <si>
    <t>Group.Name</t>
  </si>
  <si>
    <t>[GroupMember]</t>
  </si>
  <si>
    <t>011Nz000003DNSkIAO</t>
  </si>
  <si>
    <t>0058d0000034KXaAAM</t>
  </si>
  <si>
    <t>[User]</t>
  </si>
  <si>
    <t>Mohammed Khan</t>
  </si>
  <si>
    <t>[Group]</t>
  </si>
  <si>
    <t>Abbeville Apartments</t>
  </si>
  <si>
    <t>011Nz000004Trl7IAC</t>
  </si>
  <si>
    <t>0054J000004vXOnQAM</t>
  </si>
  <si>
    <t>Jemma Herring</t>
  </si>
  <si>
    <t>011Nz000004Trl8IAC</t>
  </si>
  <si>
    <t>0054J000005JMoIQAW</t>
  </si>
  <si>
    <t>Fatma Azakli</t>
  </si>
  <si>
    <t>011Nz000003DNSxIAO</t>
  </si>
  <si>
    <t>0058d000005RclOAAS</t>
  </si>
  <si>
    <t>Harriet Shaw</t>
  </si>
  <si>
    <t>AM: BTR-London</t>
  </si>
  <si>
    <t>011Nz000003DNRwIAO</t>
  </si>
  <si>
    <t>0054J000004vm8YQAQ</t>
  </si>
  <si>
    <t>Vicki Turnbull</t>
  </si>
  <si>
    <t>AM: BTR-Regions</t>
  </si>
  <si>
    <t>011Nz000003DNS2IAO</t>
  </si>
  <si>
    <t>0054J000004vm9KQAQ</t>
  </si>
  <si>
    <t>Sarah Norstrom</t>
  </si>
  <si>
    <t>AM: New Launches</t>
  </si>
  <si>
    <t>011Nz000003DNSQIA4</t>
  </si>
  <si>
    <t>0058d000001yXepAAE</t>
  </si>
  <si>
    <t>Daisy Stuckey</t>
  </si>
  <si>
    <t>AM: PRS-London</t>
  </si>
  <si>
    <t>011Nz000003DNSPIA4</t>
  </si>
  <si>
    <t>0058d000000muLYAAY</t>
  </si>
  <si>
    <t>Alexa Byrne</t>
  </si>
  <si>
    <t>011Nz000003DNRxIAO</t>
  </si>
  <si>
    <t>AM: PRS-Regions</t>
  </si>
  <si>
    <t>011Nz000003EdnzIAC</t>
  </si>
  <si>
    <t>0058d000005ToH7AAK</t>
  </si>
  <si>
    <t>Suna Uyar</t>
  </si>
  <si>
    <t>Apex Gardens Team</t>
  </si>
  <si>
    <t>011Nz000003DNSWIA4</t>
  </si>
  <si>
    <t>0058d0000021IvSAAU</t>
  </si>
  <si>
    <t>Nicole Freeman</t>
  </si>
  <si>
    <t>011Nz000003DXRAIA4</t>
  </si>
  <si>
    <t>005Nz000000PrlvIAC</t>
  </si>
  <si>
    <t>Tina Bedeau</t>
  </si>
  <si>
    <t>011Nz000003DXR5IAO</t>
  </si>
  <si>
    <t>005Nz000000ImixIAC</t>
  </si>
  <si>
    <t>Nyijah Bullen</t>
  </si>
  <si>
    <t>011Nz000003DNT5IAO</t>
  </si>
  <si>
    <t>0058d000006cbqpAAA</t>
  </si>
  <si>
    <t>Holly Boggis</t>
  </si>
  <si>
    <t>Argo Apartments Team</t>
  </si>
  <si>
    <t>011Nz000003DXR8IAO</t>
  </si>
  <si>
    <t>005Nz000000O0DPIA0</t>
  </si>
  <si>
    <t>Shahan Hussain</t>
  </si>
  <si>
    <t>011Nz000003EdnpIAC</t>
  </si>
  <si>
    <t>005Nz000000R0K6IAK</t>
  </si>
  <si>
    <t>Harry Furniss</t>
  </si>
  <si>
    <t>Brook Place Team</t>
  </si>
  <si>
    <t>011Nz000003EdnoIAC</t>
  </si>
  <si>
    <t>0058d0000034KliAAE</t>
  </si>
  <si>
    <t>Isaac Turner</t>
  </si>
  <si>
    <t>011Nz000003DNSaIAO</t>
  </si>
  <si>
    <t>0058d0000034c7KAAQ</t>
  </si>
  <si>
    <t>Emma Cramer-Mitchell</t>
  </si>
  <si>
    <t>011Nz0000000ExTIAU</t>
  </si>
  <si>
    <t>0058d0000043sJEAAY</t>
  </si>
  <si>
    <t>Ezekiel Akinjagunla</t>
  </si>
  <si>
    <t>BTR South Lead Queue</t>
  </si>
  <si>
    <t>011Nz0000000ExVIAU</t>
  </si>
  <si>
    <t>0058d000004D2IcAAK</t>
  </si>
  <si>
    <t>Arnaldo Bolivar</t>
  </si>
  <si>
    <t>011Nz0000000ExRIAU</t>
  </si>
  <si>
    <t>0054J000004vXOoQAM</t>
  </si>
  <si>
    <t>Rachel Ofili</t>
  </si>
  <si>
    <t>011Nz0000000ExSIAU</t>
  </si>
  <si>
    <t>0058d0000034c7LAAQ</t>
  </si>
  <si>
    <t>Geoffrey Eze</t>
  </si>
  <si>
    <t>011Nz0000000ExUIAU</t>
  </si>
  <si>
    <t>0058d0000043sEOAAY</t>
  </si>
  <si>
    <t>Wesley Greaves</t>
  </si>
  <si>
    <t>011Nz000005CR3BIAW</t>
  </si>
  <si>
    <t>005Nz000002q7vWIAQ</t>
  </si>
  <si>
    <t>Leila Law</t>
  </si>
  <si>
    <t>Clippers Quay Team</t>
  </si>
  <si>
    <t>011Nz000003EdnrIAC</t>
  </si>
  <si>
    <t>0058d0000034KtEAAU</t>
  </si>
  <si>
    <t>Shalma Nibbs</t>
  </si>
  <si>
    <t>011Nz000003cBYeIAM</t>
  </si>
  <si>
    <t>0058d0000034KmgAAE</t>
  </si>
  <si>
    <t>Trudy Yates</t>
  </si>
  <si>
    <t>011Nz000003cBYdIAM</t>
  </si>
  <si>
    <t>0058d0000034Km7AAE</t>
  </si>
  <si>
    <t>Shaun Sidibe</t>
  </si>
  <si>
    <t>011Nz000003cBYbIAM</t>
  </si>
  <si>
    <t>0058d0000034Km2AAE</t>
  </si>
  <si>
    <t>Jessica Illingworth</t>
  </si>
  <si>
    <t>011Nz000003DNS1IAO</t>
  </si>
  <si>
    <t>0054J000004vm9DQAQ</t>
  </si>
  <si>
    <t>Helen Bowers</t>
  </si>
  <si>
    <t>011Nz000003EdnqIAC</t>
  </si>
  <si>
    <t>0058d000004H4neAAC</t>
  </si>
  <si>
    <t>Darren Pritchard</t>
  </si>
  <si>
    <t>011Nz000003cBYcIAM</t>
  </si>
  <si>
    <t>0058d000006c3QUAAY</t>
  </si>
  <si>
    <t>Chiara Manfron</t>
  </si>
  <si>
    <t>011Nz000003DNTAIA4</t>
  </si>
  <si>
    <t>0058d000006d4S2AAI</t>
  </si>
  <si>
    <t>Haginson Mtuku</t>
  </si>
  <si>
    <t>011Nz000003EdnsIAC</t>
  </si>
  <si>
    <t>0058d000004GtmhAAC</t>
  </si>
  <si>
    <t>Connor Berry</t>
  </si>
  <si>
    <t>011Nz000003jkTCIAY</t>
  </si>
  <si>
    <t>0054J000004vXOYQA2</t>
  </si>
  <si>
    <t>Ruben Cancio</t>
  </si>
  <si>
    <t>Copperworks Team</t>
  </si>
  <si>
    <t>011Nz000003jkTBIAY</t>
  </si>
  <si>
    <t>0054J000004vXOWQA2</t>
  </si>
  <si>
    <t>Colette Taylor</t>
  </si>
  <si>
    <t>011Nz000003DNSbIAO</t>
  </si>
  <si>
    <t>0058d0000034e9SAAQ</t>
  </si>
  <si>
    <t>Jasmine Roberts</t>
  </si>
  <si>
    <t>011Nz000003DNSrIAO</t>
  </si>
  <si>
    <t>0058d000004En5hAAC</t>
  </si>
  <si>
    <t>Karen Meek</t>
  </si>
  <si>
    <t>011Nz000003DNSZIA4</t>
  </si>
  <si>
    <t>0058d00000348B4AAI</t>
  </si>
  <si>
    <t>Joanne Wraith</t>
  </si>
  <si>
    <t>Customer Service Team</t>
  </si>
  <si>
    <t>011Nz000003DNSNIA4</t>
  </si>
  <si>
    <t>0054J000006BlkxQAC</t>
  </si>
  <si>
    <t>Lynn Robson</t>
  </si>
  <si>
    <t>011Nz000003DXRRIA4</t>
  </si>
  <si>
    <t>005Nz0000020w1FIAQ</t>
  </si>
  <si>
    <t>Hugh Peel</t>
  </si>
  <si>
    <t>011Nz000003DXRUIA4</t>
  </si>
  <si>
    <t>005Nz0000020vgHIAQ</t>
  </si>
  <si>
    <t>Conor Howlin</t>
  </si>
  <si>
    <t>011Nz000003DXRVIA4</t>
  </si>
  <si>
    <t>005Nz0000020wIzIAI</t>
  </si>
  <si>
    <t>Matthew Grayton</t>
  </si>
  <si>
    <t>011Nz000003DXRQIA4</t>
  </si>
  <si>
    <t>005Nz0000020vGTIAY</t>
  </si>
  <si>
    <t>Bradley Brown</t>
  </si>
  <si>
    <t>011Nz000003DNTGIA4</t>
  </si>
  <si>
    <t>005Nz000000AzrqIAC</t>
  </si>
  <si>
    <t>Gav Rowley</t>
  </si>
  <si>
    <t>011Nz000003DXRTIA4</t>
  </si>
  <si>
    <t>005Nz0000023yjFIAQ</t>
  </si>
  <si>
    <t>Tayla Bonwick</t>
  </si>
  <si>
    <t>011Nz000003DNSsIAO</t>
  </si>
  <si>
    <t>0058d000004FsUgAAK</t>
  </si>
  <si>
    <t>Jacqui Dobson</t>
  </si>
  <si>
    <t>011Nz000003DNTIIA4</t>
  </si>
  <si>
    <t>005Nz000000C72YIAS</t>
  </si>
  <si>
    <t>Tina Viragh</t>
  </si>
  <si>
    <t>Enigma Square Team</t>
  </si>
  <si>
    <t>011Nz000003sP2vIAE</t>
  </si>
  <si>
    <t>005Nz000000KDSXIA4</t>
  </si>
  <si>
    <t>Danielle Stewart</t>
  </si>
  <si>
    <t>011Nz000003DXRDIA4</t>
  </si>
  <si>
    <t>005Nz0000013xmDIAQ</t>
  </si>
  <si>
    <t>Barbara Kaszuba</t>
  </si>
  <si>
    <t>011Nz000003DXRCIA4</t>
  </si>
  <si>
    <t>005Nz0000013xmEIAQ</t>
  </si>
  <si>
    <t>Josh Niles</t>
  </si>
  <si>
    <t>011Nz000004nIEPIA2</t>
  </si>
  <si>
    <t>005Nz000002TJ6AIAW</t>
  </si>
  <si>
    <t>Michelle Rafferty</t>
  </si>
  <si>
    <t>011Nz000005v6kCIAQ</t>
  </si>
  <si>
    <t>005Nz000002mlzaIAA</t>
  </si>
  <si>
    <t>Abigail Unger</t>
  </si>
  <si>
    <t>011Nz000003EdnvIAC</t>
  </si>
  <si>
    <t>0058d00000343K8AAI</t>
  </si>
  <si>
    <t>Grace Fiske</t>
  </si>
  <si>
    <t>011Nz000004n9r4IAA</t>
  </si>
  <si>
    <t>0058d0000034c7JAAQ</t>
  </si>
  <si>
    <t>Sharon Goyder-Smith</t>
  </si>
  <si>
    <t>011Nz000003pEYxIAM</t>
  </si>
  <si>
    <t>0054J000004wZgCQAU</t>
  </si>
  <si>
    <t>Georgia Davis</t>
  </si>
  <si>
    <t>EOT Lettings South</t>
  </si>
  <si>
    <t>011Nz000003DRX3IAO</t>
  </si>
  <si>
    <t>0058d000001yXerAAE</t>
  </si>
  <si>
    <t>Gemma Gavin</t>
  </si>
  <si>
    <t>011Nz000003DNT3IAO</t>
  </si>
  <si>
    <t>0058d000006bn2jAAA</t>
  </si>
  <si>
    <t>Scott Cooley</t>
  </si>
  <si>
    <t>Finance Team</t>
  </si>
  <si>
    <t>011Nz000003DXRPIA4</t>
  </si>
  <si>
    <t>005Nz000000ZInOIAW</t>
  </si>
  <si>
    <t>Margaret Alston</t>
  </si>
  <si>
    <t>011Nz000003DNSCIA4</t>
  </si>
  <si>
    <t>0054J000004vXPIQA2</t>
  </si>
  <si>
    <t>Alison Adamson</t>
  </si>
  <si>
    <t>011Nz000003DNSBIA4</t>
  </si>
  <si>
    <t>0054J000004vXPHQA2</t>
  </si>
  <si>
    <t>Anne Stephenson</t>
  </si>
  <si>
    <t>011Nz000003DNS7IAO</t>
  </si>
  <si>
    <t>0054J000004vXOyQAM</t>
  </si>
  <si>
    <t>Melanie Haughey</t>
  </si>
  <si>
    <t>011Nz000003DNSMIA4</t>
  </si>
  <si>
    <t>0054J000006BlkiQAC</t>
  </si>
  <si>
    <t>Grace Thompson</t>
  </si>
  <si>
    <t>011Nz000003DNTDIA4</t>
  </si>
  <si>
    <t>0058d000006dXh7AAE</t>
  </si>
  <si>
    <t>Melanie Cain</t>
  </si>
  <si>
    <t>011Nz000003DNSGIA4</t>
  </si>
  <si>
    <t>0054J000004vXPNQA2</t>
  </si>
  <si>
    <t>Kirsty Marrin</t>
  </si>
  <si>
    <t>011Nz000003DNSFIA4</t>
  </si>
  <si>
    <t>0054J000004vXPMQA2</t>
  </si>
  <si>
    <t>Helen Bell</t>
  </si>
  <si>
    <t>011Nz000003DNSEIA4</t>
  </si>
  <si>
    <t>0054J000004vXPLQA2</t>
  </si>
  <si>
    <t>Hazel Armstrong</t>
  </si>
  <si>
    <t>011Nz000003DNSDIA4</t>
  </si>
  <si>
    <t>0054J000004vXPJQA2</t>
  </si>
  <si>
    <t>Lesley Richardson</t>
  </si>
  <si>
    <t>011Nz000003DNSoIAO</t>
  </si>
  <si>
    <t>0058d0000034L6QAAU</t>
  </si>
  <si>
    <t>Alice Shaw</t>
  </si>
  <si>
    <t>Gatehouse Team</t>
  </si>
  <si>
    <t>011Nz000004y9xPIAQ</t>
  </si>
  <si>
    <t>011Nz000003DXRGIA4</t>
  </si>
  <si>
    <t>005Nz000001xLUaIAM</t>
  </si>
  <si>
    <t>Rimvydas Tumas</t>
  </si>
  <si>
    <t>011Nz000003DNSHIA4</t>
  </si>
  <si>
    <t>0054J000004waNuQAI</t>
  </si>
  <si>
    <t>Treasa Larke</t>
  </si>
  <si>
    <t>011Nz000003DNSmIAO</t>
  </si>
  <si>
    <t>0058d0000034KYTAA2</t>
  </si>
  <si>
    <t>Hayley Fry</t>
  </si>
  <si>
    <t>011Nz000003DNSnIAO</t>
  </si>
  <si>
    <t>0058d0000034KZ2AAM</t>
  </si>
  <si>
    <t>Zara Gulistan</t>
  </si>
  <si>
    <t>Gilders Yard Team</t>
  </si>
  <si>
    <t>011Nz000003DNSSIA4</t>
  </si>
  <si>
    <t>0058d000001zVWjAAM</t>
  </si>
  <si>
    <t>James Bell</t>
  </si>
  <si>
    <t>011Nz000003EdnxIAC</t>
  </si>
  <si>
    <t>0058d0000034KYsAAM</t>
  </si>
  <si>
    <t>Gurinder Punia</t>
  </si>
  <si>
    <t>011Nz000003EdnyIAC</t>
  </si>
  <si>
    <t>0058d000004FHK0AAO</t>
  </si>
  <si>
    <t>Sonia Duffus</t>
  </si>
  <si>
    <t>011Nz000006bzxHIAQ</t>
  </si>
  <si>
    <t>005Nz000003WvZKIA0</t>
  </si>
  <si>
    <t>Neil Persad</t>
  </si>
  <si>
    <t>011Nz00000807OIIAY</t>
  </si>
  <si>
    <t>005Nz000005AcxDIAS</t>
  </si>
  <si>
    <t>Augustina Borsos</t>
  </si>
  <si>
    <t>011Nz000003DNSqIAO</t>
  </si>
  <si>
    <t>0058d000004DM6nAAG</t>
  </si>
  <si>
    <t>Owen Reed</t>
  </si>
  <si>
    <t>Hawkins &amp; George Team</t>
  </si>
  <si>
    <t>011Nz000006jSj3IAE</t>
  </si>
  <si>
    <t>005Nz0000040HJWIA2</t>
  </si>
  <si>
    <t>Lana Denness</t>
  </si>
  <si>
    <t>011Nz000003DNSKIA4</t>
  </si>
  <si>
    <t>0054J000005JMoGQAW</t>
  </si>
  <si>
    <t>Sarah Regan</t>
  </si>
  <si>
    <t>011Nz000003DNSYIA4</t>
  </si>
  <si>
    <t>0058d00000348ApAAI</t>
  </si>
  <si>
    <t>Craig Parkinson</t>
  </si>
  <si>
    <t>011Nz000004EIZ3IAO</t>
  </si>
  <si>
    <t>005Nz000002LRH0IAO</t>
  </si>
  <si>
    <t>Alexandra Claridge</t>
  </si>
  <si>
    <t>011Nz000004E85BIAS</t>
  </si>
  <si>
    <t>005Nz000002LMpCIAW</t>
  </si>
  <si>
    <t>Henry Kaputa</t>
  </si>
  <si>
    <t>011Nz000003DNT0IAO</t>
  </si>
  <si>
    <t>0058d000006aMRdAAM</t>
  </si>
  <si>
    <t>Olivia Baker</t>
  </si>
  <si>
    <t>011Nz000007aaXEIAY</t>
  </si>
  <si>
    <t>Lettings Midlands</t>
  </si>
  <si>
    <t>011Nz000003DNT8IAO</t>
  </si>
  <si>
    <t>0058d000006chw3AAA</t>
  </si>
  <si>
    <t>Laxmi Mistry</t>
  </si>
  <si>
    <t>011Nz0000046AonIAE</t>
  </si>
  <si>
    <t>0054J000004vXOhQAM</t>
  </si>
  <si>
    <t>Matas Sutkus</t>
  </si>
  <si>
    <t>011Nz000003DNS5IAO</t>
  </si>
  <si>
    <t>011Nz000003DNSTIA4</t>
  </si>
  <si>
    <t>0058d00000202rVAAQ</t>
  </si>
  <si>
    <t>Deanne Coss</t>
  </si>
  <si>
    <t>Lettings North East</t>
  </si>
  <si>
    <t>011Nz000003DNSLIA4</t>
  </si>
  <si>
    <t>0054J000006BkQgQAK</t>
  </si>
  <si>
    <t>Jack Howe</t>
  </si>
  <si>
    <t>011Nz000003DNS8IAO</t>
  </si>
  <si>
    <t>0054J000004vXOZQA2</t>
  </si>
  <si>
    <t>Nathan White</t>
  </si>
  <si>
    <t>011Nz000003DNSJIA4</t>
  </si>
  <si>
    <t>0054J000004wSINQA2</t>
  </si>
  <si>
    <t>Jack Wellings</t>
  </si>
  <si>
    <t>Lettings North West</t>
  </si>
  <si>
    <t>011Nz000005JyfFIAS</t>
  </si>
  <si>
    <t>011Nz000004PxZLIA0</t>
  </si>
  <si>
    <t>0058d0000043ssPAAQ</t>
  </si>
  <si>
    <t>Fiona Craske</t>
  </si>
  <si>
    <t>011Nz000003DNS6IAO</t>
  </si>
  <si>
    <t>011Nz000003DNS9IAO</t>
  </si>
  <si>
    <t>011Nz000003DNS3IAO</t>
  </si>
  <si>
    <t>0054J000004vXObQAM</t>
  </si>
  <si>
    <t>Lucy Staniland</t>
  </si>
  <si>
    <t>011Nz0000048McMIAU</t>
  </si>
  <si>
    <t>011Nz000007TUWXIA4</t>
  </si>
  <si>
    <t>Lettings South West</t>
  </si>
  <si>
    <t>011Nz000003Yp03IAC</t>
  </si>
  <si>
    <t>011Nz000003DNSAIA4</t>
  </si>
  <si>
    <t>Lettings Wales</t>
  </si>
  <si>
    <t>011Nz000006sweiIAA</t>
  </si>
  <si>
    <t>011Nz000003cBATIA2</t>
  </si>
  <si>
    <t>Manchester Cluster</t>
  </si>
  <si>
    <t>011Nz000003DNSfIAO</t>
  </si>
  <si>
    <t>011Nz000003DNSeIAO</t>
  </si>
  <si>
    <t>011Nz000003DNSdIAO</t>
  </si>
  <si>
    <t>011Nz000008AONrIAO</t>
  </si>
  <si>
    <t>0054J000004wQh7QAE</t>
  </si>
  <si>
    <t>Samantha Lancaster</t>
  </si>
  <si>
    <t>011Nz000003cBAQIA2</t>
  </si>
  <si>
    <t>011Nz0000076cOoIAI</t>
  </si>
  <si>
    <t>005Nz0000047gEkIAI</t>
  </si>
  <si>
    <t>Diana Culea</t>
  </si>
  <si>
    <t>011Nz0000076cOnIAI</t>
  </si>
  <si>
    <t>011Nz0000076cOpIAI</t>
  </si>
  <si>
    <t>005Nz0000045XM2IAM</t>
  </si>
  <si>
    <t>Monica Vatca</t>
  </si>
  <si>
    <t>011Nz000003cBASIA2</t>
  </si>
  <si>
    <t>011Nz000003DNT4IAO</t>
  </si>
  <si>
    <t>011Nz000003cBARIA2</t>
  </si>
  <si>
    <t>011Nz0000000EarIAE</t>
  </si>
  <si>
    <t>0054J000004wOMUQA2</t>
  </si>
  <si>
    <t>Elisabeta Mihalache</t>
  </si>
  <si>
    <t>Midlands Lead Queue</t>
  </si>
  <si>
    <t>011Nz0000000EasIAE</t>
  </si>
  <si>
    <t>011Nz000003DNSuIAO</t>
  </si>
  <si>
    <t>0058d000005QXRuAAO</t>
  </si>
  <si>
    <t>Orsalia Munkeni</t>
  </si>
  <si>
    <t>Millet Place Team</t>
  </si>
  <si>
    <t>011Nz000003DNTBIA4</t>
  </si>
  <si>
    <t>0058d000006d4S3AAI</t>
  </si>
  <si>
    <t>Erelinda Bala</t>
  </si>
  <si>
    <t>011Nz000003DNTFIA4</t>
  </si>
  <si>
    <t>0058d000007SQWFAA4</t>
  </si>
  <si>
    <t>Angela Okhumoya</t>
  </si>
  <si>
    <t>011Nz000008ZSWXIA4</t>
  </si>
  <si>
    <t>005Nz000004ZH27IAG</t>
  </si>
  <si>
    <t>Loong Hoang</t>
  </si>
  <si>
    <t>011Nz000008ZSWYIA4</t>
  </si>
  <si>
    <t>005Nz000004cMoQIAU</t>
  </si>
  <si>
    <t>Rexford Mensah</t>
  </si>
  <si>
    <t>011Nz000003DNSpIAO</t>
  </si>
  <si>
    <t>0058d000004Cx8uAAC</t>
  </si>
  <si>
    <t>Samson Olaniyan</t>
  </si>
  <si>
    <t>011Nz0000000EvrIAE</t>
  </si>
  <si>
    <t>Milton Keynes Lead Queue</t>
  </si>
  <si>
    <t>011Nz0000000EvsIAE</t>
  </si>
  <si>
    <t>011Nz0000000EvqIAE</t>
  </si>
  <si>
    <t>0058d000004E4NCAA0</t>
  </si>
  <si>
    <t>Agata Brennan</t>
  </si>
  <si>
    <t>011Nz0000000EvtIAE</t>
  </si>
  <si>
    <t>011Nz0000000EvpIAE</t>
  </si>
  <si>
    <t>011Nz000003DNSwIAO</t>
  </si>
  <si>
    <t>0058d000005R8xzAAC</t>
  </si>
  <si>
    <t>Simon Healy</t>
  </si>
  <si>
    <t>Nautilus Apartments Team</t>
  </si>
  <si>
    <t>011Nz000003DXRFIA4</t>
  </si>
  <si>
    <t>005Nz0000013sHqIAI</t>
  </si>
  <si>
    <t>Tatyana Gordon</t>
  </si>
  <si>
    <t>011Nz0000000EsbIAE</t>
  </si>
  <si>
    <t>North East Lead Queue</t>
  </si>
  <si>
    <t>011Nz0000000EseIAE</t>
  </si>
  <si>
    <t>0058d000006cI6JAAU</t>
  </si>
  <si>
    <t>Naseem Ahmadi</t>
  </si>
  <si>
    <t>011Nz0000000EscIAE</t>
  </si>
  <si>
    <t>011Nz0000000EsdIAE</t>
  </si>
  <si>
    <t>0058d000000mnkVAAQ</t>
  </si>
  <si>
    <t>Maria Kay</t>
  </si>
  <si>
    <t>011Nz00000012PcIAI</t>
  </si>
  <si>
    <t>0058d000006aqUrAAI</t>
  </si>
  <si>
    <t>Molli Smyth</t>
  </si>
  <si>
    <t>North West Lead Queue</t>
  </si>
  <si>
    <t>011Nz00000012PbIAI</t>
  </si>
  <si>
    <t>011Nz00000012PZIAY</t>
  </si>
  <si>
    <t>011Nz00000012PaIAI</t>
  </si>
  <si>
    <t>011Nz000003DNSiIAO</t>
  </si>
  <si>
    <t>0058d0000034KskAAE</t>
  </si>
  <si>
    <t>Bailey King</t>
  </si>
  <si>
    <t>Pin Yard Team</t>
  </si>
  <si>
    <t>011Nz000003DNTHIA4</t>
  </si>
  <si>
    <t>005Nz000000B1bvIAC</t>
  </si>
  <si>
    <t>Jessica Warnes</t>
  </si>
  <si>
    <t>011Nz000003DXRBIA4</t>
  </si>
  <si>
    <t>005Nz000000kC30IAE</t>
  </si>
  <si>
    <t>Rachel Creer</t>
  </si>
  <si>
    <t>011Nz000003DNSUIA4</t>
  </si>
  <si>
    <t>0058d0000020QoXAAU</t>
  </si>
  <si>
    <t>Ruth Friend</t>
  </si>
  <si>
    <t>011Nz0000000Ez7IAE</t>
  </si>
  <si>
    <t>0058d00000204EOAAY</t>
  </si>
  <si>
    <t>Segun Dickson</t>
  </si>
  <si>
    <t>PRS South Lead Queue</t>
  </si>
  <si>
    <t>011Nz0000000Ez4IAE</t>
  </si>
  <si>
    <t>011Nz0000000Ez3IAE</t>
  </si>
  <si>
    <t>011Nz0000000Ez5IAE</t>
  </si>
  <si>
    <t>011Nz0000000Ez6IAE</t>
  </si>
  <si>
    <t>0054J000004wZgRQAU</t>
  </si>
  <si>
    <t>Jack Gardner</t>
  </si>
  <si>
    <t>011Nz000003DXRNIA4</t>
  </si>
  <si>
    <t>0058d000001yXevAAE</t>
  </si>
  <si>
    <t>Younis Miho</t>
  </si>
  <si>
    <t>PRS: London</t>
  </si>
  <si>
    <t>011Nz00000705TXIAY</t>
  </si>
  <si>
    <t>005Nz000003qgsgIAA</t>
  </si>
  <si>
    <t>Leona Wilkinson</t>
  </si>
  <si>
    <t>011Nz000003DXRJIA4</t>
  </si>
  <si>
    <t>0054J000004vm8oQAA</t>
  </si>
  <si>
    <t>Miranda Rowe</t>
  </si>
  <si>
    <t>011Nz000003DXRMIA4</t>
  </si>
  <si>
    <t>0054J000004vm8hQAA</t>
  </si>
  <si>
    <t>Robert Steel</t>
  </si>
  <si>
    <t>011Nz000003DXROIA4</t>
  </si>
  <si>
    <t>0054J000004vm8GQAQ</t>
  </si>
  <si>
    <t>Yvonne Leggett</t>
  </si>
  <si>
    <t>011Nz000003cQqzIAE</t>
  </si>
  <si>
    <t>0054J000004vm7wQAA</t>
  </si>
  <si>
    <t>Leah Lakomski</t>
  </si>
  <si>
    <t>011Nz000006vTqJIAU</t>
  </si>
  <si>
    <t>0054J000004vm8qQAA</t>
  </si>
  <si>
    <t>Nicholas Holmes</t>
  </si>
  <si>
    <t>011Nz000003DXRLIA4</t>
  </si>
  <si>
    <t>0054J000004vm8pQAA</t>
  </si>
  <si>
    <t>Nicolette McRae</t>
  </si>
  <si>
    <t>011Nz000003DXRHIA4</t>
  </si>
  <si>
    <t>0054J000004vm8wQAA</t>
  </si>
  <si>
    <t>Darin Solomon</t>
  </si>
  <si>
    <t>011Nz000003DXRIIA4</t>
  </si>
  <si>
    <t>0054J000004vm8xQAA</t>
  </si>
  <si>
    <t>Edyta Forysiuk</t>
  </si>
  <si>
    <t>011Nz000003QYsOIAW</t>
  </si>
  <si>
    <t>0054J000004wQh8QAE</t>
  </si>
  <si>
    <t>Kathrine Castle</t>
  </si>
  <si>
    <t>011Nz000003DXRKIA4</t>
  </si>
  <si>
    <t>0054J000005JVuPQAW</t>
  </si>
  <si>
    <t>Nadia Rogers</t>
  </si>
  <si>
    <t>011Nz000003DNS0IAO</t>
  </si>
  <si>
    <t>0054J000004vm9CQAQ</t>
  </si>
  <si>
    <t>David Hancock</t>
  </si>
  <si>
    <t>PRS: Regions</t>
  </si>
  <si>
    <t>011Nz000003DNRvIAO</t>
  </si>
  <si>
    <t>0054J000004vm8VQAQ</t>
  </si>
  <si>
    <t>Sam Robson</t>
  </si>
  <si>
    <t>011Nz000003QUzQIAW</t>
  </si>
  <si>
    <t>0054J000004vm95QAA</t>
  </si>
  <si>
    <t>Mark Weeden</t>
  </si>
  <si>
    <t>011Nz000003DNRyIAO</t>
  </si>
  <si>
    <t>0054J000004vm99QAA</t>
  </si>
  <si>
    <t>Luke Pollard</t>
  </si>
  <si>
    <t>011Nz000003DNRzIAO</t>
  </si>
  <si>
    <t>0054J000004vm9BQAQ</t>
  </si>
  <si>
    <t>Louise Spooner</t>
  </si>
  <si>
    <t>011Nz000004nGZJIA2</t>
  </si>
  <si>
    <t>011Nz000005CQtVIAW</t>
  </si>
  <si>
    <t>011Nz000004nGZLIA2</t>
  </si>
  <si>
    <t>011Nz000004nGZKIA2</t>
  </si>
  <si>
    <t>011Nz000003EdnwIAC</t>
  </si>
  <si>
    <t>005Nz0000013xmCIAQ</t>
  </si>
  <si>
    <t>Rachel Steventon</t>
  </si>
  <si>
    <t>Solstice Apartments Team</t>
  </si>
  <si>
    <t>011Nz000003DXR7IAO</t>
  </si>
  <si>
    <t>011Nz000003DXR3IAO</t>
  </si>
  <si>
    <t>011Nz000003QXLhIAO</t>
  </si>
  <si>
    <t>011Nz000004TOUTIA4</t>
  </si>
  <si>
    <t>005Nz000002SDnaIAG</t>
  </si>
  <si>
    <t>Janki Pankhaniya</t>
  </si>
  <si>
    <t>011Nz000000129RIAQ</t>
  </si>
  <si>
    <t>0058d000006dmqxAAA</t>
  </si>
  <si>
    <t>Abigale Boaler</t>
  </si>
  <si>
    <t>South West Lead Queue</t>
  </si>
  <si>
    <t>011Nz000000126FIAQ</t>
  </si>
  <si>
    <t>011Nz000000126DIAQ</t>
  </si>
  <si>
    <t>005Nz0000004fixIAA</t>
  </si>
  <si>
    <t>Connor Manuel</t>
  </si>
  <si>
    <t>011Nz000000126EIAQ</t>
  </si>
  <si>
    <t>011Nz0000000EuDIAU</t>
  </si>
  <si>
    <t>Southampton Lead Queue</t>
  </si>
  <si>
    <t>011Nz0000000EuFIAU</t>
  </si>
  <si>
    <t>011Nz0000000EuEIAU</t>
  </si>
  <si>
    <t>011Nz0000000EuGIAU</t>
  </si>
  <si>
    <t>011Nz000003DXR9IAO</t>
  </si>
  <si>
    <t>005Nz000000O0DQIA0</t>
  </si>
  <si>
    <t>Natasha Burns</t>
  </si>
  <si>
    <t>The Barnum Team</t>
  </si>
  <si>
    <t>011Nz000003DNT7IAO</t>
  </si>
  <si>
    <t>0058d000006chw2AAA</t>
  </si>
  <si>
    <t>Sean Bromley</t>
  </si>
  <si>
    <t>011Nz000003EdnuIAC</t>
  </si>
  <si>
    <t>005Nz000000A2YQIA0</t>
  </si>
  <si>
    <t>Sophie Turrill</t>
  </si>
  <si>
    <t>011Nz000003EdntIAC</t>
  </si>
  <si>
    <t>005Nz0000006puIIAQ</t>
  </si>
  <si>
    <t>Amy Truong</t>
  </si>
  <si>
    <t>011Nz000003DNT6IAO</t>
  </si>
  <si>
    <t>The Condor Team</t>
  </si>
  <si>
    <t>011Nz000003DNSzIAO</t>
  </si>
  <si>
    <t>0058d000005TEYFAA4</t>
  </si>
  <si>
    <t>Jacqueline Cooper</t>
  </si>
  <si>
    <t>011Nz000003DNTEIA4</t>
  </si>
  <si>
    <t>0058d000007SmUDAA0</t>
  </si>
  <si>
    <t>Santija Dave</t>
  </si>
  <si>
    <t>011Nz000003DNTCIA4</t>
  </si>
  <si>
    <t>0058d000006dfzCAAQ</t>
  </si>
  <si>
    <t>Jessica Coates</t>
  </si>
  <si>
    <t>011Nz000003DNSvIAO</t>
  </si>
  <si>
    <t>0058d000005QzutAAC</t>
  </si>
  <si>
    <t>Charlotte Bell</t>
  </si>
  <si>
    <t>The Forge Team</t>
  </si>
  <si>
    <t>011Nz000003DNRuIAO</t>
  </si>
  <si>
    <t>011Nz000003DNSOIA4</t>
  </si>
  <si>
    <t>0058d000000mAE2AAM</t>
  </si>
  <si>
    <t>Christina Cassidy</t>
  </si>
  <si>
    <t>011Nz000003DNSgIAO</t>
  </si>
  <si>
    <t>0058d0000034Kn5AAE</t>
  </si>
  <si>
    <t>Coren Macniven</t>
  </si>
  <si>
    <t>The Headline Team</t>
  </si>
  <si>
    <t>011Nz000003DNSyIAO</t>
  </si>
  <si>
    <t>0058d000005RQ1sAAG</t>
  </si>
  <si>
    <t>Corinne Lawrenson</t>
  </si>
  <si>
    <t>011Nz000005dW0aIAE</t>
  </si>
  <si>
    <t>005Nz000001Nr4fIAC</t>
  </si>
  <si>
    <t>Iva Bikic</t>
  </si>
  <si>
    <t>011Nz000003DNShIAO</t>
  </si>
  <si>
    <t>0058d0000034Ks6AAE</t>
  </si>
  <si>
    <t>Joseph Scarrott</t>
  </si>
  <si>
    <t>011Nz000004mx7LIAQ</t>
  </si>
  <si>
    <t>011Nz000003DNT1IAO</t>
  </si>
  <si>
    <t>0058d000006b6mpAAA</t>
  </si>
  <si>
    <t>Victoria Phillips</t>
  </si>
  <si>
    <t>The Mint Team</t>
  </si>
  <si>
    <t>011Nz000003DXR4IAO</t>
  </si>
  <si>
    <t>005Nz000000FVd0IAG</t>
  </si>
  <si>
    <t>Ray Rahman</t>
  </si>
  <si>
    <t>011Nz000003EdnlIAC</t>
  </si>
  <si>
    <t>0054J000004vm86QAA</t>
  </si>
  <si>
    <t>Mark Churchard</t>
  </si>
  <si>
    <t>The Tilt Works Team</t>
  </si>
  <si>
    <t>011Nz000003EdnmIAC</t>
  </si>
  <si>
    <t>005Nz000000HVU4IAO</t>
  </si>
  <si>
    <t>Jodie Hoyle</t>
  </si>
  <si>
    <t>011Nz000003EdnnIAC</t>
  </si>
  <si>
    <t>005Nz000000NhU5IAK</t>
  </si>
  <si>
    <t>Annie Carley</t>
  </si>
  <si>
    <t>011Nz000003QUQZIA4</t>
  </si>
  <si>
    <t>005Nz000000XIkZIAW</t>
  </si>
  <si>
    <t>Abigail Sturman</t>
  </si>
  <si>
    <t>011Nz000003k2raIAA</t>
  </si>
  <si>
    <t>0058d000004DynQAAS</t>
  </si>
  <si>
    <t>Megan Fleming</t>
  </si>
  <si>
    <t>The Wellesley Team</t>
  </si>
  <si>
    <t>011Nz000003DNT9IAO</t>
  </si>
  <si>
    <t>0058d000006csAqAAI</t>
  </si>
  <si>
    <t>Daniel Hind</t>
  </si>
  <si>
    <t>Weavers Yard Team</t>
  </si>
  <si>
    <t>011Nz000003DNStIAO</t>
  </si>
  <si>
    <t>0058d000004GuDNAA0</t>
  </si>
  <si>
    <t>Carmen Wong</t>
  </si>
  <si>
    <t>011Nz000003DNSRIA4</t>
  </si>
  <si>
    <t>0058d000001yXeuAAE</t>
  </si>
  <si>
    <t>Kimberley Pope</t>
  </si>
  <si>
    <t>011Nz000003DXREIA4</t>
  </si>
  <si>
    <t>005Nz000000eYuFIAU</t>
  </si>
  <si>
    <t>Kate McKim</t>
  </si>
  <si>
    <t>011Nz000003DNT2IAO</t>
  </si>
  <si>
    <t>0058d000006bhjxAAA</t>
  </si>
  <si>
    <t>Khaled Rahman</t>
  </si>
  <si>
    <t>Windlass Apartments Team</t>
  </si>
  <si>
    <t>011Nz000003DNSXIA4</t>
  </si>
  <si>
    <t>011Nz000003DNSlIAO</t>
  </si>
  <si>
    <t>0058d0000034KXpAAM</t>
  </si>
  <si>
    <t>Jordan Greaves</t>
  </si>
  <si>
    <t>011Pv000002XdKnIAK</t>
  </si>
  <si>
    <t>005Nz0000020wMDIAY</t>
  </si>
  <si>
    <t>Olivia Ribeiro</t>
  </si>
  <si>
    <t>011Nz000003jUzkIAE</t>
  </si>
  <si>
    <t>011Pv000002XdKpIAK</t>
  </si>
  <si>
    <t>005Nz000000B1bwIAC</t>
  </si>
  <si>
    <t>Faith Dowdy</t>
  </si>
  <si>
    <t>011Pv000002XdKoIAK</t>
  </si>
  <si>
    <t>011Pv000002XdKqIAK</t>
  </si>
  <si>
    <t>011Pv000002XdKrIAK</t>
  </si>
  <si>
    <t>011Pv000002XdKvIAK</t>
  </si>
  <si>
    <t>Lettings South</t>
  </si>
  <si>
    <t>011Pv000002XdKtIAK</t>
  </si>
  <si>
    <t>011Pv000002XdKuIAK</t>
  </si>
  <si>
    <t>005Nz000002KcrEIAS</t>
  </si>
  <si>
    <t>Nathan Brown</t>
  </si>
  <si>
    <t>011Pv000002XdKwIAK</t>
  </si>
  <si>
    <t>011Pv000002XdKsIAK</t>
  </si>
  <si>
    <t>011Pv000002XdKyIAK</t>
  </si>
  <si>
    <t>005Nz000002oOEQIA2</t>
  </si>
  <si>
    <t>Maisie Whittaker</t>
  </si>
  <si>
    <t>011Nz000003Yp02IAC</t>
  </si>
  <si>
    <t>011Pv000002XdKxIAK</t>
  </si>
  <si>
    <t>011Pv000002XdKzIAK</t>
  </si>
  <si>
    <t>011Nz000003DNSVIA4</t>
  </si>
  <si>
    <t>The Filaments Team</t>
  </si>
  <si>
    <t>011Nz000003DNSIIA4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</si>
</sst>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E802-91A6-CC4F-8D4A-22401C21B005}">
  <sheetPr filterMode="1"/>
  <dimension ref="A1:I212"/>
  <sheetViews>
    <sheetView tabSelected="1" workbookViewId="0">
      <pane ySplit="1" topLeftCell="A79" activePane="bottomLeft" state="frozen"/>
      <selection pane="bottomLeft" activeCell="A102" sqref="A102:XFD102"/>
    </sheetView>
  </sheetViews>
  <sheetFormatPr defaultColWidth="11" defaultRowHeight="15.95"/>
  <cols>
    <col min="1" max="1" width="13.875" bestFit="1" customWidth="1"/>
    <col min="2" max="2" width="20.5" bestFit="1" customWidth="1"/>
    <col min="3" max="3" width="20.625" bestFit="1" customWidth="1"/>
    <col min="4" max="4" width="14.5" bestFit="1" customWidth="1"/>
    <col min="5" max="5" width="20.125" bestFit="1" customWidth="1"/>
    <col min="6" max="6" width="8.625" bestFit="1" customWidth="1"/>
    <col min="7" max="7" width="23.125" bestFit="1" customWidth="1"/>
    <col min="8" max="8" width="41.5" customWidth="1"/>
    <col min="9" max="9" width="46.62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idden="1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tr">
        <f>G2&amp;"_"&amp;E2</f>
        <v>Abbeville Apartments_Mohammed Khan</v>
      </c>
      <c r="I2" t="str">
        <f>VLOOKUP(H2,UAT!$H$2:$H$204,1,FALSE)</f>
        <v>Abbeville Apartments_Mohammed Khan</v>
      </c>
    </row>
    <row r="3" spans="1:9" hidden="1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  <c r="H3" t="str">
        <f t="shared" ref="H3:H66" si="0">G3&amp;"_"&amp;E3</f>
        <v>Abbeville Apartments_Jemma Herring</v>
      </c>
      <c r="I3" t="str">
        <f>VLOOKUP(H3,UAT!$H$2:$H$204,1,FALSE)</f>
        <v>Abbeville Apartments_Jemma Herring</v>
      </c>
    </row>
    <row r="4" spans="1:9" hidden="1">
      <c r="A4" t="s">
        <v>7</v>
      </c>
      <c r="B4" t="s">
        <v>17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  <c r="H4" t="str">
        <f t="shared" si="0"/>
        <v>Abbeville Apartments_Fatma Azakli</v>
      </c>
      <c r="I4" t="str">
        <f>VLOOKUP(H4,UAT!$H$2:$H$204,1,FALSE)</f>
        <v>Abbeville Apartments_Fatma Azakli</v>
      </c>
    </row>
    <row r="5" spans="1:9" hidden="1">
      <c r="A5" t="s">
        <v>7</v>
      </c>
      <c r="B5" t="s">
        <v>20</v>
      </c>
      <c r="C5" t="s">
        <v>21</v>
      </c>
      <c r="D5" t="s">
        <v>10</v>
      </c>
      <c r="E5" t="s">
        <v>22</v>
      </c>
      <c r="F5" t="s">
        <v>12</v>
      </c>
      <c r="G5" t="s">
        <v>23</v>
      </c>
      <c r="H5" t="str">
        <f t="shared" si="0"/>
        <v>AM: BTR-London_Harriet Shaw</v>
      </c>
      <c r="I5" t="str">
        <f>VLOOKUP(H5,UAT!$H$2:$H$204,1,FALSE)</f>
        <v>AM: BTR-London_Harriet Shaw</v>
      </c>
    </row>
    <row r="6" spans="1:9" hidden="1">
      <c r="A6" t="s">
        <v>7</v>
      </c>
      <c r="B6" t="s">
        <v>24</v>
      </c>
      <c r="C6" t="s">
        <v>25</v>
      </c>
      <c r="D6" t="s">
        <v>10</v>
      </c>
      <c r="E6" t="s">
        <v>26</v>
      </c>
      <c r="F6" t="s">
        <v>12</v>
      </c>
      <c r="G6" t="s">
        <v>27</v>
      </c>
      <c r="H6" t="str">
        <f t="shared" si="0"/>
        <v>AM: BTR-Regions_Vicki Turnbull</v>
      </c>
      <c r="I6" t="str">
        <f>VLOOKUP(H6,UAT!$H$2:$H$204,1,FALSE)</f>
        <v>AM: BTR-Regions_Vicki Turnbull</v>
      </c>
    </row>
    <row r="7" spans="1:9" hidden="1">
      <c r="A7" t="s">
        <v>7</v>
      </c>
      <c r="B7" t="s">
        <v>28</v>
      </c>
      <c r="C7" t="s">
        <v>29</v>
      </c>
      <c r="D7" t="s">
        <v>10</v>
      </c>
      <c r="E7" t="s">
        <v>30</v>
      </c>
      <c r="F7" t="s">
        <v>12</v>
      </c>
      <c r="G7" t="s">
        <v>31</v>
      </c>
      <c r="H7" t="str">
        <f t="shared" si="0"/>
        <v>AM: New Launches_Sarah Norstrom</v>
      </c>
      <c r="I7" t="str">
        <f>VLOOKUP(H7,UAT!$H$2:$H$204,1,FALSE)</f>
        <v>AM: New Launches_Sarah Norstrom</v>
      </c>
    </row>
    <row r="8" spans="1:9" hidden="1">
      <c r="A8" t="s">
        <v>7</v>
      </c>
      <c r="B8" t="s">
        <v>32</v>
      </c>
      <c r="C8" t="s">
        <v>33</v>
      </c>
      <c r="D8" t="s">
        <v>10</v>
      </c>
      <c r="E8" t="s">
        <v>34</v>
      </c>
      <c r="F8" t="s">
        <v>12</v>
      </c>
      <c r="G8" t="s">
        <v>35</v>
      </c>
      <c r="H8" t="str">
        <f t="shared" si="0"/>
        <v>AM: PRS-London_Daisy Stuckey</v>
      </c>
      <c r="I8" t="str">
        <f>VLOOKUP(H8,UAT!$H$2:$H$204,1,FALSE)</f>
        <v>AM: PRS-London_Daisy Stuckey</v>
      </c>
    </row>
    <row r="9" spans="1:9" hidden="1">
      <c r="A9" t="s">
        <v>7</v>
      </c>
      <c r="B9" t="s">
        <v>36</v>
      </c>
      <c r="C9" t="s">
        <v>37</v>
      </c>
      <c r="D9" t="s">
        <v>10</v>
      </c>
      <c r="E9" t="s">
        <v>38</v>
      </c>
      <c r="F9" t="s">
        <v>12</v>
      </c>
      <c r="G9" t="s">
        <v>35</v>
      </c>
      <c r="H9" t="str">
        <f t="shared" si="0"/>
        <v>AM: PRS-London_Alexa Byrne</v>
      </c>
      <c r="I9" t="str">
        <f>VLOOKUP(H9,UAT!$H$2:$H$204,1,FALSE)</f>
        <v>AM: PRS-London_Alexa Byrne</v>
      </c>
    </row>
    <row r="10" spans="1:9" hidden="1">
      <c r="A10" t="s">
        <v>7</v>
      </c>
      <c r="B10" t="s">
        <v>39</v>
      </c>
      <c r="C10" t="s">
        <v>25</v>
      </c>
      <c r="D10" t="s">
        <v>10</v>
      </c>
      <c r="E10" t="s">
        <v>26</v>
      </c>
      <c r="F10" t="s">
        <v>12</v>
      </c>
      <c r="G10" t="s">
        <v>40</v>
      </c>
      <c r="H10" t="str">
        <f t="shared" si="0"/>
        <v>AM: PRS-Regions_Vicki Turnbull</v>
      </c>
      <c r="I10" t="str">
        <f>VLOOKUP(H10,UAT!$H$2:$H$204,1,FALSE)</f>
        <v>AM: PRS-Regions_Vicki Turnbull</v>
      </c>
    </row>
    <row r="11" spans="1:9" hidden="1">
      <c r="A11" t="s">
        <v>7</v>
      </c>
      <c r="B11" t="s">
        <v>41</v>
      </c>
      <c r="C11" t="s">
        <v>42</v>
      </c>
      <c r="D11" t="s">
        <v>10</v>
      </c>
      <c r="E11" t="s">
        <v>43</v>
      </c>
      <c r="F11" t="s">
        <v>12</v>
      </c>
      <c r="G11" t="s">
        <v>44</v>
      </c>
      <c r="H11" t="str">
        <f t="shared" si="0"/>
        <v>Apex Gardens Team_Suna Uyar</v>
      </c>
      <c r="I11" t="str">
        <f>VLOOKUP(H11,UAT!$H$2:$H$204,1,FALSE)</f>
        <v>Apex Gardens Team_Suna Uyar</v>
      </c>
    </row>
    <row r="12" spans="1:9" hidden="1">
      <c r="A12" t="s">
        <v>7</v>
      </c>
      <c r="B12" t="s">
        <v>45</v>
      </c>
      <c r="C12" t="s">
        <v>46</v>
      </c>
      <c r="D12" t="s">
        <v>10</v>
      </c>
      <c r="E12" t="s">
        <v>47</v>
      </c>
      <c r="F12" t="s">
        <v>12</v>
      </c>
      <c r="G12" t="s">
        <v>44</v>
      </c>
      <c r="H12" t="str">
        <f t="shared" si="0"/>
        <v>Apex Gardens Team_Nicole Freeman</v>
      </c>
      <c r="I12" t="str">
        <f>VLOOKUP(H12,UAT!$H$2:$H$204,1,FALSE)</f>
        <v>Apex Gardens Team_Nicole Freeman</v>
      </c>
    </row>
    <row r="13" spans="1:9" hidden="1">
      <c r="A13" t="s">
        <v>7</v>
      </c>
      <c r="B13" t="s">
        <v>48</v>
      </c>
      <c r="C13" t="s">
        <v>49</v>
      </c>
      <c r="D13" t="s">
        <v>10</v>
      </c>
      <c r="E13" t="s">
        <v>50</v>
      </c>
      <c r="F13" t="s">
        <v>12</v>
      </c>
      <c r="G13" t="s">
        <v>44</v>
      </c>
      <c r="H13" t="str">
        <f t="shared" si="0"/>
        <v>Apex Gardens Team_Tina Bedeau</v>
      </c>
      <c r="I13" t="str">
        <f>VLOOKUP(H13,UAT!$H$2:$H$204,1,FALSE)</f>
        <v>Apex Gardens Team_Tina Bedeau</v>
      </c>
    </row>
    <row r="14" spans="1:9" hidden="1">
      <c r="A14" t="s">
        <v>7</v>
      </c>
      <c r="B14" t="s">
        <v>51</v>
      </c>
      <c r="C14" t="s">
        <v>52</v>
      </c>
      <c r="D14" t="s">
        <v>10</v>
      </c>
      <c r="E14" t="s">
        <v>53</v>
      </c>
      <c r="F14" t="s">
        <v>12</v>
      </c>
      <c r="G14" t="s">
        <v>44</v>
      </c>
      <c r="H14" t="str">
        <f t="shared" si="0"/>
        <v>Apex Gardens Team_Nyijah Bullen</v>
      </c>
      <c r="I14" t="str">
        <f>VLOOKUP(H14,UAT!$H$2:$H$204,1,FALSE)</f>
        <v>Apex Gardens Team_Nyijah Bullen</v>
      </c>
    </row>
    <row r="15" spans="1:9" hidden="1">
      <c r="A15" t="s">
        <v>7</v>
      </c>
      <c r="B15" t="s">
        <v>54</v>
      </c>
      <c r="C15" t="s">
        <v>55</v>
      </c>
      <c r="D15" t="s">
        <v>10</v>
      </c>
      <c r="E15" t="s">
        <v>56</v>
      </c>
      <c r="F15" t="s">
        <v>12</v>
      </c>
      <c r="G15" t="s">
        <v>57</v>
      </c>
      <c r="H15" t="str">
        <f t="shared" si="0"/>
        <v>Argo Apartments Team_Holly Boggis</v>
      </c>
      <c r="I15" t="str">
        <f>VLOOKUP(H15,UAT!$H$2:$H$204,1,FALSE)</f>
        <v>Argo Apartments Team_Holly Boggis</v>
      </c>
    </row>
    <row r="16" spans="1:9" hidden="1">
      <c r="A16" t="s">
        <v>7</v>
      </c>
      <c r="B16" t="s">
        <v>58</v>
      </c>
      <c r="C16" t="s">
        <v>59</v>
      </c>
      <c r="D16" t="s">
        <v>10</v>
      </c>
      <c r="E16" t="s">
        <v>60</v>
      </c>
      <c r="F16" t="s">
        <v>12</v>
      </c>
      <c r="G16" t="s">
        <v>57</v>
      </c>
      <c r="H16" t="str">
        <f t="shared" si="0"/>
        <v>Argo Apartments Team_Shahan Hussain</v>
      </c>
      <c r="I16" t="str">
        <f>VLOOKUP(H16,UAT!$H$2:$H$204,1,FALSE)</f>
        <v>Argo Apartments Team_Shahan Hussain</v>
      </c>
    </row>
    <row r="17" spans="1:9" hidden="1">
      <c r="A17" t="s">
        <v>7</v>
      </c>
      <c r="B17" t="s">
        <v>61</v>
      </c>
      <c r="C17" t="s">
        <v>62</v>
      </c>
      <c r="D17" t="s">
        <v>10</v>
      </c>
      <c r="E17" t="s">
        <v>63</v>
      </c>
      <c r="F17" t="s">
        <v>12</v>
      </c>
      <c r="G17" t="s">
        <v>64</v>
      </c>
      <c r="H17" t="str">
        <f t="shared" si="0"/>
        <v>Brook Place Team_Harry Furniss</v>
      </c>
      <c r="I17" t="str">
        <f>VLOOKUP(H17,UAT!$H$2:$H$204,1,FALSE)</f>
        <v>Brook Place Team_Harry Furniss</v>
      </c>
    </row>
    <row r="18" spans="1:9" hidden="1">
      <c r="A18" t="s">
        <v>7</v>
      </c>
      <c r="B18" t="s">
        <v>65</v>
      </c>
      <c r="C18" t="s">
        <v>66</v>
      </c>
      <c r="D18" t="s">
        <v>10</v>
      </c>
      <c r="E18" t="s">
        <v>67</v>
      </c>
      <c r="F18" t="s">
        <v>12</v>
      </c>
      <c r="G18" t="s">
        <v>64</v>
      </c>
      <c r="H18" t="str">
        <f t="shared" si="0"/>
        <v>Brook Place Team_Isaac Turner</v>
      </c>
      <c r="I18" t="str">
        <f>VLOOKUP(H18,UAT!$H$2:$H$204,1,FALSE)</f>
        <v>Brook Place Team_Isaac Turner</v>
      </c>
    </row>
    <row r="19" spans="1:9" hidden="1">
      <c r="A19" t="s">
        <v>7</v>
      </c>
      <c r="B19" t="s">
        <v>68</v>
      </c>
      <c r="C19" t="s">
        <v>69</v>
      </c>
      <c r="D19" t="s">
        <v>10</v>
      </c>
      <c r="E19" t="s">
        <v>70</v>
      </c>
      <c r="F19" t="s">
        <v>12</v>
      </c>
      <c r="G19" t="s">
        <v>64</v>
      </c>
      <c r="H19" t="str">
        <f t="shared" si="0"/>
        <v>Brook Place Team_Emma Cramer-Mitchell</v>
      </c>
      <c r="I19" t="str">
        <f>VLOOKUP(H19,UAT!$H$2:$H$204,1,FALSE)</f>
        <v>Brook Place Team_Emma Cramer-Mitchell</v>
      </c>
    </row>
    <row r="20" spans="1:9" hidden="1">
      <c r="A20" t="s">
        <v>7</v>
      </c>
      <c r="B20" t="s">
        <v>71</v>
      </c>
      <c r="C20" t="s">
        <v>72</v>
      </c>
      <c r="D20" t="s">
        <v>10</v>
      </c>
      <c r="E20" t="s">
        <v>73</v>
      </c>
      <c r="F20" t="s">
        <v>12</v>
      </c>
      <c r="G20" t="s">
        <v>74</v>
      </c>
      <c r="H20" t="str">
        <f t="shared" si="0"/>
        <v>BTR South Lead Queue_Ezekiel Akinjagunla</v>
      </c>
      <c r="I20" t="str">
        <f>VLOOKUP(H20,UAT!$H$2:$H$204,1,FALSE)</f>
        <v>BTR South Lead Queue_Ezekiel Akinjagunla</v>
      </c>
    </row>
    <row r="21" spans="1:9" hidden="1">
      <c r="A21" t="s">
        <v>7</v>
      </c>
      <c r="B21" t="s">
        <v>75</v>
      </c>
      <c r="C21" t="s">
        <v>76</v>
      </c>
      <c r="D21" t="s">
        <v>10</v>
      </c>
      <c r="E21" t="s">
        <v>77</v>
      </c>
      <c r="F21" t="s">
        <v>12</v>
      </c>
      <c r="G21" t="s">
        <v>74</v>
      </c>
      <c r="H21" t="str">
        <f t="shared" si="0"/>
        <v>BTR South Lead Queue_Arnaldo Bolivar</v>
      </c>
      <c r="I21" t="str">
        <f>VLOOKUP(H21,UAT!$H$2:$H$204,1,FALSE)</f>
        <v>BTR South Lead Queue_Arnaldo Bolivar</v>
      </c>
    </row>
    <row r="22" spans="1:9" hidden="1">
      <c r="A22" t="s">
        <v>7</v>
      </c>
      <c r="B22" t="s">
        <v>78</v>
      </c>
      <c r="C22" t="s">
        <v>79</v>
      </c>
      <c r="D22" t="s">
        <v>10</v>
      </c>
      <c r="E22" t="s">
        <v>80</v>
      </c>
      <c r="F22" t="s">
        <v>12</v>
      </c>
      <c r="G22" t="s">
        <v>74</v>
      </c>
      <c r="H22" t="str">
        <f t="shared" si="0"/>
        <v>BTR South Lead Queue_Rachel Ofili</v>
      </c>
      <c r="I22" t="str">
        <f>VLOOKUP(H22,UAT!$H$2:$H$204,1,FALSE)</f>
        <v>BTR South Lead Queue_Rachel Ofili</v>
      </c>
    </row>
    <row r="23" spans="1:9" hidden="1">
      <c r="A23" t="s">
        <v>7</v>
      </c>
      <c r="B23" t="s">
        <v>81</v>
      </c>
      <c r="C23" t="s">
        <v>82</v>
      </c>
      <c r="D23" t="s">
        <v>10</v>
      </c>
      <c r="E23" t="s">
        <v>83</v>
      </c>
      <c r="F23" t="s">
        <v>12</v>
      </c>
      <c r="G23" t="s">
        <v>74</v>
      </c>
      <c r="H23" t="str">
        <f t="shared" si="0"/>
        <v>BTR South Lead Queue_Geoffrey Eze</v>
      </c>
      <c r="I23" t="str">
        <f>VLOOKUP(H23,UAT!$H$2:$H$204,1,FALSE)</f>
        <v>BTR South Lead Queue_Geoffrey Eze</v>
      </c>
    </row>
    <row r="24" spans="1:9" hidden="1">
      <c r="A24" t="s">
        <v>7</v>
      </c>
      <c r="B24" t="s">
        <v>84</v>
      </c>
      <c r="C24" t="s">
        <v>85</v>
      </c>
      <c r="D24" t="s">
        <v>10</v>
      </c>
      <c r="E24" t="s">
        <v>86</v>
      </c>
      <c r="F24" t="s">
        <v>12</v>
      </c>
      <c r="G24" t="s">
        <v>74</v>
      </c>
      <c r="H24" t="str">
        <f t="shared" si="0"/>
        <v>BTR South Lead Queue_Wesley Greaves</v>
      </c>
      <c r="I24" t="str">
        <f>VLOOKUP(H24,UAT!$H$2:$H$204,1,FALSE)</f>
        <v>BTR South Lead Queue_Wesley Greaves</v>
      </c>
    </row>
    <row r="25" spans="1:9">
      <c r="A25" t="s">
        <v>7</v>
      </c>
      <c r="B25" t="s">
        <v>87</v>
      </c>
      <c r="C25" t="s">
        <v>88</v>
      </c>
      <c r="D25" t="s">
        <v>10</v>
      </c>
      <c r="E25" t="s">
        <v>89</v>
      </c>
      <c r="F25" t="s">
        <v>12</v>
      </c>
      <c r="G25" t="s">
        <v>90</v>
      </c>
      <c r="H25" t="str">
        <f t="shared" si="0"/>
        <v>Clippers Quay Team_Leila Law</v>
      </c>
      <c r="I25" t="e">
        <f>VLOOKUP(H25,UAT!$H$2:$H$204,1,FALSE)</f>
        <v>#N/A</v>
      </c>
    </row>
    <row r="26" spans="1:9" hidden="1">
      <c r="A26" t="s">
        <v>7</v>
      </c>
      <c r="B26" t="s">
        <v>91</v>
      </c>
      <c r="C26" t="s">
        <v>92</v>
      </c>
      <c r="D26" t="s">
        <v>10</v>
      </c>
      <c r="E26" t="s">
        <v>93</v>
      </c>
      <c r="F26" t="s">
        <v>12</v>
      </c>
      <c r="G26" t="s">
        <v>90</v>
      </c>
      <c r="H26" t="str">
        <f t="shared" si="0"/>
        <v>Clippers Quay Team_Shalma Nibbs</v>
      </c>
      <c r="I26" t="str">
        <f>VLOOKUP(H26,UAT!$H$2:$H$204,1,FALSE)</f>
        <v>Clippers Quay Team_Shalma Nibbs</v>
      </c>
    </row>
    <row r="27" spans="1:9" hidden="1">
      <c r="A27" t="s">
        <v>7</v>
      </c>
      <c r="B27" t="s">
        <v>94</v>
      </c>
      <c r="C27" t="s">
        <v>95</v>
      </c>
      <c r="D27" t="s">
        <v>10</v>
      </c>
      <c r="E27" t="s">
        <v>96</v>
      </c>
      <c r="F27" t="s">
        <v>12</v>
      </c>
      <c r="G27" t="s">
        <v>90</v>
      </c>
      <c r="H27" t="str">
        <f t="shared" si="0"/>
        <v>Clippers Quay Team_Trudy Yates</v>
      </c>
      <c r="I27" t="str">
        <f>VLOOKUP(H27,UAT!$H$2:$H$204,1,FALSE)</f>
        <v>Clippers Quay Team_Trudy Yates</v>
      </c>
    </row>
    <row r="28" spans="1:9" hidden="1">
      <c r="A28" t="s">
        <v>7</v>
      </c>
      <c r="B28" t="s">
        <v>97</v>
      </c>
      <c r="C28" t="s">
        <v>98</v>
      </c>
      <c r="D28" t="s">
        <v>10</v>
      </c>
      <c r="E28" t="s">
        <v>99</v>
      </c>
      <c r="F28" t="s">
        <v>12</v>
      </c>
      <c r="G28" t="s">
        <v>90</v>
      </c>
      <c r="H28" t="str">
        <f t="shared" si="0"/>
        <v>Clippers Quay Team_Shaun Sidibe</v>
      </c>
      <c r="I28" t="str">
        <f>VLOOKUP(H28,UAT!$H$2:$H$204,1,FALSE)</f>
        <v>Clippers Quay Team_Shaun Sidibe</v>
      </c>
    </row>
    <row r="29" spans="1:9" hidden="1">
      <c r="A29" t="s">
        <v>7</v>
      </c>
      <c r="B29" t="s">
        <v>100</v>
      </c>
      <c r="C29" t="s">
        <v>101</v>
      </c>
      <c r="D29" t="s">
        <v>10</v>
      </c>
      <c r="E29" t="s">
        <v>102</v>
      </c>
      <c r="F29" t="s">
        <v>12</v>
      </c>
      <c r="G29" t="s">
        <v>90</v>
      </c>
      <c r="H29" t="str">
        <f t="shared" si="0"/>
        <v>Clippers Quay Team_Jessica Illingworth</v>
      </c>
      <c r="I29" t="str">
        <f>VLOOKUP(H29,UAT!$H$2:$H$204,1,FALSE)</f>
        <v>Clippers Quay Team_Jessica Illingworth</v>
      </c>
    </row>
    <row r="30" spans="1:9" hidden="1">
      <c r="A30" t="s">
        <v>7</v>
      </c>
      <c r="B30" t="s">
        <v>103</v>
      </c>
      <c r="C30" t="s">
        <v>104</v>
      </c>
      <c r="D30" t="s">
        <v>10</v>
      </c>
      <c r="E30" t="s">
        <v>105</v>
      </c>
      <c r="F30" t="s">
        <v>12</v>
      </c>
      <c r="G30" t="s">
        <v>90</v>
      </c>
      <c r="H30" t="str">
        <f t="shared" si="0"/>
        <v>Clippers Quay Team_Helen Bowers</v>
      </c>
      <c r="I30" t="str">
        <f>VLOOKUP(H30,UAT!$H$2:$H$204,1,FALSE)</f>
        <v>Clippers Quay Team_Helen Bowers</v>
      </c>
    </row>
    <row r="31" spans="1:9" hidden="1">
      <c r="A31" t="s">
        <v>7</v>
      </c>
      <c r="B31" t="s">
        <v>106</v>
      </c>
      <c r="C31" t="s">
        <v>107</v>
      </c>
      <c r="D31" t="s">
        <v>10</v>
      </c>
      <c r="E31" t="s">
        <v>108</v>
      </c>
      <c r="F31" t="s">
        <v>12</v>
      </c>
      <c r="G31" t="s">
        <v>90</v>
      </c>
      <c r="H31" t="str">
        <f t="shared" si="0"/>
        <v>Clippers Quay Team_Darren Pritchard</v>
      </c>
      <c r="I31" t="str">
        <f>VLOOKUP(H31,UAT!$H$2:$H$204,1,FALSE)</f>
        <v>Clippers Quay Team_Darren Pritchard</v>
      </c>
    </row>
    <row r="32" spans="1:9" hidden="1">
      <c r="A32" t="s">
        <v>7</v>
      </c>
      <c r="B32" t="s">
        <v>109</v>
      </c>
      <c r="C32" t="s">
        <v>110</v>
      </c>
      <c r="D32" t="s">
        <v>10</v>
      </c>
      <c r="E32" t="s">
        <v>111</v>
      </c>
      <c r="F32" t="s">
        <v>12</v>
      </c>
      <c r="G32" t="s">
        <v>90</v>
      </c>
      <c r="H32" t="str">
        <f t="shared" si="0"/>
        <v>Clippers Quay Team_Chiara Manfron</v>
      </c>
      <c r="I32" t="str">
        <f>VLOOKUP(H32,UAT!$H$2:$H$204,1,FALSE)</f>
        <v>Clippers Quay Team_Chiara Manfron</v>
      </c>
    </row>
    <row r="33" spans="1:9" hidden="1">
      <c r="A33" t="s">
        <v>7</v>
      </c>
      <c r="B33" t="s">
        <v>112</v>
      </c>
      <c r="C33" t="s">
        <v>113</v>
      </c>
      <c r="D33" t="s">
        <v>10</v>
      </c>
      <c r="E33" t="s">
        <v>114</v>
      </c>
      <c r="F33" t="s">
        <v>12</v>
      </c>
      <c r="G33" t="s">
        <v>90</v>
      </c>
      <c r="H33" t="str">
        <f t="shared" si="0"/>
        <v>Clippers Quay Team_Haginson Mtuku</v>
      </c>
      <c r="I33" t="str">
        <f>VLOOKUP(H33,UAT!$H$2:$H$204,1,FALSE)</f>
        <v>Clippers Quay Team_Haginson Mtuku</v>
      </c>
    </row>
    <row r="34" spans="1:9" hidden="1">
      <c r="A34" t="s">
        <v>7</v>
      </c>
      <c r="B34" t="s">
        <v>115</v>
      </c>
      <c r="C34" t="s">
        <v>116</v>
      </c>
      <c r="D34" t="s">
        <v>10</v>
      </c>
      <c r="E34" t="s">
        <v>117</v>
      </c>
      <c r="F34" t="s">
        <v>12</v>
      </c>
      <c r="G34" t="s">
        <v>90</v>
      </c>
      <c r="H34" t="str">
        <f t="shared" si="0"/>
        <v>Clippers Quay Team_Connor Berry</v>
      </c>
      <c r="I34" t="str">
        <f>VLOOKUP(H34,UAT!$H$2:$H$204,1,FALSE)</f>
        <v>Clippers Quay Team_Connor Berry</v>
      </c>
    </row>
    <row r="35" spans="1:9" hidden="1">
      <c r="A35" t="s">
        <v>7</v>
      </c>
      <c r="B35" t="s">
        <v>118</v>
      </c>
      <c r="C35" t="s">
        <v>119</v>
      </c>
      <c r="D35" t="s">
        <v>10</v>
      </c>
      <c r="E35" t="s">
        <v>120</v>
      </c>
      <c r="F35" t="s">
        <v>12</v>
      </c>
      <c r="G35" t="s">
        <v>121</v>
      </c>
      <c r="H35" t="str">
        <f t="shared" si="0"/>
        <v>Copperworks Team_Ruben Cancio</v>
      </c>
      <c r="I35" t="str">
        <f>VLOOKUP(H35,UAT!$H$2:$H$204,1,FALSE)</f>
        <v>Copperworks Team_Ruben Cancio</v>
      </c>
    </row>
    <row r="36" spans="1:9" hidden="1">
      <c r="A36" t="s">
        <v>7</v>
      </c>
      <c r="B36" t="s">
        <v>122</v>
      </c>
      <c r="C36" t="s">
        <v>123</v>
      </c>
      <c r="D36" t="s">
        <v>10</v>
      </c>
      <c r="E36" t="s">
        <v>124</v>
      </c>
      <c r="F36" t="s">
        <v>12</v>
      </c>
      <c r="G36" t="s">
        <v>121</v>
      </c>
      <c r="H36" t="str">
        <f t="shared" si="0"/>
        <v>Copperworks Team_Colette Taylor</v>
      </c>
      <c r="I36" t="str">
        <f>VLOOKUP(H36,UAT!$H$2:$H$204,1,FALSE)</f>
        <v>Copperworks Team_Colette Taylor</v>
      </c>
    </row>
    <row r="37" spans="1:9" hidden="1">
      <c r="A37" t="s">
        <v>7</v>
      </c>
      <c r="B37" t="s">
        <v>125</v>
      </c>
      <c r="C37" t="s">
        <v>126</v>
      </c>
      <c r="D37" t="s">
        <v>10</v>
      </c>
      <c r="E37" t="s">
        <v>127</v>
      </c>
      <c r="F37" t="s">
        <v>12</v>
      </c>
      <c r="G37" t="s">
        <v>121</v>
      </c>
      <c r="H37" t="str">
        <f t="shared" si="0"/>
        <v>Copperworks Team_Jasmine Roberts</v>
      </c>
      <c r="I37" t="str">
        <f>VLOOKUP(H37,UAT!$H$2:$H$204,1,FALSE)</f>
        <v>Copperworks Team_Jasmine Roberts</v>
      </c>
    </row>
    <row r="38" spans="1:9" hidden="1">
      <c r="A38" t="s">
        <v>7</v>
      </c>
      <c r="B38" t="s">
        <v>128</v>
      </c>
      <c r="C38" t="s">
        <v>129</v>
      </c>
      <c r="D38" t="s">
        <v>10</v>
      </c>
      <c r="E38" t="s">
        <v>130</v>
      </c>
      <c r="F38" t="s">
        <v>12</v>
      </c>
      <c r="G38" t="s">
        <v>121</v>
      </c>
      <c r="H38" t="str">
        <f t="shared" si="0"/>
        <v>Copperworks Team_Karen Meek</v>
      </c>
      <c r="I38" t="str">
        <f>VLOOKUP(H38,UAT!$H$2:$H$204,1,FALSE)</f>
        <v>Copperworks Team_Karen Meek</v>
      </c>
    </row>
    <row r="39" spans="1:9" hidden="1">
      <c r="A39" t="s">
        <v>7</v>
      </c>
      <c r="B39" t="s">
        <v>131</v>
      </c>
      <c r="C39" t="s">
        <v>132</v>
      </c>
      <c r="D39" t="s">
        <v>10</v>
      </c>
      <c r="E39" t="s">
        <v>133</v>
      </c>
      <c r="F39" t="s">
        <v>12</v>
      </c>
      <c r="G39" t="s">
        <v>134</v>
      </c>
      <c r="H39" t="str">
        <f t="shared" si="0"/>
        <v>Customer Service Team_Joanne Wraith</v>
      </c>
      <c r="I39" t="str">
        <f>VLOOKUP(H39,UAT!$H$2:$H$204,1,FALSE)</f>
        <v>Customer Service Team_Joanne Wraith</v>
      </c>
    </row>
    <row r="40" spans="1:9" hidden="1">
      <c r="A40" t="s">
        <v>7</v>
      </c>
      <c r="B40" t="s">
        <v>135</v>
      </c>
      <c r="C40" t="s">
        <v>136</v>
      </c>
      <c r="D40" t="s">
        <v>10</v>
      </c>
      <c r="E40" t="s">
        <v>137</v>
      </c>
      <c r="F40" t="s">
        <v>12</v>
      </c>
      <c r="G40" t="s">
        <v>134</v>
      </c>
      <c r="H40" t="str">
        <f t="shared" si="0"/>
        <v>Customer Service Team_Lynn Robson</v>
      </c>
      <c r="I40" t="str">
        <f>VLOOKUP(H40,UAT!$H$2:$H$204,1,FALSE)</f>
        <v>Customer Service Team_Lynn Robson</v>
      </c>
    </row>
    <row r="41" spans="1:9" hidden="1">
      <c r="A41" t="s">
        <v>7</v>
      </c>
      <c r="B41" t="s">
        <v>138</v>
      </c>
      <c r="C41" t="s">
        <v>139</v>
      </c>
      <c r="D41" t="s">
        <v>10</v>
      </c>
      <c r="E41" t="s">
        <v>140</v>
      </c>
      <c r="F41" t="s">
        <v>12</v>
      </c>
      <c r="G41" t="s">
        <v>134</v>
      </c>
      <c r="H41" t="str">
        <f t="shared" si="0"/>
        <v>Customer Service Team_Hugh Peel</v>
      </c>
      <c r="I41" t="str">
        <f>VLOOKUP(H41,UAT!$H$2:$H$204,1,FALSE)</f>
        <v>Customer Service Team_Hugh Peel</v>
      </c>
    </row>
    <row r="42" spans="1:9" hidden="1">
      <c r="A42" t="s">
        <v>7</v>
      </c>
      <c r="B42" t="s">
        <v>141</v>
      </c>
      <c r="C42" t="s">
        <v>142</v>
      </c>
      <c r="D42" t="s">
        <v>10</v>
      </c>
      <c r="E42" t="s">
        <v>143</v>
      </c>
      <c r="F42" t="s">
        <v>12</v>
      </c>
      <c r="G42" t="s">
        <v>134</v>
      </c>
      <c r="H42" t="str">
        <f t="shared" si="0"/>
        <v>Customer Service Team_Conor Howlin</v>
      </c>
      <c r="I42" t="str">
        <f>VLOOKUP(H42,UAT!$H$2:$H$204,1,FALSE)</f>
        <v>Customer Service Team_Conor Howlin</v>
      </c>
    </row>
    <row r="43" spans="1:9" hidden="1">
      <c r="A43" t="s">
        <v>7</v>
      </c>
      <c r="B43" t="s">
        <v>144</v>
      </c>
      <c r="C43" t="s">
        <v>145</v>
      </c>
      <c r="D43" t="s">
        <v>10</v>
      </c>
      <c r="E43" t="s">
        <v>146</v>
      </c>
      <c r="F43" t="s">
        <v>12</v>
      </c>
      <c r="G43" t="s">
        <v>134</v>
      </c>
      <c r="H43" t="str">
        <f t="shared" si="0"/>
        <v>Customer Service Team_Matthew Grayton</v>
      </c>
      <c r="I43" t="str">
        <f>VLOOKUP(H43,UAT!$H$2:$H$204,1,FALSE)</f>
        <v>Customer Service Team_Matthew Grayton</v>
      </c>
    </row>
    <row r="44" spans="1:9" hidden="1">
      <c r="A44" t="s">
        <v>7</v>
      </c>
      <c r="B44" t="s">
        <v>147</v>
      </c>
      <c r="C44" t="s">
        <v>148</v>
      </c>
      <c r="D44" t="s">
        <v>10</v>
      </c>
      <c r="E44" t="s">
        <v>149</v>
      </c>
      <c r="F44" t="s">
        <v>12</v>
      </c>
      <c r="G44" t="s">
        <v>134</v>
      </c>
      <c r="H44" t="str">
        <f t="shared" si="0"/>
        <v>Customer Service Team_Bradley Brown</v>
      </c>
      <c r="I44" t="str">
        <f>VLOOKUP(H44,UAT!$H$2:$H$204,1,FALSE)</f>
        <v>Customer Service Team_Bradley Brown</v>
      </c>
    </row>
    <row r="45" spans="1:9" hidden="1">
      <c r="A45" t="s">
        <v>7</v>
      </c>
      <c r="B45" t="s">
        <v>150</v>
      </c>
      <c r="C45" t="s">
        <v>151</v>
      </c>
      <c r="D45" t="s">
        <v>10</v>
      </c>
      <c r="E45" t="s">
        <v>152</v>
      </c>
      <c r="F45" t="s">
        <v>12</v>
      </c>
      <c r="G45" t="s">
        <v>134</v>
      </c>
      <c r="H45" t="str">
        <f t="shared" si="0"/>
        <v>Customer Service Team_Gav Rowley</v>
      </c>
      <c r="I45" t="str">
        <f>VLOOKUP(H45,UAT!$H$2:$H$204,1,FALSE)</f>
        <v>Customer Service Team_Gav Rowley</v>
      </c>
    </row>
    <row r="46" spans="1:9" hidden="1">
      <c r="A46" t="s">
        <v>7</v>
      </c>
      <c r="B46" t="s">
        <v>153</v>
      </c>
      <c r="C46" t="s">
        <v>154</v>
      </c>
      <c r="D46" t="s">
        <v>10</v>
      </c>
      <c r="E46" t="s">
        <v>155</v>
      </c>
      <c r="F46" t="s">
        <v>12</v>
      </c>
      <c r="G46" t="s">
        <v>134</v>
      </c>
      <c r="H46" t="str">
        <f t="shared" si="0"/>
        <v>Customer Service Team_Tayla Bonwick</v>
      </c>
      <c r="I46" t="str">
        <f>VLOOKUP(H46,UAT!$H$2:$H$204,1,FALSE)</f>
        <v>Customer Service Team_Tayla Bonwick</v>
      </c>
    </row>
    <row r="47" spans="1:9" hidden="1">
      <c r="A47" t="s">
        <v>7</v>
      </c>
      <c r="B47" t="s">
        <v>156</v>
      </c>
      <c r="C47" t="s">
        <v>157</v>
      </c>
      <c r="D47" t="s">
        <v>10</v>
      </c>
      <c r="E47" t="s">
        <v>158</v>
      </c>
      <c r="F47" t="s">
        <v>12</v>
      </c>
      <c r="G47" t="s">
        <v>134</v>
      </c>
      <c r="H47" t="str">
        <f t="shared" si="0"/>
        <v>Customer Service Team_Jacqui Dobson</v>
      </c>
      <c r="I47" t="str">
        <f>VLOOKUP(H47,UAT!$H$2:$H$204,1,FALSE)</f>
        <v>Customer Service Team_Jacqui Dobson</v>
      </c>
    </row>
    <row r="48" spans="1:9" hidden="1">
      <c r="A48" t="s">
        <v>7</v>
      </c>
      <c r="B48" t="s">
        <v>159</v>
      </c>
      <c r="C48" t="s">
        <v>160</v>
      </c>
      <c r="D48" t="s">
        <v>10</v>
      </c>
      <c r="E48" t="s">
        <v>161</v>
      </c>
      <c r="F48" t="s">
        <v>12</v>
      </c>
      <c r="G48" t="s">
        <v>162</v>
      </c>
      <c r="H48" t="str">
        <f t="shared" si="0"/>
        <v>Enigma Square Team_Tina Viragh</v>
      </c>
      <c r="I48" t="str">
        <f>VLOOKUP(H48,UAT!$H$2:$H$204,1,FALSE)</f>
        <v>Enigma Square Team_Tina Viragh</v>
      </c>
    </row>
    <row r="49" spans="1:9" hidden="1">
      <c r="A49" t="s">
        <v>7</v>
      </c>
      <c r="B49" t="s">
        <v>163</v>
      </c>
      <c r="C49" t="s">
        <v>164</v>
      </c>
      <c r="D49" t="s">
        <v>10</v>
      </c>
      <c r="E49" t="s">
        <v>165</v>
      </c>
      <c r="F49" t="s">
        <v>12</v>
      </c>
      <c r="G49" t="s">
        <v>162</v>
      </c>
      <c r="H49" t="str">
        <f t="shared" si="0"/>
        <v>Enigma Square Team_Danielle Stewart</v>
      </c>
      <c r="I49" t="str">
        <f>VLOOKUP(H49,UAT!$H$2:$H$204,1,FALSE)</f>
        <v>Enigma Square Team_Danielle Stewart</v>
      </c>
    </row>
    <row r="50" spans="1:9" hidden="1">
      <c r="A50" t="s">
        <v>7</v>
      </c>
      <c r="B50" t="s">
        <v>166</v>
      </c>
      <c r="C50" t="s">
        <v>167</v>
      </c>
      <c r="D50" t="s">
        <v>10</v>
      </c>
      <c r="E50" t="s">
        <v>168</v>
      </c>
      <c r="F50" t="s">
        <v>12</v>
      </c>
      <c r="G50" t="s">
        <v>162</v>
      </c>
      <c r="H50" t="str">
        <f t="shared" si="0"/>
        <v>Enigma Square Team_Barbara Kaszuba</v>
      </c>
      <c r="I50" t="str">
        <f>VLOOKUP(H50,UAT!$H$2:$H$204,1,FALSE)</f>
        <v>Enigma Square Team_Barbara Kaszuba</v>
      </c>
    </row>
    <row r="51" spans="1:9" hidden="1">
      <c r="A51" t="s">
        <v>7</v>
      </c>
      <c r="B51" t="s">
        <v>169</v>
      </c>
      <c r="C51" t="s">
        <v>170</v>
      </c>
      <c r="D51" t="s">
        <v>10</v>
      </c>
      <c r="E51" t="s">
        <v>171</v>
      </c>
      <c r="F51" t="s">
        <v>12</v>
      </c>
      <c r="G51" t="s">
        <v>162</v>
      </c>
      <c r="H51" t="str">
        <f t="shared" si="0"/>
        <v>Enigma Square Team_Josh Niles</v>
      </c>
      <c r="I51" t="str">
        <f>VLOOKUP(H51,UAT!$H$2:$H$204,1,FALSE)</f>
        <v>Enigma Square Team_Josh Niles</v>
      </c>
    </row>
    <row r="52" spans="1:9" hidden="1">
      <c r="A52" t="s">
        <v>7</v>
      </c>
      <c r="B52" t="s">
        <v>172</v>
      </c>
      <c r="C52" t="s">
        <v>173</v>
      </c>
      <c r="D52" t="s">
        <v>10</v>
      </c>
      <c r="E52" t="s">
        <v>174</v>
      </c>
      <c r="F52" t="s">
        <v>12</v>
      </c>
      <c r="G52" t="s">
        <v>162</v>
      </c>
      <c r="H52" t="str">
        <f t="shared" si="0"/>
        <v>Enigma Square Team_Michelle Rafferty</v>
      </c>
      <c r="I52" t="str">
        <f>VLOOKUP(H52,UAT!$H$2:$H$204,1,FALSE)</f>
        <v>Enigma Square Team_Michelle Rafferty</v>
      </c>
    </row>
    <row r="53" spans="1:9">
      <c r="A53" t="s">
        <v>7</v>
      </c>
      <c r="B53" t="s">
        <v>175</v>
      </c>
      <c r="C53" t="s">
        <v>176</v>
      </c>
      <c r="D53" t="s">
        <v>10</v>
      </c>
      <c r="E53" t="s">
        <v>177</v>
      </c>
      <c r="F53" t="s">
        <v>12</v>
      </c>
      <c r="G53" t="s">
        <v>162</v>
      </c>
      <c r="H53" t="str">
        <f t="shared" si="0"/>
        <v>Enigma Square Team_Abigail Unger</v>
      </c>
      <c r="I53" t="e">
        <f>VLOOKUP(H53,UAT!$H$2:$H$204,1,FALSE)</f>
        <v>#N/A</v>
      </c>
    </row>
    <row r="54" spans="1:9" hidden="1">
      <c r="A54" t="s">
        <v>7</v>
      </c>
      <c r="B54" t="s">
        <v>178</v>
      </c>
      <c r="C54" t="s">
        <v>179</v>
      </c>
      <c r="D54" t="s">
        <v>10</v>
      </c>
      <c r="E54" t="s">
        <v>180</v>
      </c>
      <c r="F54" t="s">
        <v>12</v>
      </c>
      <c r="G54" t="s">
        <v>162</v>
      </c>
      <c r="H54" t="str">
        <f t="shared" si="0"/>
        <v>Enigma Square Team_Grace Fiske</v>
      </c>
      <c r="I54" t="str">
        <f>VLOOKUP(H54,UAT!$H$2:$H$204,1,FALSE)</f>
        <v>Enigma Square Team_Grace Fiske</v>
      </c>
    </row>
    <row r="55" spans="1:9" hidden="1">
      <c r="A55" t="s">
        <v>7</v>
      </c>
      <c r="B55" t="s">
        <v>181</v>
      </c>
      <c r="C55" t="s">
        <v>182</v>
      </c>
      <c r="D55" t="s">
        <v>10</v>
      </c>
      <c r="E55" t="s">
        <v>183</v>
      </c>
      <c r="F55" t="s">
        <v>12</v>
      </c>
      <c r="G55" t="s">
        <v>162</v>
      </c>
      <c r="H55" t="str">
        <f t="shared" si="0"/>
        <v>Enigma Square Team_Sharon Goyder-Smith</v>
      </c>
      <c r="I55" t="str">
        <f>VLOOKUP(H55,UAT!$H$2:$H$204,1,FALSE)</f>
        <v>Enigma Square Team_Sharon Goyder-Smith</v>
      </c>
    </row>
    <row r="56" spans="1:9" s="2" customFormat="1">
      <c r="A56" s="2" t="s">
        <v>7</v>
      </c>
      <c r="B56" s="2" t="s">
        <v>184</v>
      </c>
      <c r="C56" s="2" t="s">
        <v>185</v>
      </c>
      <c r="D56" s="2" t="s">
        <v>10</v>
      </c>
      <c r="E56" s="2" t="s">
        <v>186</v>
      </c>
      <c r="F56" s="2" t="s">
        <v>12</v>
      </c>
      <c r="G56" s="2" t="s">
        <v>187</v>
      </c>
      <c r="H56" s="2" t="str">
        <f t="shared" si="0"/>
        <v>EOT Lettings South_Georgia Davis</v>
      </c>
      <c r="I56" s="2" t="e">
        <f>VLOOKUP(H56,UAT!$H$2:$H$204,1,FALSE)</f>
        <v>#N/A</v>
      </c>
    </row>
    <row r="57" spans="1:9" s="2" customFormat="1">
      <c r="A57" s="2" t="s">
        <v>7</v>
      </c>
      <c r="B57" s="2" t="s">
        <v>188</v>
      </c>
      <c r="C57" s="2" t="s">
        <v>189</v>
      </c>
      <c r="D57" s="2" t="s">
        <v>10</v>
      </c>
      <c r="E57" s="2" t="s">
        <v>190</v>
      </c>
      <c r="F57" s="2" t="s">
        <v>12</v>
      </c>
      <c r="G57" s="2" t="s">
        <v>187</v>
      </c>
      <c r="H57" s="2" t="str">
        <f t="shared" si="0"/>
        <v>EOT Lettings South_Gemma Gavin</v>
      </c>
      <c r="I57" s="2" t="str">
        <f>VLOOKUP(H57,UAT!$H$2:$H$204,1,FALSE)</f>
        <v>EOT Lettings South_Gemma Gavin</v>
      </c>
    </row>
    <row r="58" spans="1:9" hidden="1">
      <c r="A58" t="s">
        <v>7</v>
      </c>
      <c r="B58" t="s">
        <v>191</v>
      </c>
      <c r="C58" t="s">
        <v>192</v>
      </c>
      <c r="D58" t="s">
        <v>10</v>
      </c>
      <c r="E58" t="s">
        <v>193</v>
      </c>
      <c r="F58" t="s">
        <v>12</v>
      </c>
      <c r="G58" t="s">
        <v>194</v>
      </c>
      <c r="H58" t="str">
        <f t="shared" si="0"/>
        <v>Finance Team_Scott Cooley</v>
      </c>
      <c r="I58" t="str">
        <f>VLOOKUP(H58,UAT!$H$2:$H$204,1,FALSE)</f>
        <v>Finance Team_Scott Cooley</v>
      </c>
    </row>
    <row r="59" spans="1:9" hidden="1">
      <c r="A59" t="s">
        <v>7</v>
      </c>
      <c r="B59" t="s">
        <v>195</v>
      </c>
      <c r="C59" t="s">
        <v>196</v>
      </c>
      <c r="D59" t="s">
        <v>10</v>
      </c>
      <c r="E59" t="s">
        <v>197</v>
      </c>
      <c r="F59" t="s">
        <v>12</v>
      </c>
      <c r="G59" t="s">
        <v>194</v>
      </c>
      <c r="H59" t="str">
        <f t="shared" si="0"/>
        <v>Finance Team_Margaret Alston</v>
      </c>
      <c r="I59" t="str">
        <f>VLOOKUP(H59,UAT!$H$2:$H$204,1,FALSE)</f>
        <v>Finance Team_Margaret Alston</v>
      </c>
    </row>
    <row r="60" spans="1:9" hidden="1">
      <c r="A60" t="s">
        <v>7</v>
      </c>
      <c r="B60" t="s">
        <v>198</v>
      </c>
      <c r="C60" t="s">
        <v>199</v>
      </c>
      <c r="D60" t="s">
        <v>10</v>
      </c>
      <c r="E60" t="s">
        <v>200</v>
      </c>
      <c r="F60" t="s">
        <v>12</v>
      </c>
      <c r="G60" t="s">
        <v>194</v>
      </c>
      <c r="H60" t="str">
        <f t="shared" si="0"/>
        <v>Finance Team_Alison Adamson</v>
      </c>
      <c r="I60" t="str">
        <f>VLOOKUP(H60,UAT!$H$2:$H$204,1,FALSE)</f>
        <v>Finance Team_Alison Adamson</v>
      </c>
    </row>
    <row r="61" spans="1:9" hidden="1">
      <c r="A61" t="s">
        <v>7</v>
      </c>
      <c r="B61" t="s">
        <v>201</v>
      </c>
      <c r="C61" t="s">
        <v>202</v>
      </c>
      <c r="D61" t="s">
        <v>10</v>
      </c>
      <c r="E61" t="s">
        <v>203</v>
      </c>
      <c r="F61" t="s">
        <v>12</v>
      </c>
      <c r="G61" t="s">
        <v>194</v>
      </c>
      <c r="H61" t="str">
        <f t="shared" si="0"/>
        <v>Finance Team_Anne Stephenson</v>
      </c>
      <c r="I61" t="str">
        <f>VLOOKUP(H61,UAT!$H$2:$H$204,1,FALSE)</f>
        <v>Finance Team_Anne Stephenson</v>
      </c>
    </row>
    <row r="62" spans="1:9" hidden="1">
      <c r="A62" t="s">
        <v>7</v>
      </c>
      <c r="B62" t="s">
        <v>204</v>
      </c>
      <c r="C62" t="s">
        <v>205</v>
      </c>
      <c r="D62" t="s">
        <v>10</v>
      </c>
      <c r="E62" t="s">
        <v>206</v>
      </c>
      <c r="F62" t="s">
        <v>12</v>
      </c>
      <c r="G62" t="s">
        <v>194</v>
      </c>
      <c r="H62" t="str">
        <f t="shared" si="0"/>
        <v>Finance Team_Melanie Haughey</v>
      </c>
      <c r="I62" t="str">
        <f>VLOOKUP(H62,UAT!$H$2:$H$204,1,FALSE)</f>
        <v>Finance Team_Melanie Haughey</v>
      </c>
    </row>
    <row r="63" spans="1:9" hidden="1">
      <c r="A63" t="s">
        <v>7</v>
      </c>
      <c r="B63" t="s">
        <v>207</v>
      </c>
      <c r="C63" t="s">
        <v>208</v>
      </c>
      <c r="D63" t="s">
        <v>10</v>
      </c>
      <c r="E63" t="s">
        <v>209</v>
      </c>
      <c r="F63" t="s">
        <v>12</v>
      </c>
      <c r="G63" t="s">
        <v>194</v>
      </c>
      <c r="H63" t="str">
        <f t="shared" si="0"/>
        <v>Finance Team_Grace Thompson</v>
      </c>
      <c r="I63" t="str">
        <f>VLOOKUP(H63,UAT!$H$2:$H$204,1,FALSE)</f>
        <v>Finance Team_Grace Thompson</v>
      </c>
    </row>
    <row r="64" spans="1:9" hidden="1">
      <c r="A64" t="s">
        <v>7</v>
      </c>
      <c r="B64" t="s">
        <v>210</v>
      </c>
      <c r="C64" t="s">
        <v>211</v>
      </c>
      <c r="D64" t="s">
        <v>10</v>
      </c>
      <c r="E64" t="s">
        <v>212</v>
      </c>
      <c r="F64" t="s">
        <v>12</v>
      </c>
      <c r="G64" t="s">
        <v>194</v>
      </c>
      <c r="H64" t="str">
        <f t="shared" si="0"/>
        <v>Finance Team_Melanie Cain</v>
      </c>
      <c r="I64" t="str">
        <f>VLOOKUP(H64,UAT!$H$2:$H$204,1,FALSE)</f>
        <v>Finance Team_Melanie Cain</v>
      </c>
    </row>
    <row r="65" spans="1:9" hidden="1">
      <c r="A65" t="s">
        <v>7</v>
      </c>
      <c r="B65" t="s">
        <v>213</v>
      </c>
      <c r="C65" t="s">
        <v>214</v>
      </c>
      <c r="D65" t="s">
        <v>10</v>
      </c>
      <c r="E65" t="s">
        <v>215</v>
      </c>
      <c r="F65" t="s">
        <v>12</v>
      </c>
      <c r="G65" t="s">
        <v>194</v>
      </c>
      <c r="H65" t="str">
        <f t="shared" si="0"/>
        <v>Finance Team_Kirsty Marrin</v>
      </c>
      <c r="I65" t="str">
        <f>VLOOKUP(H65,UAT!$H$2:$H$204,1,FALSE)</f>
        <v>Finance Team_Kirsty Marrin</v>
      </c>
    </row>
    <row r="66" spans="1:9" hidden="1">
      <c r="A66" t="s">
        <v>7</v>
      </c>
      <c r="B66" t="s">
        <v>216</v>
      </c>
      <c r="C66" t="s">
        <v>217</v>
      </c>
      <c r="D66" t="s">
        <v>10</v>
      </c>
      <c r="E66" t="s">
        <v>218</v>
      </c>
      <c r="F66" t="s">
        <v>12</v>
      </c>
      <c r="G66" t="s">
        <v>194</v>
      </c>
      <c r="H66" t="str">
        <f t="shared" si="0"/>
        <v>Finance Team_Helen Bell</v>
      </c>
      <c r="I66" t="str">
        <f>VLOOKUP(H66,UAT!$H$2:$H$204,1,FALSE)</f>
        <v>Finance Team_Helen Bell</v>
      </c>
    </row>
    <row r="67" spans="1:9" hidden="1">
      <c r="A67" t="s">
        <v>7</v>
      </c>
      <c r="B67" t="s">
        <v>219</v>
      </c>
      <c r="C67" t="s">
        <v>220</v>
      </c>
      <c r="D67" t="s">
        <v>10</v>
      </c>
      <c r="E67" t="s">
        <v>221</v>
      </c>
      <c r="F67" t="s">
        <v>12</v>
      </c>
      <c r="G67" t="s">
        <v>194</v>
      </c>
      <c r="H67" t="str">
        <f t="shared" ref="H67:H130" si="1">G67&amp;"_"&amp;E67</f>
        <v>Finance Team_Hazel Armstrong</v>
      </c>
      <c r="I67" t="str">
        <f>VLOOKUP(H67,UAT!$H$2:$H$204,1,FALSE)</f>
        <v>Finance Team_Hazel Armstrong</v>
      </c>
    </row>
    <row r="68" spans="1:9" hidden="1">
      <c r="A68" t="s">
        <v>7</v>
      </c>
      <c r="B68" t="s">
        <v>222</v>
      </c>
      <c r="C68" t="s">
        <v>223</v>
      </c>
      <c r="D68" t="s">
        <v>10</v>
      </c>
      <c r="E68" t="s">
        <v>224</v>
      </c>
      <c r="F68" t="s">
        <v>12</v>
      </c>
      <c r="G68" t="s">
        <v>194</v>
      </c>
      <c r="H68" t="str">
        <f t="shared" si="1"/>
        <v>Finance Team_Lesley Richardson</v>
      </c>
      <c r="I68" t="str">
        <f>VLOOKUP(H68,UAT!$H$2:$H$204,1,FALSE)</f>
        <v>Finance Team_Lesley Richardson</v>
      </c>
    </row>
    <row r="69" spans="1:9" hidden="1">
      <c r="A69" t="s">
        <v>7</v>
      </c>
      <c r="B69" t="s">
        <v>225</v>
      </c>
      <c r="C69" t="s">
        <v>226</v>
      </c>
      <c r="D69" t="s">
        <v>10</v>
      </c>
      <c r="E69" t="s">
        <v>227</v>
      </c>
      <c r="F69" t="s">
        <v>12</v>
      </c>
      <c r="G69" t="s">
        <v>228</v>
      </c>
      <c r="H69" t="str">
        <f t="shared" si="1"/>
        <v>Gatehouse Team_Alice Shaw</v>
      </c>
      <c r="I69" t="str">
        <f>VLOOKUP(H69,UAT!$H$2:$H$204,1,FALSE)</f>
        <v>Gatehouse Team_Alice Shaw</v>
      </c>
    </row>
    <row r="70" spans="1:9" hidden="1">
      <c r="A70" t="s">
        <v>7</v>
      </c>
      <c r="B70" t="s">
        <v>229</v>
      </c>
      <c r="C70" t="s">
        <v>196</v>
      </c>
      <c r="D70" t="s">
        <v>10</v>
      </c>
      <c r="E70" t="s">
        <v>197</v>
      </c>
      <c r="F70" t="s">
        <v>12</v>
      </c>
      <c r="G70" t="s">
        <v>228</v>
      </c>
      <c r="H70" t="str">
        <f t="shared" si="1"/>
        <v>Gatehouse Team_Margaret Alston</v>
      </c>
      <c r="I70" t="str">
        <f>VLOOKUP(H70,UAT!$H$2:$H$204,1,FALSE)</f>
        <v>Gatehouse Team_Margaret Alston</v>
      </c>
    </row>
    <row r="71" spans="1:9" hidden="1">
      <c r="A71" t="s">
        <v>7</v>
      </c>
      <c r="B71" t="s">
        <v>230</v>
      </c>
      <c r="C71" t="s">
        <v>231</v>
      </c>
      <c r="D71" t="s">
        <v>10</v>
      </c>
      <c r="E71" t="s">
        <v>232</v>
      </c>
      <c r="F71" t="s">
        <v>12</v>
      </c>
      <c r="G71" t="s">
        <v>228</v>
      </c>
      <c r="H71" t="str">
        <f t="shared" si="1"/>
        <v>Gatehouse Team_Rimvydas Tumas</v>
      </c>
      <c r="I71" t="str">
        <f>VLOOKUP(H71,UAT!$H$2:$H$204,1,FALSE)</f>
        <v>Gatehouse Team_Rimvydas Tumas</v>
      </c>
    </row>
    <row r="72" spans="1:9" hidden="1">
      <c r="A72" t="s">
        <v>7</v>
      </c>
      <c r="B72" t="s">
        <v>233</v>
      </c>
      <c r="C72" t="s">
        <v>234</v>
      </c>
      <c r="D72" t="s">
        <v>10</v>
      </c>
      <c r="E72" t="s">
        <v>235</v>
      </c>
      <c r="F72" t="s">
        <v>12</v>
      </c>
      <c r="G72" t="s">
        <v>228</v>
      </c>
      <c r="H72" t="str">
        <f t="shared" si="1"/>
        <v>Gatehouse Team_Treasa Larke</v>
      </c>
      <c r="I72" t="str">
        <f>VLOOKUP(H72,UAT!$H$2:$H$204,1,FALSE)</f>
        <v>Gatehouse Team_Treasa Larke</v>
      </c>
    </row>
    <row r="73" spans="1:9" hidden="1">
      <c r="A73" t="s">
        <v>7</v>
      </c>
      <c r="B73" t="s">
        <v>236</v>
      </c>
      <c r="C73" t="s">
        <v>237</v>
      </c>
      <c r="D73" t="s">
        <v>10</v>
      </c>
      <c r="E73" t="s">
        <v>238</v>
      </c>
      <c r="F73" t="s">
        <v>12</v>
      </c>
      <c r="G73" t="s">
        <v>228</v>
      </c>
      <c r="H73" t="str">
        <f t="shared" si="1"/>
        <v>Gatehouse Team_Hayley Fry</v>
      </c>
      <c r="I73" t="str">
        <f>VLOOKUP(H73,UAT!$H$2:$H$204,1,FALSE)</f>
        <v>Gatehouse Team_Hayley Fry</v>
      </c>
    </row>
    <row r="74" spans="1:9" hidden="1">
      <c r="A74" t="s">
        <v>7</v>
      </c>
      <c r="B74" t="s">
        <v>239</v>
      </c>
      <c r="C74" t="s">
        <v>240</v>
      </c>
      <c r="D74" t="s">
        <v>10</v>
      </c>
      <c r="E74" t="s">
        <v>241</v>
      </c>
      <c r="F74" t="s">
        <v>12</v>
      </c>
      <c r="G74" t="s">
        <v>242</v>
      </c>
      <c r="H74" t="str">
        <f t="shared" si="1"/>
        <v>Gilders Yard Team_Zara Gulistan</v>
      </c>
      <c r="I74" t="str">
        <f>VLOOKUP(H74,UAT!$H$2:$H$204,1,FALSE)</f>
        <v>Gilders Yard Team_Zara Gulistan</v>
      </c>
    </row>
    <row r="75" spans="1:9" hidden="1">
      <c r="A75" t="s">
        <v>7</v>
      </c>
      <c r="B75" t="s">
        <v>243</v>
      </c>
      <c r="C75" t="s">
        <v>244</v>
      </c>
      <c r="D75" t="s">
        <v>10</v>
      </c>
      <c r="E75" t="s">
        <v>245</v>
      </c>
      <c r="F75" t="s">
        <v>12</v>
      </c>
      <c r="G75" t="s">
        <v>242</v>
      </c>
      <c r="H75" t="str">
        <f t="shared" si="1"/>
        <v>Gilders Yard Team_James Bell</v>
      </c>
      <c r="I75" t="str">
        <f>VLOOKUP(H75,UAT!$H$2:$H$204,1,FALSE)</f>
        <v>Gilders Yard Team_James Bell</v>
      </c>
    </row>
    <row r="76" spans="1:9" hidden="1">
      <c r="A76" t="s">
        <v>7</v>
      </c>
      <c r="B76" t="s">
        <v>246</v>
      </c>
      <c r="C76" t="s">
        <v>247</v>
      </c>
      <c r="D76" t="s">
        <v>10</v>
      </c>
      <c r="E76" t="s">
        <v>248</v>
      </c>
      <c r="F76" t="s">
        <v>12</v>
      </c>
      <c r="G76" t="s">
        <v>242</v>
      </c>
      <c r="H76" t="str">
        <f t="shared" si="1"/>
        <v>Gilders Yard Team_Gurinder Punia</v>
      </c>
      <c r="I76" t="str">
        <f>VLOOKUP(H76,UAT!$H$2:$H$204,1,FALSE)</f>
        <v>Gilders Yard Team_Gurinder Punia</v>
      </c>
    </row>
    <row r="77" spans="1:9" hidden="1">
      <c r="A77" t="s">
        <v>7</v>
      </c>
      <c r="B77" t="s">
        <v>249</v>
      </c>
      <c r="C77" t="s">
        <v>250</v>
      </c>
      <c r="D77" t="s">
        <v>10</v>
      </c>
      <c r="E77" t="s">
        <v>251</v>
      </c>
      <c r="F77" t="s">
        <v>12</v>
      </c>
      <c r="G77" t="s">
        <v>242</v>
      </c>
      <c r="H77" t="str">
        <f t="shared" si="1"/>
        <v>Gilders Yard Team_Sonia Duffus</v>
      </c>
      <c r="I77" t="str">
        <f>VLOOKUP(H77,UAT!$H$2:$H$204,1,FALSE)</f>
        <v>Gilders Yard Team_Sonia Duffus</v>
      </c>
    </row>
    <row r="78" spans="1:9">
      <c r="A78" t="s">
        <v>7</v>
      </c>
      <c r="B78" t="s">
        <v>252</v>
      </c>
      <c r="C78" t="s">
        <v>253</v>
      </c>
      <c r="D78" t="s">
        <v>10</v>
      </c>
      <c r="E78" t="s">
        <v>254</v>
      </c>
      <c r="F78" t="s">
        <v>12</v>
      </c>
      <c r="G78" t="s">
        <v>242</v>
      </c>
      <c r="H78" t="str">
        <f t="shared" si="1"/>
        <v>Gilders Yard Team_Neil Persad</v>
      </c>
      <c r="I78" t="e">
        <f>VLOOKUP(H78,UAT!$H$2:$H$204,1,FALSE)</f>
        <v>#N/A</v>
      </c>
    </row>
    <row r="79" spans="1:9">
      <c r="A79" t="s">
        <v>7</v>
      </c>
      <c r="B79" t="s">
        <v>255</v>
      </c>
      <c r="C79" t="s">
        <v>256</v>
      </c>
      <c r="D79" t="s">
        <v>10</v>
      </c>
      <c r="E79" t="s">
        <v>257</v>
      </c>
      <c r="F79" t="s">
        <v>12</v>
      </c>
      <c r="G79" t="s">
        <v>242</v>
      </c>
      <c r="H79" t="str">
        <f t="shared" si="1"/>
        <v>Gilders Yard Team_Augustina Borsos</v>
      </c>
      <c r="I79" t="e">
        <f>VLOOKUP(H79,UAT!$H$2:$H$204,1,FALSE)</f>
        <v>#N/A</v>
      </c>
    </row>
    <row r="80" spans="1:9" hidden="1">
      <c r="A80" t="s">
        <v>7</v>
      </c>
      <c r="B80" t="s">
        <v>258</v>
      </c>
      <c r="C80" t="s">
        <v>259</v>
      </c>
      <c r="D80" t="s">
        <v>10</v>
      </c>
      <c r="E80" t="s">
        <v>260</v>
      </c>
      <c r="F80" t="s">
        <v>12</v>
      </c>
      <c r="G80" t="s">
        <v>261</v>
      </c>
      <c r="H80" t="str">
        <f t="shared" si="1"/>
        <v>Hawkins &amp; George Team_Owen Reed</v>
      </c>
      <c r="I80" t="str">
        <f>VLOOKUP(H80,UAT!$H$2:$H$204,1,FALSE)</f>
        <v>Hawkins &amp; George Team_Owen Reed</v>
      </c>
    </row>
    <row r="81" spans="1:9">
      <c r="A81" t="s">
        <v>7</v>
      </c>
      <c r="B81" t="s">
        <v>262</v>
      </c>
      <c r="C81" t="s">
        <v>263</v>
      </c>
      <c r="D81" t="s">
        <v>10</v>
      </c>
      <c r="E81" t="s">
        <v>264</v>
      </c>
      <c r="F81" t="s">
        <v>12</v>
      </c>
      <c r="G81" t="s">
        <v>261</v>
      </c>
      <c r="H81" t="str">
        <f t="shared" si="1"/>
        <v>Hawkins &amp; George Team_Lana Denness</v>
      </c>
      <c r="I81" t="e">
        <f>VLOOKUP(H81,UAT!$H$2:$H$204,1,FALSE)</f>
        <v>#N/A</v>
      </c>
    </row>
    <row r="82" spans="1:9" hidden="1">
      <c r="A82" t="s">
        <v>7</v>
      </c>
      <c r="B82" t="s">
        <v>265</v>
      </c>
      <c r="C82" t="s">
        <v>266</v>
      </c>
      <c r="D82" t="s">
        <v>10</v>
      </c>
      <c r="E82" t="s">
        <v>267</v>
      </c>
      <c r="F82" t="s">
        <v>12</v>
      </c>
      <c r="G82" t="s">
        <v>261</v>
      </c>
      <c r="H82" t="str">
        <f t="shared" si="1"/>
        <v>Hawkins &amp; George Team_Sarah Regan</v>
      </c>
      <c r="I82" t="str">
        <f>VLOOKUP(H82,UAT!$H$2:$H$204,1,FALSE)</f>
        <v>Hawkins &amp; George Team_Sarah Regan</v>
      </c>
    </row>
    <row r="83" spans="1:9" hidden="1">
      <c r="A83" t="s">
        <v>7</v>
      </c>
      <c r="B83" t="s">
        <v>268</v>
      </c>
      <c r="C83" t="s">
        <v>269</v>
      </c>
      <c r="D83" t="s">
        <v>10</v>
      </c>
      <c r="E83" t="s">
        <v>270</v>
      </c>
      <c r="F83" t="s">
        <v>12</v>
      </c>
      <c r="G83" t="s">
        <v>261</v>
      </c>
      <c r="H83" t="str">
        <f t="shared" si="1"/>
        <v>Hawkins &amp; George Team_Craig Parkinson</v>
      </c>
      <c r="I83" t="str">
        <f>VLOOKUP(H83,UAT!$H$2:$H$204,1,FALSE)</f>
        <v>Hawkins &amp; George Team_Craig Parkinson</v>
      </c>
    </row>
    <row r="84" spans="1:9" hidden="1">
      <c r="A84" t="s">
        <v>7</v>
      </c>
      <c r="B84" t="s">
        <v>271</v>
      </c>
      <c r="C84" t="s">
        <v>272</v>
      </c>
      <c r="D84" t="s">
        <v>10</v>
      </c>
      <c r="E84" t="s">
        <v>273</v>
      </c>
      <c r="F84" t="s">
        <v>12</v>
      </c>
      <c r="G84" t="s">
        <v>261</v>
      </c>
      <c r="H84" t="str">
        <f t="shared" si="1"/>
        <v>Hawkins &amp; George Team_Alexandra Claridge</v>
      </c>
      <c r="I84" t="str">
        <f>VLOOKUP(H84,UAT!$H$2:$H$204,1,FALSE)</f>
        <v>Hawkins &amp; George Team_Alexandra Claridge</v>
      </c>
    </row>
    <row r="85" spans="1:9" hidden="1">
      <c r="A85" t="s">
        <v>7</v>
      </c>
      <c r="B85" t="s">
        <v>274</v>
      </c>
      <c r="C85" t="s">
        <v>275</v>
      </c>
      <c r="D85" t="s">
        <v>10</v>
      </c>
      <c r="E85" t="s">
        <v>276</v>
      </c>
      <c r="F85" t="s">
        <v>12</v>
      </c>
      <c r="G85" t="s">
        <v>261</v>
      </c>
      <c r="H85" t="str">
        <f t="shared" si="1"/>
        <v>Hawkins &amp; George Team_Henry Kaputa</v>
      </c>
      <c r="I85" t="str">
        <f>VLOOKUP(H85,UAT!$H$2:$H$204,1,FALSE)</f>
        <v>Hawkins &amp; George Team_Henry Kaputa</v>
      </c>
    </row>
    <row r="86" spans="1:9" hidden="1">
      <c r="A86" t="s">
        <v>7</v>
      </c>
      <c r="B86" t="s">
        <v>277</v>
      </c>
      <c r="C86" t="s">
        <v>278</v>
      </c>
      <c r="D86" t="s">
        <v>10</v>
      </c>
      <c r="E86" t="s">
        <v>279</v>
      </c>
      <c r="F86" t="s">
        <v>12</v>
      </c>
      <c r="G86" t="s">
        <v>261</v>
      </c>
      <c r="H86" t="str">
        <f t="shared" si="1"/>
        <v>Hawkins &amp; George Team_Olivia Baker</v>
      </c>
      <c r="I86" t="str">
        <f>VLOOKUP(H86,UAT!$H$2:$H$204,1,FALSE)</f>
        <v>Hawkins &amp; George Team_Olivia Baker</v>
      </c>
    </row>
    <row r="87" spans="1:9" s="4" customFormat="1">
      <c r="A87" s="4" t="s">
        <v>7</v>
      </c>
      <c r="B87" s="4" t="s">
        <v>280</v>
      </c>
      <c r="C87" s="4" t="s">
        <v>123</v>
      </c>
      <c r="D87" s="4" t="s">
        <v>10</v>
      </c>
      <c r="E87" s="4" t="s">
        <v>124</v>
      </c>
      <c r="F87" s="4" t="s">
        <v>12</v>
      </c>
      <c r="G87" s="4" t="s">
        <v>281</v>
      </c>
      <c r="H87" s="4" t="str">
        <f t="shared" si="1"/>
        <v>Lettings Midlands_Colette Taylor</v>
      </c>
      <c r="I87" s="4" t="e">
        <f>VLOOKUP(H87,UAT!$H$2:$H$204,1,FALSE)</f>
        <v>#N/A</v>
      </c>
    </row>
    <row r="88" spans="1:9" hidden="1">
      <c r="A88" t="s">
        <v>7</v>
      </c>
      <c r="B88" t="s">
        <v>282</v>
      </c>
      <c r="C88" t="s">
        <v>283</v>
      </c>
      <c r="D88" t="s">
        <v>10</v>
      </c>
      <c r="E88" t="s">
        <v>284</v>
      </c>
      <c r="F88" t="s">
        <v>12</v>
      </c>
      <c r="G88" t="s">
        <v>281</v>
      </c>
      <c r="H88" t="str">
        <f t="shared" si="1"/>
        <v>Lettings Midlands_Laxmi Mistry</v>
      </c>
      <c r="I88" t="str">
        <f>VLOOKUP(H88,UAT!$H$2:$H$204,1,FALSE)</f>
        <v>Lettings Midlands_Laxmi Mistry</v>
      </c>
    </row>
    <row r="89" spans="1:9" s="4" customFormat="1">
      <c r="A89" s="4" t="s">
        <v>7</v>
      </c>
      <c r="B89" s="4" t="s">
        <v>285</v>
      </c>
      <c r="C89" s="4" t="s">
        <v>286</v>
      </c>
      <c r="D89" s="4" t="s">
        <v>10</v>
      </c>
      <c r="E89" s="4" t="s">
        <v>287</v>
      </c>
      <c r="F89" s="4" t="s">
        <v>12</v>
      </c>
      <c r="G89" s="4" t="s">
        <v>281</v>
      </c>
      <c r="H89" s="4" t="str">
        <f t="shared" si="1"/>
        <v>Lettings Midlands_Matas Sutkus</v>
      </c>
      <c r="I89" s="4" t="e">
        <f>VLOOKUP(H89,UAT!$H$2:$H$204,1,FALSE)</f>
        <v>#N/A</v>
      </c>
    </row>
    <row r="90" spans="1:9" hidden="1">
      <c r="A90" t="s">
        <v>7</v>
      </c>
      <c r="B90" t="s">
        <v>288</v>
      </c>
      <c r="C90" t="s">
        <v>119</v>
      </c>
      <c r="D90" t="s">
        <v>10</v>
      </c>
      <c r="E90" t="s">
        <v>120</v>
      </c>
      <c r="F90" t="s">
        <v>12</v>
      </c>
      <c r="G90" t="s">
        <v>281</v>
      </c>
      <c r="H90" t="str">
        <f t="shared" si="1"/>
        <v>Lettings Midlands_Ruben Cancio</v>
      </c>
      <c r="I90" t="str">
        <f>VLOOKUP(H90,UAT!$H$2:$H$204,1,FALSE)</f>
        <v>Lettings Midlands_Ruben Cancio</v>
      </c>
    </row>
    <row r="91" spans="1:9" hidden="1">
      <c r="A91" t="s">
        <v>7</v>
      </c>
      <c r="B91" t="s">
        <v>289</v>
      </c>
      <c r="C91" t="s">
        <v>290</v>
      </c>
      <c r="D91" t="s">
        <v>10</v>
      </c>
      <c r="E91" t="s">
        <v>291</v>
      </c>
      <c r="F91" t="s">
        <v>12</v>
      </c>
      <c r="G91" t="s">
        <v>292</v>
      </c>
      <c r="H91" t="str">
        <f t="shared" si="1"/>
        <v>Lettings North East_Deanne Coss</v>
      </c>
      <c r="I91" t="str">
        <f>VLOOKUP(H91,UAT!$H$2:$H$204,1,FALSE)</f>
        <v>Lettings North East_Deanne Coss</v>
      </c>
    </row>
    <row r="92" spans="1:9" hidden="1">
      <c r="A92" t="s">
        <v>7</v>
      </c>
      <c r="B92" t="s">
        <v>293</v>
      </c>
      <c r="C92" t="s">
        <v>294</v>
      </c>
      <c r="D92" t="s">
        <v>10</v>
      </c>
      <c r="E92" t="s">
        <v>295</v>
      </c>
      <c r="F92" t="s">
        <v>12</v>
      </c>
      <c r="G92" t="s">
        <v>292</v>
      </c>
      <c r="H92" t="str">
        <f t="shared" si="1"/>
        <v>Lettings North East_Jack Howe</v>
      </c>
      <c r="I92" t="str">
        <f>VLOOKUP(H92,UAT!$H$2:$H$204,1,FALSE)</f>
        <v>Lettings North East_Jack Howe</v>
      </c>
    </row>
    <row r="93" spans="1:9" s="4" customFormat="1">
      <c r="A93" s="4" t="s">
        <v>7</v>
      </c>
      <c r="B93" s="4" t="s">
        <v>296</v>
      </c>
      <c r="C93" s="4" t="s">
        <v>297</v>
      </c>
      <c r="D93" s="4" t="s">
        <v>10</v>
      </c>
      <c r="E93" s="4" t="s">
        <v>298</v>
      </c>
      <c r="F93" s="4" t="s">
        <v>12</v>
      </c>
      <c r="G93" s="4" t="s">
        <v>292</v>
      </c>
      <c r="H93" s="4" t="str">
        <f t="shared" si="1"/>
        <v>Lettings North East_Nathan White</v>
      </c>
      <c r="I93" s="4" t="e">
        <f>VLOOKUP(H93,UAT!$H$2:$H$204,1,FALSE)</f>
        <v>#N/A</v>
      </c>
    </row>
    <row r="94" spans="1:9" hidden="1">
      <c r="A94" t="s">
        <v>7</v>
      </c>
      <c r="B94" t="s">
        <v>299</v>
      </c>
      <c r="C94" t="s">
        <v>300</v>
      </c>
      <c r="D94" t="s">
        <v>10</v>
      </c>
      <c r="E94" t="s">
        <v>301</v>
      </c>
      <c r="F94" t="s">
        <v>12</v>
      </c>
      <c r="G94" t="s">
        <v>302</v>
      </c>
      <c r="H94" t="str">
        <f t="shared" si="1"/>
        <v>Lettings North West_Jack Wellings</v>
      </c>
      <c r="I94" t="str">
        <f>VLOOKUP(H94,UAT!$H$2:$H$204,1,FALSE)</f>
        <v>Lettings North West_Jack Wellings</v>
      </c>
    </row>
    <row r="95" spans="1:9" s="4" customFormat="1">
      <c r="A95" s="4" t="s">
        <v>7</v>
      </c>
      <c r="B95" s="4" t="s">
        <v>303</v>
      </c>
      <c r="C95" s="4" t="s">
        <v>136</v>
      </c>
      <c r="D95" s="4" t="s">
        <v>10</v>
      </c>
      <c r="E95" s="4" t="s">
        <v>137</v>
      </c>
      <c r="F95" s="4" t="s">
        <v>12</v>
      </c>
      <c r="G95" s="4" t="s">
        <v>302</v>
      </c>
      <c r="H95" s="4" t="str">
        <f t="shared" si="1"/>
        <v>Lettings North West_Lynn Robson</v>
      </c>
      <c r="I95" s="4" t="e">
        <f>VLOOKUP(H95,UAT!$H$2:$H$204,1,FALSE)</f>
        <v>#N/A</v>
      </c>
    </row>
    <row r="96" spans="1:9" hidden="1">
      <c r="A96" t="s">
        <v>7</v>
      </c>
      <c r="B96" t="s">
        <v>304</v>
      </c>
      <c r="C96" t="s">
        <v>305</v>
      </c>
      <c r="D96" t="s">
        <v>10</v>
      </c>
      <c r="E96" t="s">
        <v>306</v>
      </c>
      <c r="F96" t="s">
        <v>12</v>
      </c>
      <c r="G96" t="s">
        <v>302</v>
      </c>
      <c r="H96" t="str">
        <f t="shared" si="1"/>
        <v>Lettings North West_Fiona Craske</v>
      </c>
      <c r="I96" t="str">
        <f>VLOOKUP(H96,UAT!$H$2:$H$204,1,FALSE)</f>
        <v>Lettings North West_Fiona Craske</v>
      </c>
    </row>
    <row r="97" spans="1:9" hidden="1">
      <c r="A97" t="s">
        <v>7</v>
      </c>
      <c r="B97" t="s">
        <v>307</v>
      </c>
      <c r="C97" t="s">
        <v>119</v>
      </c>
      <c r="D97" t="s">
        <v>10</v>
      </c>
      <c r="E97" t="s">
        <v>120</v>
      </c>
      <c r="F97" t="s">
        <v>12</v>
      </c>
      <c r="G97" t="s">
        <v>302</v>
      </c>
      <c r="H97" t="str">
        <f t="shared" si="1"/>
        <v>Lettings North West_Ruben Cancio</v>
      </c>
      <c r="I97" t="str">
        <f>VLOOKUP(H97,UAT!$H$2:$H$204,1,FALSE)</f>
        <v>Lettings North West_Ruben Cancio</v>
      </c>
    </row>
    <row r="98" spans="1:9" s="4" customFormat="1">
      <c r="A98" s="4" t="s">
        <v>7</v>
      </c>
      <c r="B98" s="4" t="s">
        <v>308</v>
      </c>
      <c r="C98" s="4" t="s">
        <v>297</v>
      </c>
      <c r="D98" s="4" t="s">
        <v>10</v>
      </c>
      <c r="E98" s="4" t="s">
        <v>298</v>
      </c>
      <c r="F98" s="4" t="s">
        <v>12</v>
      </c>
      <c r="G98" s="4" t="s">
        <v>302</v>
      </c>
      <c r="H98" s="4" t="str">
        <f t="shared" si="1"/>
        <v>Lettings North West_Nathan White</v>
      </c>
      <c r="I98" s="4" t="e">
        <f>VLOOKUP(H98,UAT!$H$2:$H$204,1,FALSE)</f>
        <v>#N/A</v>
      </c>
    </row>
    <row r="99" spans="1:9" s="4" customFormat="1">
      <c r="A99" s="4" t="s">
        <v>7</v>
      </c>
      <c r="B99" s="4" t="s">
        <v>309</v>
      </c>
      <c r="C99" s="4" t="s">
        <v>310</v>
      </c>
      <c r="D99" s="4" t="s">
        <v>10</v>
      </c>
      <c r="E99" s="4" t="s">
        <v>311</v>
      </c>
      <c r="F99" s="4" t="s">
        <v>12</v>
      </c>
      <c r="G99" s="4" t="s">
        <v>302</v>
      </c>
      <c r="H99" s="4" t="str">
        <f t="shared" si="1"/>
        <v>Lettings North West_Lucy Staniland</v>
      </c>
      <c r="I99" s="4" t="e">
        <f>VLOOKUP(H99,UAT!$H$2:$H$204,1,FALSE)</f>
        <v>#N/A</v>
      </c>
    </row>
    <row r="100" spans="1:9" s="4" customFormat="1">
      <c r="A100" s="4" t="s">
        <v>7</v>
      </c>
      <c r="B100" s="4" t="s">
        <v>312</v>
      </c>
      <c r="C100" s="4" t="s">
        <v>286</v>
      </c>
      <c r="D100" s="4" t="s">
        <v>10</v>
      </c>
      <c r="E100" s="4" t="s">
        <v>287</v>
      </c>
      <c r="F100" s="4" t="s">
        <v>12</v>
      </c>
      <c r="G100" s="4" t="s">
        <v>302</v>
      </c>
      <c r="H100" s="4" t="str">
        <f t="shared" si="1"/>
        <v>Lettings North West_Matas Sutkus</v>
      </c>
      <c r="I100" s="4" t="e">
        <f>VLOOKUP(H100,UAT!$H$2:$H$204,1,FALSE)</f>
        <v>#N/A</v>
      </c>
    </row>
    <row r="101" spans="1:9" hidden="1">
      <c r="A101" t="s">
        <v>7</v>
      </c>
      <c r="B101" t="s">
        <v>313</v>
      </c>
      <c r="C101" t="s">
        <v>123</v>
      </c>
      <c r="D101" t="s">
        <v>10</v>
      </c>
      <c r="E101" t="s">
        <v>124</v>
      </c>
      <c r="F101" t="s">
        <v>12</v>
      </c>
      <c r="G101" t="s">
        <v>314</v>
      </c>
      <c r="H101" t="str">
        <f t="shared" si="1"/>
        <v>Lettings South West_Colette Taylor</v>
      </c>
      <c r="I101" t="str">
        <f>VLOOKUP(H101,UAT!$H$2:$H$204,1,FALSE)</f>
        <v>Lettings South West_Colette Taylor</v>
      </c>
    </row>
    <row r="102" spans="1:9" s="4" customFormat="1">
      <c r="A102" s="4" t="s">
        <v>7</v>
      </c>
      <c r="B102" s="4" t="s">
        <v>315</v>
      </c>
      <c r="C102" s="4" t="s">
        <v>119</v>
      </c>
      <c r="D102" s="4" t="s">
        <v>10</v>
      </c>
      <c r="E102" s="4" t="s">
        <v>120</v>
      </c>
      <c r="F102" s="4" t="s">
        <v>12</v>
      </c>
      <c r="G102" s="4" t="s">
        <v>314</v>
      </c>
      <c r="H102" s="4" t="str">
        <f t="shared" si="1"/>
        <v>Lettings South West_Ruben Cancio</v>
      </c>
      <c r="I102" s="4" t="e">
        <f>VLOOKUP(H102,UAT!$H$2:$H$204,1,FALSE)</f>
        <v>#N/A</v>
      </c>
    </row>
    <row r="103" spans="1:9" s="4" customFormat="1">
      <c r="A103" s="4" t="s">
        <v>7</v>
      </c>
      <c r="B103" s="4" t="s">
        <v>316</v>
      </c>
      <c r="C103" s="4" t="s">
        <v>297</v>
      </c>
      <c r="D103" s="4" t="s">
        <v>10</v>
      </c>
      <c r="E103" s="4" t="s">
        <v>298</v>
      </c>
      <c r="F103" s="4" t="s">
        <v>12</v>
      </c>
      <c r="G103" s="4" t="s">
        <v>317</v>
      </c>
      <c r="H103" s="4" t="str">
        <f t="shared" si="1"/>
        <v>Lettings Wales_Nathan White</v>
      </c>
      <c r="I103" s="4" t="e">
        <f>VLOOKUP(H103,UAT!$H$2:$H$204,1,FALSE)</f>
        <v>#N/A</v>
      </c>
    </row>
    <row r="104" spans="1:9" hidden="1">
      <c r="A104" t="s">
        <v>7</v>
      </c>
      <c r="B104" t="s">
        <v>318</v>
      </c>
      <c r="C104" t="s">
        <v>123</v>
      </c>
      <c r="D104" t="s">
        <v>10</v>
      </c>
      <c r="E104" t="s">
        <v>124</v>
      </c>
      <c r="F104" t="s">
        <v>12</v>
      </c>
      <c r="G104" t="s">
        <v>317</v>
      </c>
      <c r="H104" t="str">
        <f t="shared" si="1"/>
        <v>Lettings Wales_Colette Taylor</v>
      </c>
      <c r="I104" t="str">
        <f>VLOOKUP(H104,UAT!$H$2:$H$204,1,FALSE)</f>
        <v>Lettings Wales_Colette Taylor</v>
      </c>
    </row>
    <row r="105" spans="1:9" s="5" customFormat="1">
      <c r="A105" s="5" t="s">
        <v>7</v>
      </c>
      <c r="B105" s="5" t="s">
        <v>319</v>
      </c>
      <c r="C105" s="5" t="s">
        <v>116</v>
      </c>
      <c r="D105" s="5" t="s">
        <v>10</v>
      </c>
      <c r="E105" s="5" t="s">
        <v>117</v>
      </c>
      <c r="F105" s="5" t="s">
        <v>12</v>
      </c>
      <c r="G105" s="5" t="s">
        <v>320</v>
      </c>
      <c r="H105" s="5" t="str">
        <f t="shared" si="1"/>
        <v>Manchester Cluster_Connor Berry</v>
      </c>
      <c r="I105" s="5" t="e">
        <f>VLOOKUP(H105,UAT!$H$2:$H$204,1,FALSE)</f>
        <v>#N/A</v>
      </c>
    </row>
    <row r="106" spans="1:9" s="5" customFormat="1">
      <c r="A106" s="5" t="s">
        <v>7</v>
      </c>
      <c r="B106" s="5" t="s">
        <v>321</v>
      </c>
      <c r="C106" s="5" t="s">
        <v>95</v>
      </c>
      <c r="D106" s="5" t="s">
        <v>10</v>
      </c>
      <c r="E106" s="5" t="s">
        <v>96</v>
      </c>
      <c r="F106" s="5" t="s">
        <v>12</v>
      </c>
      <c r="G106" s="5" t="s">
        <v>320</v>
      </c>
      <c r="H106" s="5" t="str">
        <f t="shared" si="1"/>
        <v>Manchester Cluster_Trudy Yates</v>
      </c>
      <c r="I106" s="5" t="e">
        <f>VLOOKUP(H106,UAT!$H$2:$H$204,1,FALSE)</f>
        <v>#N/A</v>
      </c>
    </row>
    <row r="107" spans="1:9" s="5" customFormat="1">
      <c r="A107" s="5" t="s">
        <v>7</v>
      </c>
      <c r="B107" s="5" t="s">
        <v>322</v>
      </c>
      <c r="C107" s="5" t="s">
        <v>98</v>
      </c>
      <c r="D107" s="5" t="s">
        <v>10</v>
      </c>
      <c r="E107" s="5" t="s">
        <v>99</v>
      </c>
      <c r="F107" s="5" t="s">
        <v>12</v>
      </c>
      <c r="G107" s="5" t="s">
        <v>320</v>
      </c>
      <c r="H107" s="5" t="str">
        <f t="shared" si="1"/>
        <v>Manchester Cluster_Shaun Sidibe</v>
      </c>
      <c r="I107" s="5" t="e">
        <f>VLOOKUP(H107,UAT!$H$2:$H$204,1,FALSE)</f>
        <v>#N/A</v>
      </c>
    </row>
    <row r="108" spans="1:9" s="5" customFormat="1">
      <c r="A108" s="5" t="s">
        <v>7</v>
      </c>
      <c r="B108" s="5" t="s">
        <v>323</v>
      </c>
      <c r="C108" s="5" t="s">
        <v>101</v>
      </c>
      <c r="D108" s="5" t="s">
        <v>10</v>
      </c>
      <c r="E108" s="5" t="s">
        <v>102</v>
      </c>
      <c r="F108" s="5" t="s">
        <v>12</v>
      </c>
      <c r="G108" s="5" t="s">
        <v>320</v>
      </c>
      <c r="H108" s="5" t="str">
        <f t="shared" si="1"/>
        <v>Manchester Cluster_Jessica Illingworth</v>
      </c>
      <c r="I108" s="5" t="e">
        <f>VLOOKUP(H108,UAT!$H$2:$H$204,1,FALSE)</f>
        <v>#N/A</v>
      </c>
    </row>
    <row r="109" spans="1:9" s="5" customFormat="1">
      <c r="A109" s="5" t="s">
        <v>7</v>
      </c>
      <c r="B109" s="5" t="s">
        <v>324</v>
      </c>
      <c r="C109" s="5" t="s">
        <v>325</v>
      </c>
      <c r="D109" s="5" t="s">
        <v>10</v>
      </c>
      <c r="E109" s="5" t="s">
        <v>326</v>
      </c>
      <c r="F109" s="5" t="s">
        <v>12</v>
      </c>
      <c r="G109" s="5" t="s">
        <v>320</v>
      </c>
      <c r="H109" s="5" t="str">
        <f t="shared" si="1"/>
        <v>Manchester Cluster_Samantha Lancaster</v>
      </c>
      <c r="I109" s="5" t="e">
        <f>VLOOKUP(H109,UAT!$H$2:$H$204,1,FALSE)</f>
        <v>#N/A</v>
      </c>
    </row>
    <row r="110" spans="1:9" s="5" customFormat="1">
      <c r="A110" s="5" t="s">
        <v>7</v>
      </c>
      <c r="B110" s="5" t="s">
        <v>327</v>
      </c>
      <c r="C110" s="5" t="s">
        <v>104</v>
      </c>
      <c r="D110" s="5" t="s">
        <v>10</v>
      </c>
      <c r="E110" s="5" t="s">
        <v>105</v>
      </c>
      <c r="F110" s="5" t="s">
        <v>12</v>
      </c>
      <c r="G110" s="5" t="s">
        <v>320</v>
      </c>
      <c r="H110" s="5" t="str">
        <f t="shared" si="1"/>
        <v>Manchester Cluster_Helen Bowers</v>
      </c>
      <c r="I110" s="5" t="e">
        <f>VLOOKUP(H110,UAT!$H$2:$H$204,1,FALSE)</f>
        <v>#N/A</v>
      </c>
    </row>
    <row r="111" spans="1:9" s="5" customFormat="1">
      <c r="A111" s="5" t="s">
        <v>7</v>
      </c>
      <c r="B111" s="5" t="s">
        <v>328</v>
      </c>
      <c r="C111" s="5" t="s">
        <v>329</v>
      </c>
      <c r="D111" s="5" t="s">
        <v>10</v>
      </c>
      <c r="E111" s="5" t="s">
        <v>330</v>
      </c>
      <c r="F111" s="5" t="s">
        <v>12</v>
      </c>
      <c r="G111" s="5" t="s">
        <v>320</v>
      </c>
      <c r="H111" s="5" t="str">
        <f t="shared" si="1"/>
        <v>Manchester Cluster_Diana Culea</v>
      </c>
      <c r="I111" s="5" t="e">
        <f>VLOOKUP(H111,UAT!$H$2:$H$204,1,FALSE)</f>
        <v>#N/A</v>
      </c>
    </row>
    <row r="112" spans="1:9" s="5" customFormat="1">
      <c r="A112" s="5" t="s">
        <v>7</v>
      </c>
      <c r="B112" s="5" t="s">
        <v>331</v>
      </c>
      <c r="C112" s="5" t="s">
        <v>88</v>
      </c>
      <c r="D112" s="5" t="s">
        <v>10</v>
      </c>
      <c r="E112" s="5" t="s">
        <v>89</v>
      </c>
      <c r="F112" s="5" t="s">
        <v>12</v>
      </c>
      <c r="G112" s="5" t="s">
        <v>320</v>
      </c>
      <c r="H112" s="5" t="str">
        <f t="shared" si="1"/>
        <v>Manchester Cluster_Leila Law</v>
      </c>
      <c r="I112" s="5" t="e">
        <f>VLOOKUP(H112,UAT!$H$2:$H$204,1,FALSE)</f>
        <v>#N/A</v>
      </c>
    </row>
    <row r="113" spans="1:9" s="5" customFormat="1">
      <c r="A113" s="5" t="s">
        <v>7</v>
      </c>
      <c r="B113" s="5" t="s">
        <v>332</v>
      </c>
      <c r="C113" s="5" t="s">
        <v>333</v>
      </c>
      <c r="D113" s="5" t="s">
        <v>10</v>
      </c>
      <c r="E113" s="5" t="s">
        <v>334</v>
      </c>
      <c r="F113" s="5" t="s">
        <v>12</v>
      </c>
      <c r="G113" s="5" t="s">
        <v>320</v>
      </c>
      <c r="H113" s="5" t="str">
        <f t="shared" si="1"/>
        <v>Manchester Cluster_Monica Vatca</v>
      </c>
      <c r="I113" s="5" t="e">
        <f>VLOOKUP(H113,UAT!$H$2:$H$204,1,FALSE)</f>
        <v>#N/A</v>
      </c>
    </row>
    <row r="114" spans="1:9" s="5" customFormat="1">
      <c r="A114" s="5" t="s">
        <v>7</v>
      </c>
      <c r="B114" s="5" t="s">
        <v>335</v>
      </c>
      <c r="C114" s="5" t="s">
        <v>113</v>
      </c>
      <c r="D114" s="5" t="s">
        <v>10</v>
      </c>
      <c r="E114" s="5" t="s">
        <v>114</v>
      </c>
      <c r="F114" s="5" t="s">
        <v>12</v>
      </c>
      <c r="G114" s="5" t="s">
        <v>320</v>
      </c>
      <c r="H114" s="5" t="str">
        <f t="shared" si="1"/>
        <v>Manchester Cluster_Haginson Mtuku</v>
      </c>
      <c r="I114" s="5" t="e">
        <f>VLOOKUP(H114,UAT!$H$2:$H$204,1,FALSE)</f>
        <v>#N/A</v>
      </c>
    </row>
    <row r="115" spans="1:9" s="5" customFormat="1">
      <c r="A115" s="5" t="s">
        <v>7</v>
      </c>
      <c r="B115" s="5" t="s">
        <v>336</v>
      </c>
      <c r="C115" s="5" t="s">
        <v>110</v>
      </c>
      <c r="D115" s="5" t="s">
        <v>10</v>
      </c>
      <c r="E115" s="5" t="s">
        <v>111</v>
      </c>
      <c r="F115" s="5" t="s">
        <v>12</v>
      </c>
      <c r="G115" s="5" t="s">
        <v>320</v>
      </c>
      <c r="H115" s="5" t="str">
        <f t="shared" si="1"/>
        <v>Manchester Cluster_Chiara Manfron</v>
      </c>
      <c r="I115" s="5" t="e">
        <f>VLOOKUP(H115,UAT!$H$2:$H$204,1,FALSE)</f>
        <v>#N/A</v>
      </c>
    </row>
    <row r="116" spans="1:9" s="5" customFormat="1">
      <c r="A116" s="5" t="s">
        <v>7</v>
      </c>
      <c r="B116" s="5" t="s">
        <v>337</v>
      </c>
      <c r="C116" s="5" t="s">
        <v>107</v>
      </c>
      <c r="D116" s="5" t="s">
        <v>10</v>
      </c>
      <c r="E116" s="5" t="s">
        <v>108</v>
      </c>
      <c r="F116" s="5" t="s">
        <v>12</v>
      </c>
      <c r="G116" s="5" t="s">
        <v>320</v>
      </c>
      <c r="H116" s="5" t="str">
        <f t="shared" si="1"/>
        <v>Manchester Cluster_Darren Pritchard</v>
      </c>
      <c r="I116" s="5" t="e">
        <f>VLOOKUP(H116,UAT!$H$2:$H$204,1,FALSE)</f>
        <v>#N/A</v>
      </c>
    </row>
    <row r="117" spans="1:9" hidden="1">
      <c r="A117" t="s">
        <v>7</v>
      </c>
      <c r="B117" t="s">
        <v>338</v>
      </c>
      <c r="C117" t="s">
        <v>339</v>
      </c>
      <c r="D117" t="s">
        <v>10</v>
      </c>
      <c r="E117" t="s">
        <v>340</v>
      </c>
      <c r="F117" t="s">
        <v>12</v>
      </c>
      <c r="G117" t="s">
        <v>341</v>
      </c>
      <c r="H117" t="str">
        <f t="shared" si="1"/>
        <v>Midlands Lead Queue_Elisabeta Mihalache</v>
      </c>
      <c r="I117" t="str">
        <f>VLOOKUP(H117,UAT!$H$2:$H$204,1,FALSE)</f>
        <v>Midlands Lead Queue_Elisabeta Mihalache</v>
      </c>
    </row>
    <row r="118" spans="1:9" hidden="1">
      <c r="A118" t="s">
        <v>7</v>
      </c>
      <c r="B118" t="s">
        <v>342</v>
      </c>
      <c r="C118" t="s">
        <v>283</v>
      </c>
      <c r="D118" t="s">
        <v>10</v>
      </c>
      <c r="E118" t="s">
        <v>284</v>
      </c>
      <c r="F118" t="s">
        <v>12</v>
      </c>
      <c r="G118" t="s">
        <v>341</v>
      </c>
      <c r="H118" t="str">
        <f t="shared" si="1"/>
        <v>Midlands Lead Queue_Laxmi Mistry</v>
      </c>
      <c r="I118" t="str">
        <f>VLOOKUP(H118,UAT!$H$2:$H$204,1,FALSE)</f>
        <v>Midlands Lead Queue_Laxmi Mistry</v>
      </c>
    </row>
    <row r="119" spans="1:9" hidden="1">
      <c r="A119" t="s">
        <v>7</v>
      </c>
      <c r="B119" t="s">
        <v>343</v>
      </c>
      <c r="C119" t="s">
        <v>344</v>
      </c>
      <c r="D119" t="s">
        <v>10</v>
      </c>
      <c r="E119" t="s">
        <v>345</v>
      </c>
      <c r="F119" t="s">
        <v>12</v>
      </c>
      <c r="G119" t="s">
        <v>346</v>
      </c>
      <c r="H119" t="str">
        <f t="shared" si="1"/>
        <v>Millet Place Team_Orsalia Munkeni</v>
      </c>
      <c r="I119" t="str">
        <f>VLOOKUP(H119,UAT!$H$2:$H$204,1,FALSE)</f>
        <v>Millet Place Team_Orsalia Munkeni</v>
      </c>
    </row>
    <row r="120" spans="1:9" hidden="1">
      <c r="A120" t="s">
        <v>7</v>
      </c>
      <c r="B120" t="s">
        <v>347</v>
      </c>
      <c r="C120" t="s">
        <v>348</v>
      </c>
      <c r="D120" t="s">
        <v>10</v>
      </c>
      <c r="E120" t="s">
        <v>349</v>
      </c>
      <c r="F120" t="s">
        <v>12</v>
      </c>
      <c r="G120" t="s">
        <v>346</v>
      </c>
      <c r="H120" t="str">
        <f t="shared" si="1"/>
        <v>Millet Place Team_Erelinda Bala</v>
      </c>
      <c r="I120" t="str">
        <f>VLOOKUP(H120,UAT!$H$2:$H$204,1,FALSE)</f>
        <v>Millet Place Team_Erelinda Bala</v>
      </c>
    </row>
    <row r="121" spans="1:9" hidden="1">
      <c r="A121" t="s">
        <v>7</v>
      </c>
      <c r="B121" t="s">
        <v>350</v>
      </c>
      <c r="C121" t="s">
        <v>351</v>
      </c>
      <c r="D121" t="s">
        <v>10</v>
      </c>
      <c r="E121" t="s">
        <v>352</v>
      </c>
      <c r="F121" t="s">
        <v>12</v>
      </c>
      <c r="G121" t="s">
        <v>346</v>
      </c>
      <c r="H121" t="str">
        <f t="shared" si="1"/>
        <v>Millet Place Team_Angela Okhumoya</v>
      </c>
      <c r="I121" t="str">
        <f>VLOOKUP(H121,UAT!$H$2:$H$204,1,FALSE)</f>
        <v>Millet Place Team_Angela Okhumoya</v>
      </c>
    </row>
    <row r="122" spans="1:9">
      <c r="A122" t="s">
        <v>7</v>
      </c>
      <c r="B122" t="s">
        <v>353</v>
      </c>
      <c r="C122" t="s">
        <v>354</v>
      </c>
      <c r="D122" t="s">
        <v>10</v>
      </c>
      <c r="E122" t="s">
        <v>355</v>
      </c>
      <c r="F122" t="s">
        <v>12</v>
      </c>
      <c r="G122" t="s">
        <v>346</v>
      </c>
      <c r="H122" t="str">
        <f t="shared" si="1"/>
        <v>Millet Place Team_Loong Hoang</v>
      </c>
      <c r="I122" t="e">
        <f>VLOOKUP(H122,UAT!$H$2:$H$204,1,FALSE)</f>
        <v>#N/A</v>
      </c>
    </row>
    <row r="123" spans="1:9">
      <c r="A123" t="s">
        <v>7</v>
      </c>
      <c r="B123" t="s">
        <v>356</v>
      </c>
      <c r="C123" t="s">
        <v>357</v>
      </c>
      <c r="D123" t="s">
        <v>10</v>
      </c>
      <c r="E123" t="s">
        <v>358</v>
      </c>
      <c r="F123" t="s">
        <v>12</v>
      </c>
      <c r="G123" t="s">
        <v>346</v>
      </c>
      <c r="H123" t="str">
        <f t="shared" si="1"/>
        <v>Millet Place Team_Rexford Mensah</v>
      </c>
      <c r="I123" t="e">
        <f>VLOOKUP(H123,UAT!$H$2:$H$204,1,FALSE)</f>
        <v>#N/A</v>
      </c>
    </row>
    <row r="124" spans="1:9" hidden="1">
      <c r="A124" t="s">
        <v>7</v>
      </c>
      <c r="B124" t="s">
        <v>359</v>
      </c>
      <c r="C124" t="s">
        <v>360</v>
      </c>
      <c r="D124" t="s">
        <v>10</v>
      </c>
      <c r="E124" t="s">
        <v>361</v>
      </c>
      <c r="F124" t="s">
        <v>12</v>
      </c>
      <c r="G124" t="s">
        <v>346</v>
      </c>
      <c r="H124" t="str">
        <f t="shared" si="1"/>
        <v>Millet Place Team_Samson Olaniyan</v>
      </c>
      <c r="I124" t="str">
        <f>VLOOKUP(H124,UAT!$H$2:$H$204,1,FALSE)</f>
        <v>Millet Place Team_Samson Olaniyan</v>
      </c>
    </row>
    <row r="125" spans="1:9" hidden="1">
      <c r="A125" t="s">
        <v>7</v>
      </c>
      <c r="B125" t="s">
        <v>362</v>
      </c>
      <c r="C125" t="s">
        <v>79</v>
      </c>
      <c r="D125" t="s">
        <v>10</v>
      </c>
      <c r="E125" t="s">
        <v>80</v>
      </c>
      <c r="F125" t="s">
        <v>12</v>
      </c>
      <c r="G125" t="s">
        <v>363</v>
      </c>
      <c r="H125" t="str">
        <f t="shared" si="1"/>
        <v>Milton Keynes Lead Queue_Rachel Ofili</v>
      </c>
      <c r="I125" t="str">
        <f>VLOOKUP(H125,UAT!$H$2:$H$204,1,FALSE)</f>
        <v>Milton Keynes Lead Queue_Rachel Ofili</v>
      </c>
    </row>
    <row r="126" spans="1:9" hidden="1">
      <c r="A126" t="s">
        <v>7</v>
      </c>
      <c r="B126" t="s">
        <v>364</v>
      </c>
      <c r="C126" t="s">
        <v>82</v>
      </c>
      <c r="D126" t="s">
        <v>10</v>
      </c>
      <c r="E126" t="s">
        <v>83</v>
      </c>
      <c r="F126" t="s">
        <v>12</v>
      </c>
      <c r="G126" t="s">
        <v>363</v>
      </c>
      <c r="H126" t="str">
        <f t="shared" si="1"/>
        <v>Milton Keynes Lead Queue_Geoffrey Eze</v>
      </c>
      <c r="I126" t="str">
        <f>VLOOKUP(H126,UAT!$H$2:$H$204,1,FALSE)</f>
        <v>Milton Keynes Lead Queue_Geoffrey Eze</v>
      </c>
    </row>
    <row r="127" spans="1:9" hidden="1">
      <c r="A127" t="s">
        <v>7</v>
      </c>
      <c r="B127" t="s">
        <v>365</v>
      </c>
      <c r="C127" t="s">
        <v>366</v>
      </c>
      <c r="D127" t="s">
        <v>10</v>
      </c>
      <c r="E127" t="s">
        <v>367</v>
      </c>
      <c r="F127" t="s">
        <v>12</v>
      </c>
      <c r="G127" t="s">
        <v>363</v>
      </c>
      <c r="H127" t="str">
        <f t="shared" si="1"/>
        <v>Milton Keynes Lead Queue_Agata Brennan</v>
      </c>
      <c r="I127" t="str">
        <f>VLOOKUP(H127,UAT!$H$2:$H$204,1,FALSE)</f>
        <v>Milton Keynes Lead Queue_Agata Brennan</v>
      </c>
    </row>
    <row r="128" spans="1:9" hidden="1">
      <c r="A128" t="s">
        <v>7</v>
      </c>
      <c r="B128" t="s">
        <v>368</v>
      </c>
      <c r="C128" t="s">
        <v>72</v>
      </c>
      <c r="D128" t="s">
        <v>10</v>
      </c>
      <c r="E128" t="s">
        <v>73</v>
      </c>
      <c r="F128" t="s">
        <v>12</v>
      </c>
      <c r="G128" t="s">
        <v>363</v>
      </c>
      <c r="H128" t="str">
        <f t="shared" si="1"/>
        <v>Milton Keynes Lead Queue_Ezekiel Akinjagunla</v>
      </c>
      <c r="I128" t="str">
        <f>VLOOKUP(H128,UAT!$H$2:$H$204,1,FALSE)</f>
        <v>Milton Keynes Lead Queue_Ezekiel Akinjagunla</v>
      </c>
    </row>
    <row r="129" spans="1:9" hidden="1">
      <c r="A129" t="s">
        <v>7</v>
      </c>
      <c r="B129" t="s">
        <v>369</v>
      </c>
      <c r="C129" t="s">
        <v>286</v>
      </c>
      <c r="D129" t="s">
        <v>10</v>
      </c>
      <c r="E129" t="s">
        <v>287</v>
      </c>
      <c r="F129" t="s">
        <v>12</v>
      </c>
      <c r="G129" t="s">
        <v>363</v>
      </c>
      <c r="H129" t="str">
        <f t="shared" si="1"/>
        <v>Milton Keynes Lead Queue_Matas Sutkus</v>
      </c>
      <c r="I129" t="str">
        <f>VLOOKUP(H129,UAT!$H$2:$H$204,1,FALSE)</f>
        <v>Milton Keynes Lead Queue_Matas Sutkus</v>
      </c>
    </row>
    <row r="130" spans="1:9" hidden="1">
      <c r="A130" t="s">
        <v>7</v>
      </c>
      <c r="B130" t="s">
        <v>370</v>
      </c>
      <c r="C130" t="s">
        <v>371</v>
      </c>
      <c r="D130" t="s">
        <v>10</v>
      </c>
      <c r="E130" t="s">
        <v>372</v>
      </c>
      <c r="F130" t="s">
        <v>12</v>
      </c>
      <c r="G130" t="s">
        <v>373</v>
      </c>
      <c r="H130" t="str">
        <f t="shared" si="1"/>
        <v>Nautilus Apartments Team_Simon Healy</v>
      </c>
      <c r="I130" t="str">
        <f>VLOOKUP(H130,UAT!$H$2:$H$204,1,FALSE)</f>
        <v>Nautilus Apartments Team_Simon Healy</v>
      </c>
    </row>
    <row r="131" spans="1:9" hidden="1">
      <c r="A131" t="s">
        <v>7</v>
      </c>
      <c r="B131" t="s">
        <v>374</v>
      </c>
      <c r="C131" t="s">
        <v>375</v>
      </c>
      <c r="D131" t="s">
        <v>10</v>
      </c>
      <c r="E131" t="s">
        <v>376</v>
      </c>
      <c r="F131" t="s">
        <v>12</v>
      </c>
      <c r="G131" t="s">
        <v>373</v>
      </c>
      <c r="H131" t="str">
        <f t="shared" ref="H131:H194" si="2">G131&amp;"_"&amp;E131</f>
        <v>Nautilus Apartments Team_Tatyana Gordon</v>
      </c>
      <c r="I131" t="str">
        <f>VLOOKUP(H131,UAT!$H$2:$H$204,1,FALSE)</f>
        <v>Nautilus Apartments Team_Tatyana Gordon</v>
      </c>
    </row>
    <row r="132" spans="1:9" hidden="1">
      <c r="A132" t="s">
        <v>7</v>
      </c>
      <c r="B132" t="s">
        <v>377</v>
      </c>
      <c r="C132" t="s">
        <v>294</v>
      </c>
      <c r="D132" t="s">
        <v>10</v>
      </c>
      <c r="E132" t="s">
        <v>295</v>
      </c>
      <c r="F132" t="s">
        <v>12</v>
      </c>
      <c r="G132" t="s">
        <v>378</v>
      </c>
      <c r="H132" t="str">
        <f t="shared" si="2"/>
        <v>North East Lead Queue_Jack Howe</v>
      </c>
      <c r="I132" t="str">
        <f>VLOOKUP(H132,UAT!$H$2:$H$204,1,FALSE)</f>
        <v>North East Lead Queue_Jack Howe</v>
      </c>
    </row>
    <row r="133" spans="1:9" hidden="1">
      <c r="A133" t="s">
        <v>7</v>
      </c>
      <c r="B133" t="s">
        <v>379</v>
      </c>
      <c r="C133" t="s">
        <v>380</v>
      </c>
      <c r="D133" t="s">
        <v>10</v>
      </c>
      <c r="E133" t="s">
        <v>381</v>
      </c>
      <c r="F133" t="s">
        <v>12</v>
      </c>
      <c r="G133" t="s">
        <v>378</v>
      </c>
      <c r="H133" t="str">
        <f t="shared" si="2"/>
        <v>North East Lead Queue_Naseem Ahmadi</v>
      </c>
      <c r="I133" t="str">
        <f>VLOOKUP(H133,UAT!$H$2:$H$204,1,FALSE)</f>
        <v>North East Lead Queue_Naseem Ahmadi</v>
      </c>
    </row>
    <row r="134" spans="1:9" hidden="1">
      <c r="A134" t="s">
        <v>7</v>
      </c>
      <c r="B134" t="s">
        <v>382</v>
      </c>
      <c r="C134" t="s">
        <v>290</v>
      </c>
      <c r="D134" t="s">
        <v>10</v>
      </c>
      <c r="E134" t="s">
        <v>291</v>
      </c>
      <c r="F134" t="s">
        <v>12</v>
      </c>
      <c r="G134" t="s">
        <v>378</v>
      </c>
      <c r="H134" t="str">
        <f t="shared" si="2"/>
        <v>North East Lead Queue_Deanne Coss</v>
      </c>
      <c r="I134" t="str">
        <f>VLOOKUP(H134,UAT!$H$2:$H$204,1,FALSE)</f>
        <v>North East Lead Queue_Deanne Coss</v>
      </c>
    </row>
    <row r="135" spans="1:9" hidden="1">
      <c r="A135" t="s">
        <v>7</v>
      </c>
      <c r="B135" t="s">
        <v>383</v>
      </c>
      <c r="C135" t="s">
        <v>384</v>
      </c>
      <c r="D135" t="s">
        <v>10</v>
      </c>
      <c r="E135" t="s">
        <v>385</v>
      </c>
      <c r="F135" t="s">
        <v>12</v>
      </c>
      <c r="G135" t="s">
        <v>378</v>
      </c>
      <c r="H135" t="str">
        <f t="shared" si="2"/>
        <v>North East Lead Queue_Maria Kay</v>
      </c>
      <c r="I135" t="str">
        <f>VLOOKUP(H135,UAT!$H$2:$H$204,1,FALSE)</f>
        <v>North East Lead Queue_Maria Kay</v>
      </c>
    </row>
    <row r="136" spans="1:9" hidden="1">
      <c r="A136" t="s">
        <v>7</v>
      </c>
      <c r="B136" t="s">
        <v>386</v>
      </c>
      <c r="C136" t="s">
        <v>387</v>
      </c>
      <c r="D136" t="s">
        <v>10</v>
      </c>
      <c r="E136" t="s">
        <v>388</v>
      </c>
      <c r="F136" t="s">
        <v>12</v>
      </c>
      <c r="G136" t="s">
        <v>389</v>
      </c>
      <c r="H136" t="str">
        <f t="shared" si="2"/>
        <v>North West Lead Queue_Molli Smyth</v>
      </c>
      <c r="I136" t="str">
        <f>VLOOKUP(H136,UAT!$H$2:$H$204,1,FALSE)</f>
        <v>North West Lead Queue_Molli Smyth</v>
      </c>
    </row>
    <row r="137" spans="1:9" hidden="1">
      <c r="A137" t="s">
        <v>7</v>
      </c>
      <c r="B137" t="s">
        <v>390</v>
      </c>
      <c r="C137" t="s">
        <v>305</v>
      </c>
      <c r="D137" t="s">
        <v>10</v>
      </c>
      <c r="E137" t="s">
        <v>306</v>
      </c>
      <c r="F137" t="s">
        <v>12</v>
      </c>
      <c r="G137" t="s">
        <v>389</v>
      </c>
      <c r="H137" t="str">
        <f t="shared" si="2"/>
        <v>North West Lead Queue_Fiona Craske</v>
      </c>
      <c r="I137" t="str">
        <f>VLOOKUP(H137,UAT!$H$2:$H$204,1,FALSE)</f>
        <v>North West Lead Queue_Fiona Craske</v>
      </c>
    </row>
    <row r="138" spans="1:9" hidden="1">
      <c r="A138" t="s">
        <v>7</v>
      </c>
      <c r="B138" t="s">
        <v>391</v>
      </c>
      <c r="C138" t="s">
        <v>300</v>
      </c>
      <c r="D138" t="s">
        <v>10</v>
      </c>
      <c r="E138" t="s">
        <v>301</v>
      </c>
      <c r="F138" t="s">
        <v>12</v>
      </c>
      <c r="G138" t="s">
        <v>389</v>
      </c>
      <c r="H138" t="str">
        <f t="shared" si="2"/>
        <v>North West Lead Queue_Jack Wellings</v>
      </c>
      <c r="I138" t="str">
        <f>VLOOKUP(H138,UAT!$H$2:$H$204,1,FALSE)</f>
        <v>North West Lead Queue_Jack Wellings</v>
      </c>
    </row>
    <row r="139" spans="1:9" hidden="1">
      <c r="A139" t="s">
        <v>7</v>
      </c>
      <c r="B139" t="s">
        <v>392</v>
      </c>
      <c r="C139" t="s">
        <v>123</v>
      </c>
      <c r="D139" t="s">
        <v>10</v>
      </c>
      <c r="E139" t="s">
        <v>124</v>
      </c>
      <c r="F139" t="s">
        <v>12</v>
      </c>
      <c r="G139" t="s">
        <v>389</v>
      </c>
      <c r="H139" t="str">
        <f t="shared" si="2"/>
        <v>North West Lead Queue_Colette Taylor</v>
      </c>
      <c r="I139" t="str">
        <f>VLOOKUP(H139,UAT!$H$2:$H$204,1,FALSE)</f>
        <v>North West Lead Queue_Colette Taylor</v>
      </c>
    </row>
    <row r="140" spans="1:9" hidden="1">
      <c r="A140" t="s">
        <v>7</v>
      </c>
      <c r="B140" t="s">
        <v>393</v>
      </c>
      <c r="C140" t="s">
        <v>394</v>
      </c>
      <c r="D140" t="s">
        <v>10</v>
      </c>
      <c r="E140" t="s">
        <v>395</v>
      </c>
      <c r="F140" t="s">
        <v>12</v>
      </c>
      <c r="G140" t="s">
        <v>396</v>
      </c>
      <c r="H140" t="str">
        <f t="shared" si="2"/>
        <v>Pin Yard Team_Bailey King</v>
      </c>
      <c r="I140" t="str">
        <f>VLOOKUP(H140,UAT!$H$2:$H$204,1,FALSE)</f>
        <v>Pin Yard Team_Bailey King</v>
      </c>
    </row>
    <row r="141" spans="1:9" hidden="1">
      <c r="A141" t="s">
        <v>7</v>
      </c>
      <c r="B141" t="s">
        <v>397</v>
      </c>
      <c r="C141" t="s">
        <v>398</v>
      </c>
      <c r="D141" t="s">
        <v>10</v>
      </c>
      <c r="E141" t="s">
        <v>399</v>
      </c>
      <c r="F141" t="s">
        <v>12</v>
      </c>
      <c r="G141" t="s">
        <v>396</v>
      </c>
      <c r="H141" t="str">
        <f t="shared" si="2"/>
        <v>Pin Yard Team_Jessica Warnes</v>
      </c>
      <c r="I141" t="str">
        <f>VLOOKUP(H141,UAT!$H$2:$H$204,1,FALSE)</f>
        <v>Pin Yard Team_Jessica Warnes</v>
      </c>
    </row>
    <row r="142" spans="1:9" hidden="1">
      <c r="A142" t="s">
        <v>7</v>
      </c>
      <c r="B142" t="s">
        <v>400</v>
      </c>
      <c r="C142" t="s">
        <v>401</v>
      </c>
      <c r="D142" t="s">
        <v>10</v>
      </c>
      <c r="E142" t="s">
        <v>402</v>
      </c>
      <c r="F142" t="s">
        <v>12</v>
      </c>
      <c r="G142" t="s">
        <v>396</v>
      </c>
      <c r="H142" t="str">
        <f t="shared" si="2"/>
        <v>Pin Yard Team_Rachel Creer</v>
      </c>
      <c r="I142" t="str">
        <f>VLOOKUP(H142,UAT!$H$2:$H$204,1,FALSE)</f>
        <v>Pin Yard Team_Rachel Creer</v>
      </c>
    </row>
    <row r="143" spans="1:9" hidden="1">
      <c r="A143" t="s">
        <v>7</v>
      </c>
      <c r="B143" t="s">
        <v>403</v>
      </c>
      <c r="C143" t="s">
        <v>404</v>
      </c>
      <c r="D143" t="s">
        <v>10</v>
      </c>
      <c r="E143" t="s">
        <v>405</v>
      </c>
      <c r="F143" t="s">
        <v>12</v>
      </c>
      <c r="G143" t="s">
        <v>396</v>
      </c>
      <c r="H143" t="str">
        <f t="shared" si="2"/>
        <v>Pin Yard Team_Ruth Friend</v>
      </c>
      <c r="I143" t="str">
        <f>VLOOKUP(H143,UAT!$H$2:$H$204,1,FALSE)</f>
        <v>Pin Yard Team_Ruth Friend</v>
      </c>
    </row>
    <row r="144" spans="1:9" hidden="1">
      <c r="A144" t="s">
        <v>7</v>
      </c>
      <c r="B144" t="s">
        <v>406</v>
      </c>
      <c r="C144" t="s">
        <v>407</v>
      </c>
      <c r="D144" t="s">
        <v>10</v>
      </c>
      <c r="E144" t="s">
        <v>408</v>
      </c>
      <c r="F144" t="s">
        <v>12</v>
      </c>
      <c r="G144" t="s">
        <v>409</v>
      </c>
      <c r="H144" t="str">
        <f t="shared" si="2"/>
        <v>PRS South Lead Queue_Segun Dickson</v>
      </c>
      <c r="I144" t="str">
        <f>VLOOKUP(H144,UAT!$H$2:$H$204,1,FALSE)</f>
        <v>PRS South Lead Queue_Segun Dickson</v>
      </c>
    </row>
    <row r="145" spans="1:9" hidden="1">
      <c r="A145" t="s">
        <v>7</v>
      </c>
      <c r="B145" t="s">
        <v>410</v>
      </c>
      <c r="C145" t="s">
        <v>82</v>
      </c>
      <c r="D145" t="s">
        <v>10</v>
      </c>
      <c r="E145" t="s">
        <v>83</v>
      </c>
      <c r="F145" t="s">
        <v>12</v>
      </c>
      <c r="G145" t="s">
        <v>409</v>
      </c>
      <c r="H145" t="str">
        <f t="shared" si="2"/>
        <v>PRS South Lead Queue_Geoffrey Eze</v>
      </c>
      <c r="I145" t="str">
        <f>VLOOKUP(H145,UAT!$H$2:$H$204,1,FALSE)</f>
        <v>PRS South Lead Queue_Geoffrey Eze</v>
      </c>
    </row>
    <row r="146" spans="1:9" hidden="1">
      <c r="A146" t="s">
        <v>7</v>
      </c>
      <c r="B146" t="s">
        <v>411</v>
      </c>
      <c r="C146" t="s">
        <v>79</v>
      </c>
      <c r="D146" t="s">
        <v>10</v>
      </c>
      <c r="E146" t="s">
        <v>80</v>
      </c>
      <c r="F146" t="s">
        <v>12</v>
      </c>
      <c r="G146" t="s">
        <v>409</v>
      </c>
      <c r="H146" t="str">
        <f t="shared" si="2"/>
        <v>PRS South Lead Queue_Rachel Ofili</v>
      </c>
      <c r="I146" t="str">
        <f>VLOOKUP(H146,UAT!$H$2:$H$204,1,FALSE)</f>
        <v>PRS South Lead Queue_Rachel Ofili</v>
      </c>
    </row>
    <row r="147" spans="1:9" hidden="1">
      <c r="A147" t="s">
        <v>7</v>
      </c>
      <c r="B147" t="s">
        <v>412</v>
      </c>
      <c r="C147" t="s">
        <v>72</v>
      </c>
      <c r="D147" t="s">
        <v>10</v>
      </c>
      <c r="E147" t="s">
        <v>73</v>
      </c>
      <c r="F147" t="s">
        <v>12</v>
      </c>
      <c r="G147" t="s">
        <v>409</v>
      </c>
      <c r="H147" t="str">
        <f t="shared" si="2"/>
        <v>PRS South Lead Queue_Ezekiel Akinjagunla</v>
      </c>
      <c r="I147" t="str">
        <f>VLOOKUP(H147,UAT!$H$2:$H$204,1,FALSE)</f>
        <v>PRS South Lead Queue_Ezekiel Akinjagunla</v>
      </c>
    </row>
    <row r="148" spans="1:9" hidden="1">
      <c r="A148" t="s">
        <v>7</v>
      </c>
      <c r="B148" t="s">
        <v>413</v>
      </c>
      <c r="C148" t="s">
        <v>414</v>
      </c>
      <c r="D148" t="s">
        <v>10</v>
      </c>
      <c r="E148" t="s">
        <v>415</v>
      </c>
      <c r="F148" t="s">
        <v>12</v>
      </c>
      <c r="G148" t="s">
        <v>409</v>
      </c>
      <c r="H148" t="str">
        <f t="shared" si="2"/>
        <v>PRS South Lead Queue_Jack Gardner</v>
      </c>
      <c r="I148" t="str">
        <f>VLOOKUP(H148,UAT!$H$2:$H$204,1,FALSE)</f>
        <v>PRS South Lead Queue_Jack Gardner</v>
      </c>
    </row>
    <row r="149" spans="1:9" hidden="1">
      <c r="A149" t="s">
        <v>7</v>
      </c>
      <c r="B149" t="s">
        <v>416</v>
      </c>
      <c r="C149" t="s">
        <v>417</v>
      </c>
      <c r="D149" t="s">
        <v>10</v>
      </c>
      <c r="E149" t="s">
        <v>418</v>
      </c>
      <c r="F149" t="s">
        <v>12</v>
      </c>
      <c r="G149" t="s">
        <v>419</v>
      </c>
      <c r="H149" t="str">
        <f t="shared" si="2"/>
        <v>PRS: London_Younis Miho</v>
      </c>
      <c r="I149" t="str">
        <f>VLOOKUP(H149,UAT!$H$2:$H$204,1,FALSE)</f>
        <v>PRS: London_Younis Miho</v>
      </c>
    </row>
    <row r="150" spans="1:9">
      <c r="A150" t="s">
        <v>7</v>
      </c>
      <c r="B150" t="s">
        <v>420</v>
      </c>
      <c r="C150" t="s">
        <v>421</v>
      </c>
      <c r="D150" t="s">
        <v>10</v>
      </c>
      <c r="E150" t="s">
        <v>422</v>
      </c>
      <c r="F150" t="s">
        <v>12</v>
      </c>
      <c r="G150" t="s">
        <v>419</v>
      </c>
      <c r="H150" t="str">
        <f t="shared" si="2"/>
        <v>PRS: London_Leona Wilkinson</v>
      </c>
      <c r="I150" t="e">
        <f>VLOOKUP(H150,UAT!$H$2:$H$204,1,FALSE)</f>
        <v>#N/A</v>
      </c>
    </row>
    <row r="151" spans="1:9" hidden="1">
      <c r="A151" t="s">
        <v>7</v>
      </c>
      <c r="B151" t="s">
        <v>423</v>
      </c>
      <c r="C151" t="s">
        <v>424</v>
      </c>
      <c r="D151" t="s">
        <v>10</v>
      </c>
      <c r="E151" t="s">
        <v>425</v>
      </c>
      <c r="F151" t="s">
        <v>12</v>
      </c>
      <c r="G151" t="s">
        <v>419</v>
      </c>
      <c r="H151" t="str">
        <f t="shared" si="2"/>
        <v>PRS: London_Miranda Rowe</v>
      </c>
      <c r="I151" t="str">
        <f>VLOOKUP(H151,UAT!$H$2:$H$204,1,FALSE)</f>
        <v>PRS: London_Miranda Rowe</v>
      </c>
    </row>
    <row r="152" spans="1:9" hidden="1">
      <c r="A152" t="s">
        <v>7</v>
      </c>
      <c r="B152" t="s">
        <v>426</v>
      </c>
      <c r="C152" t="s">
        <v>427</v>
      </c>
      <c r="D152" t="s">
        <v>10</v>
      </c>
      <c r="E152" t="s">
        <v>428</v>
      </c>
      <c r="F152" t="s">
        <v>12</v>
      </c>
      <c r="G152" t="s">
        <v>419</v>
      </c>
      <c r="H152" t="str">
        <f t="shared" si="2"/>
        <v>PRS: London_Robert Steel</v>
      </c>
      <c r="I152" t="str">
        <f>VLOOKUP(H152,UAT!$H$2:$H$204,1,FALSE)</f>
        <v>PRS: London_Robert Steel</v>
      </c>
    </row>
    <row r="153" spans="1:9" hidden="1">
      <c r="A153" t="s">
        <v>7</v>
      </c>
      <c r="B153" t="s">
        <v>429</v>
      </c>
      <c r="C153" t="s">
        <v>430</v>
      </c>
      <c r="D153" t="s">
        <v>10</v>
      </c>
      <c r="E153" t="s">
        <v>431</v>
      </c>
      <c r="F153" t="s">
        <v>12</v>
      </c>
      <c r="G153" t="s">
        <v>419</v>
      </c>
      <c r="H153" t="str">
        <f t="shared" si="2"/>
        <v>PRS: London_Yvonne Leggett</v>
      </c>
      <c r="I153" t="str">
        <f>VLOOKUP(H153,UAT!$H$2:$H$204,1,FALSE)</f>
        <v>PRS: London_Yvonne Leggett</v>
      </c>
    </row>
    <row r="154" spans="1:9" hidden="1">
      <c r="A154" t="s">
        <v>7</v>
      </c>
      <c r="B154" t="s">
        <v>432</v>
      </c>
      <c r="C154" t="s">
        <v>433</v>
      </c>
      <c r="D154" t="s">
        <v>10</v>
      </c>
      <c r="E154" t="s">
        <v>434</v>
      </c>
      <c r="F154" t="s">
        <v>12</v>
      </c>
      <c r="G154" t="s">
        <v>419</v>
      </c>
      <c r="H154" t="str">
        <f t="shared" si="2"/>
        <v>PRS: London_Leah Lakomski</v>
      </c>
      <c r="I154" t="str">
        <f>VLOOKUP(H154,UAT!$H$2:$H$204,1,FALSE)</f>
        <v>PRS: London_Leah Lakomski</v>
      </c>
    </row>
    <row r="155" spans="1:9">
      <c r="A155" t="s">
        <v>7</v>
      </c>
      <c r="B155" t="s">
        <v>435</v>
      </c>
      <c r="C155" t="s">
        <v>436</v>
      </c>
      <c r="D155" t="s">
        <v>10</v>
      </c>
      <c r="E155" t="s">
        <v>437</v>
      </c>
      <c r="F155" t="s">
        <v>12</v>
      </c>
      <c r="G155" t="s">
        <v>419</v>
      </c>
      <c r="H155" t="str">
        <f t="shared" si="2"/>
        <v>PRS: London_Nicholas Holmes</v>
      </c>
      <c r="I155" t="e">
        <f>VLOOKUP(H155,UAT!$H$2:$H$204,1,FALSE)</f>
        <v>#N/A</v>
      </c>
    </row>
    <row r="156" spans="1:9" hidden="1">
      <c r="A156" t="s">
        <v>7</v>
      </c>
      <c r="B156" t="s">
        <v>438</v>
      </c>
      <c r="C156" t="s">
        <v>439</v>
      </c>
      <c r="D156" t="s">
        <v>10</v>
      </c>
      <c r="E156" t="s">
        <v>440</v>
      </c>
      <c r="F156" t="s">
        <v>12</v>
      </c>
      <c r="G156" t="s">
        <v>419</v>
      </c>
      <c r="H156" t="str">
        <f t="shared" si="2"/>
        <v>PRS: London_Nicolette McRae</v>
      </c>
      <c r="I156" t="str">
        <f>VLOOKUP(H156,UAT!$H$2:$H$204,1,FALSE)</f>
        <v>PRS: London_Nicolette McRae</v>
      </c>
    </row>
    <row r="157" spans="1:9" hidden="1">
      <c r="A157" t="s">
        <v>7</v>
      </c>
      <c r="B157" t="s">
        <v>441</v>
      </c>
      <c r="C157" t="s">
        <v>442</v>
      </c>
      <c r="D157" t="s">
        <v>10</v>
      </c>
      <c r="E157" t="s">
        <v>443</v>
      </c>
      <c r="F157" t="s">
        <v>12</v>
      </c>
      <c r="G157" t="s">
        <v>419</v>
      </c>
      <c r="H157" t="str">
        <f t="shared" si="2"/>
        <v>PRS: London_Darin Solomon</v>
      </c>
      <c r="I157" t="str">
        <f>VLOOKUP(H157,UAT!$H$2:$H$204,1,FALSE)</f>
        <v>PRS: London_Darin Solomon</v>
      </c>
    </row>
    <row r="158" spans="1:9" hidden="1">
      <c r="A158" t="s">
        <v>7</v>
      </c>
      <c r="B158" t="s">
        <v>444</v>
      </c>
      <c r="C158" t="s">
        <v>445</v>
      </c>
      <c r="D158" t="s">
        <v>10</v>
      </c>
      <c r="E158" t="s">
        <v>446</v>
      </c>
      <c r="F158" t="s">
        <v>12</v>
      </c>
      <c r="G158" t="s">
        <v>419</v>
      </c>
      <c r="H158" t="str">
        <f t="shared" si="2"/>
        <v>PRS: London_Edyta Forysiuk</v>
      </c>
      <c r="I158" t="str">
        <f>VLOOKUP(H158,UAT!$H$2:$H$204,1,FALSE)</f>
        <v>PRS: London_Edyta Forysiuk</v>
      </c>
    </row>
    <row r="159" spans="1:9" hidden="1">
      <c r="A159" t="s">
        <v>7</v>
      </c>
      <c r="B159" t="s">
        <v>447</v>
      </c>
      <c r="C159" t="s">
        <v>448</v>
      </c>
      <c r="D159" t="s">
        <v>10</v>
      </c>
      <c r="E159" t="s">
        <v>449</v>
      </c>
      <c r="F159" t="s">
        <v>12</v>
      </c>
      <c r="G159" t="s">
        <v>419</v>
      </c>
      <c r="H159" t="str">
        <f t="shared" si="2"/>
        <v>PRS: London_Kathrine Castle</v>
      </c>
      <c r="I159" t="str">
        <f>VLOOKUP(H159,UAT!$H$2:$H$204,1,FALSE)</f>
        <v>PRS: London_Kathrine Castle</v>
      </c>
    </row>
    <row r="160" spans="1:9" hidden="1">
      <c r="A160" t="s">
        <v>7</v>
      </c>
      <c r="B160" t="s">
        <v>450</v>
      </c>
      <c r="C160" t="s">
        <v>451</v>
      </c>
      <c r="D160" t="s">
        <v>10</v>
      </c>
      <c r="E160" t="s">
        <v>452</v>
      </c>
      <c r="F160" t="s">
        <v>12</v>
      </c>
      <c r="G160" t="s">
        <v>419</v>
      </c>
      <c r="H160" t="str">
        <f t="shared" si="2"/>
        <v>PRS: London_Nadia Rogers</v>
      </c>
      <c r="I160" t="str">
        <f>VLOOKUP(H160,UAT!$H$2:$H$204,1,FALSE)</f>
        <v>PRS: London_Nadia Rogers</v>
      </c>
    </row>
    <row r="161" spans="1:9" hidden="1">
      <c r="A161" t="s">
        <v>7</v>
      </c>
      <c r="B161" t="s">
        <v>453</v>
      </c>
      <c r="C161" t="s">
        <v>454</v>
      </c>
      <c r="D161" t="s">
        <v>10</v>
      </c>
      <c r="E161" t="s">
        <v>455</v>
      </c>
      <c r="F161" t="s">
        <v>12</v>
      </c>
      <c r="G161" t="s">
        <v>456</v>
      </c>
      <c r="H161" t="str">
        <f t="shared" si="2"/>
        <v>PRS: Regions_David Hancock</v>
      </c>
      <c r="I161" t="str">
        <f>VLOOKUP(H161,UAT!$H$2:$H$204,1,FALSE)</f>
        <v>PRS: Regions_David Hancock</v>
      </c>
    </row>
    <row r="162" spans="1:9" hidden="1">
      <c r="A162" t="s">
        <v>7</v>
      </c>
      <c r="B162" t="s">
        <v>457</v>
      </c>
      <c r="C162" t="s">
        <v>458</v>
      </c>
      <c r="D162" t="s">
        <v>10</v>
      </c>
      <c r="E162" t="s">
        <v>459</v>
      </c>
      <c r="F162" t="s">
        <v>12</v>
      </c>
      <c r="G162" t="s">
        <v>456</v>
      </c>
      <c r="H162" t="str">
        <f t="shared" si="2"/>
        <v>PRS: Regions_Sam Robson</v>
      </c>
      <c r="I162" t="str">
        <f>VLOOKUP(H162,UAT!$H$2:$H$204,1,FALSE)</f>
        <v>PRS: Regions_Sam Robson</v>
      </c>
    </row>
    <row r="163" spans="1:9" hidden="1">
      <c r="A163" t="s">
        <v>7</v>
      </c>
      <c r="B163" t="s">
        <v>460</v>
      </c>
      <c r="C163" t="s">
        <v>461</v>
      </c>
      <c r="D163" t="s">
        <v>10</v>
      </c>
      <c r="E163" t="s">
        <v>462</v>
      </c>
      <c r="F163" t="s">
        <v>12</v>
      </c>
      <c r="G163" t="s">
        <v>456</v>
      </c>
      <c r="H163" t="str">
        <f t="shared" si="2"/>
        <v>PRS: Regions_Mark Weeden</v>
      </c>
      <c r="I163" t="str">
        <f>VLOOKUP(H163,UAT!$H$2:$H$204,1,FALSE)</f>
        <v>PRS: Regions_Mark Weeden</v>
      </c>
    </row>
    <row r="164" spans="1:9" hidden="1">
      <c r="A164" t="s">
        <v>7</v>
      </c>
      <c r="B164" t="s">
        <v>463</v>
      </c>
      <c r="C164" t="s">
        <v>464</v>
      </c>
      <c r="D164" t="s">
        <v>10</v>
      </c>
      <c r="E164" t="s">
        <v>465</v>
      </c>
      <c r="F164" t="s">
        <v>12</v>
      </c>
      <c r="G164" t="s">
        <v>456</v>
      </c>
      <c r="H164" t="str">
        <f t="shared" si="2"/>
        <v>PRS: Regions_Luke Pollard</v>
      </c>
      <c r="I164" t="str">
        <f>VLOOKUP(H164,UAT!$H$2:$H$204,1,FALSE)</f>
        <v>PRS: Regions_Luke Pollard</v>
      </c>
    </row>
    <row r="165" spans="1:9" hidden="1">
      <c r="A165" t="s">
        <v>7</v>
      </c>
      <c r="B165" t="s">
        <v>466</v>
      </c>
      <c r="C165" t="s">
        <v>467</v>
      </c>
      <c r="D165" t="s">
        <v>10</v>
      </c>
      <c r="E165" t="s">
        <v>468</v>
      </c>
      <c r="F165" t="s">
        <v>12</v>
      </c>
      <c r="G165" t="s">
        <v>456</v>
      </c>
      <c r="H165" t="str">
        <f t="shared" si="2"/>
        <v>PRS: Regions_Louise Spooner</v>
      </c>
      <c r="I165" t="str">
        <f>VLOOKUP(H165,UAT!$H$2:$H$204,1,FALSE)</f>
        <v>PRS: Regions_Louise Spooner</v>
      </c>
    </row>
    <row r="166" spans="1:9" hidden="1">
      <c r="A166" t="s">
        <v>7</v>
      </c>
      <c r="B166" t="s">
        <v>469</v>
      </c>
      <c r="C166" t="s">
        <v>394</v>
      </c>
      <c r="D166" t="s">
        <v>10</v>
      </c>
      <c r="E166" t="s">
        <v>395</v>
      </c>
      <c r="F166" t="s">
        <v>12</v>
      </c>
      <c r="G166" t="s">
        <v>456</v>
      </c>
      <c r="H166" t="str">
        <f t="shared" si="2"/>
        <v>PRS: Regions_Bailey King</v>
      </c>
      <c r="I166" t="str">
        <f>VLOOKUP(H166,UAT!$H$2:$H$204,1,FALSE)</f>
        <v>PRS: Regions_Bailey King</v>
      </c>
    </row>
    <row r="167" spans="1:9">
      <c r="A167" t="s">
        <v>7</v>
      </c>
      <c r="B167" t="s">
        <v>470</v>
      </c>
      <c r="C167" t="s">
        <v>157</v>
      </c>
      <c r="D167" t="s">
        <v>10</v>
      </c>
      <c r="E167" t="s">
        <v>158</v>
      </c>
      <c r="F167" t="s">
        <v>12</v>
      </c>
      <c r="G167" t="s">
        <v>456</v>
      </c>
      <c r="H167" t="str">
        <f t="shared" si="2"/>
        <v>PRS: Regions_Jacqui Dobson</v>
      </c>
      <c r="I167" t="e">
        <f>VLOOKUP(H167,UAT!$H$2:$H$204,1,FALSE)</f>
        <v>#N/A</v>
      </c>
    </row>
    <row r="168" spans="1:9" hidden="1">
      <c r="A168" t="s">
        <v>7</v>
      </c>
      <c r="B168" t="s">
        <v>471</v>
      </c>
      <c r="C168" t="s">
        <v>398</v>
      </c>
      <c r="D168" t="s">
        <v>10</v>
      </c>
      <c r="E168" t="s">
        <v>399</v>
      </c>
      <c r="F168" t="s">
        <v>12</v>
      </c>
      <c r="G168" t="s">
        <v>456</v>
      </c>
      <c r="H168" t="str">
        <f t="shared" si="2"/>
        <v>PRS: Regions_Jessica Warnes</v>
      </c>
      <c r="I168" t="str">
        <f>VLOOKUP(H168,UAT!$H$2:$H$204,1,FALSE)</f>
        <v>PRS: Regions_Jessica Warnes</v>
      </c>
    </row>
    <row r="169" spans="1:9" hidden="1">
      <c r="A169" t="s">
        <v>7</v>
      </c>
      <c r="B169" t="s">
        <v>472</v>
      </c>
      <c r="C169" t="s">
        <v>401</v>
      </c>
      <c r="D169" t="s">
        <v>10</v>
      </c>
      <c r="E169" t="s">
        <v>402</v>
      </c>
      <c r="F169" t="s">
        <v>12</v>
      </c>
      <c r="G169" t="s">
        <v>456</v>
      </c>
      <c r="H169" t="str">
        <f t="shared" si="2"/>
        <v>PRS: Regions_Rachel Creer</v>
      </c>
      <c r="I169" t="str">
        <f>VLOOKUP(H169,UAT!$H$2:$H$204,1,FALSE)</f>
        <v>PRS: Regions_Rachel Creer</v>
      </c>
    </row>
    <row r="170" spans="1:9" hidden="1">
      <c r="A170" t="s">
        <v>7</v>
      </c>
      <c r="B170" t="s">
        <v>473</v>
      </c>
      <c r="C170" t="s">
        <v>474</v>
      </c>
      <c r="D170" t="s">
        <v>10</v>
      </c>
      <c r="E170" t="s">
        <v>475</v>
      </c>
      <c r="F170" t="s">
        <v>12</v>
      </c>
      <c r="G170" t="s">
        <v>476</v>
      </c>
      <c r="H170" t="str">
        <f t="shared" si="2"/>
        <v>Solstice Apartments Team_Rachel Steventon</v>
      </c>
      <c r="I170" t="str">
        <f>VLOOKUP(H170,UAT!$H$2:$H$204,1,FALSE)</f>
        <v>Solstice Apartments Team_Rachel Steventon</v>
      </c>
    </row>
    <row r="171" spans="1:9" hidden="1">
      <c r="A171" t="s">
        <v>7</v>
      </c>
      <c r="B171" t="s">
        <v>477</v>
      </c>
      <c r="C171" t="s">
        <v>164</v>
      </c>
      <c r="D171" t="s">
        <v>10</v>
      </c>
      <c r="E171" t="s">
        <v>165</v>
      </c>
      <c r="F171" t="s">
        <v>12</v>
      </c>
      <c r="G171" t="s">
        <v>476</v>
      </c>
      <c r="H171" t="str">
        <f t="shared" si="2"/>
        <v>Solstice Apartments Team_Danielle Stewart</v>
      </c>
      <c r="I171" t="str">
        <f>VLOOKUP(H171,UAT!$H$2:$H$204,1,FALSE)</f>
        <v>Solstice Apartments Team_Danielle Stewart</v>
      </c>
    </row>
    <row r="172" spans="1:9" hidden="1">
      <c r="A172" t="s">
        <v>7</v>
      </c>
      <c r="B172" t="s">
        <v>478</v>
      </c>
      <c r="C172" t="s">
        <v>160</v>
      </c>
      <c r="D172" t="s">
        <v>10</v>
      </c>
      <c r="E172" t="s">
        <v>161</v>
      </c>
      <c r="F172" t="s">
        <v>12</v>
      </c>
      <c r="G172" t="s">
        <v>476</v>
      </c>
      <c r="H172" t="str">
        <f t="shared" si="2"/>
        <v>Solstice Apartments Team_Tina Viragh</v>
      </c>
      <c r="I172" t="str">
        <f>VLOOKUP(H172,UAT!$H$2:$H$204,1,FALSE)</f>
        <v>Solstice Apartments Team_Tina Viragh</v>
      </c>
    </row>
    <row r="173" spans="1:9" hidden="1">
      <c r="A173" t="s">
        <v>7</v>
      </c>
      <c r="B173" t="s">
        <v>479</v>
      </c>
      <c r="C173" t="s">
        <v>182</v>
      </c>
      <c r="D173" t="s">
        <v>10</v>
      </c>
      <c r="E173" t="s">
        <v>183</v>
      </c>
      <c r="F173" t="s">
        <v>12</v>
      </c>
      <c r="G173" t="s">
        <v>476</v>
      </c>
      <c r="H173" t="str">
        <f t="shared" si="2"/>
        <v>Solstice Apartments Team_Sharon Goyder-Smith</v>
      </c>
      <c r="I173" t="str">
        <f>VLOOKUP(H173,UAT!$H$2:$H$204,1,FALSE)</f>
        <v>Solstice Apartments Team_Sharon Goyder-Smith</v>
      </c>
    </row>
    <row r="174" spans="1:9" hidden="1">
      <c r="A174" t="s">
        <v>7</v>
      </c>
      <c r="B174" t="s">
        <v>480</v>
      </c>
      <c r="C174" t="s">
        <v>481</v>
      </c>
      <c r="D174" t="s">
        <v>10</v>
      </c>
      <c r="E174" t="s">
        <v>482</v>
      </c>
      <c r="F174" t="s">
        <v>12</v>
      </c>
      <c r="G174" t="s">
        <v>476</v>
      </c>
      <c r="H174" t="str">
        <f t="shared" si="2"/>
        <v>Solstice Apartments Team_Janki Pankhaniya</v>
      </c>
      <c r="I174" t="str">
        <f>VLOOKUP(H174,UAT!$H$2:$H$204,1,FALSE)</f>
        <v>Solstice Apartments Team_Janki Pankhaniya</v>
      </c>
    </row>
    <row r="175" spans="1:9" hidden="1">
      <c r="A175" t="s">
        <v>7</v>
      </c>
      <c r="B175" t="s">
        <v>483</v>
      </c>
      <c r="C175" t="s">
        <v>484</v>
      </c>
      <c r="D175" t="s">
        <v>10</v>
      </c>
      <c r="E175" t="s">
        <v>485</v>
      </c>
      <c r="F175" t="s">
        <v>12</v>
      </c>
      <c r="G175" t="s">
        <v>486</v>
      </c>
      <c r="H175" t="str">
        <f t="shared" si="2"/>
        <v>South West Lead Queue_Abigale Boaler</v>
      </c>
      <c r="I175" t="str">
        <f>VLOOKUP(H175,UAT!$H$2:$H$204,1,FALSE)</f>
        <v>South West Lead Queue_Abigale Boaler</v>
      </c>
    </row>
    <row r="176" spans="1:9" hidden="1">
      <c r="A176" t="s">
        <v>7</v>
      </c>
      <c r="B176" t="s">
        <v>487</v>
      </c>
      <c r="C176" t="s">
        <v>283</v>
      </c>
      <c r="D176" t="s">
        <v>10</v>
      </c>
      <c r="E176" t="s">
        <v>284</v>
      </c>
      <c r="F176" t="s">
        <v>12</v>
      </c>
      <c r="G176" t="s">
        <v>486</v>
      </c>
      <c r="H176" t="str">
        <f t="shared" si="2"/>
        <v>South West Lead Queue_Laxmi Mistry</v>
      </c>
      <c r="I176" t="str">
        <f>VLOOKUP(H176,UAT!$H$2:$H$204,1,FALSE)</f>
        <v>South West Lead Queue_Laxmi Mistry</v>
      </c>
    </row>
    <row r="177" spans="1:9" hidden="1">
      <c r="A177" t="s">
        <v>7</v>
      </c>
      <c r="B177" t="s">
        <v>488</v>
      </c>
      <c r="C177" t="s">
        <v>489</v>
      </c>
      <c r="D177" t="s">
        <v>10</v>
      </c>
      <c r="E177" t="s">
        <v>490</v>
      </c>
      <c r="F177" t="s">
        <v>12</v>
      </c>
      <c r="G177" t="s">
        <v>486</v>
      </c>
      <c r="H177" t="str">
        <f t="shared" si="2"/>
        <v>South West Lead Queue_Connor Manuel</v>
      </c>
      <c r="I177" t="str">
        <f>VLOOKUP(H177,UAT!$H$2:$H$204,1,FALSE)</f>
        <v>South West Lead Queue_Connor Manuel</v>
      </c>
    </row>
    <row r="178" spans="1:9" hidden="1">
      <c r="A178" t="s">
        <v>7</v>
      </c>
      <c r="B178" t="s">
        <v>491</v>
      </c>
      <c r="C178" t="s">
        <v>339</v>
      </c>
      <c r="D178" t="s">
        <v>10</v>
      </c>
      <c r="E178" t="s">
        <v>340</v>
      </c>
      <c r="F178" t="s">
        <v>12</v>
      </c>
      <c r="G178" t="s">
        <v>486</v>
      </c>
      <c r="H178" t="str">
        <f t="shared" si="2"/>
        <v>South West Lead Queue_Elisabeta Mihalache</v>
      </c>
      <c r="I178" t="str">
        <f>VLOOKUP(H178,UAT!$H$2:$H$204,1,FALSE)</f>
        <v>South West Lead Queue_Elisabeta Mihalache</v>
      </c>
    </row>
    <row r="179" spans="1:9" hidden="1">
      <c r="A179" t="s">
        <v>7</v>
      </c>
      <c r="B179" t="s">
        <v>492</v>
      </c>
      <c r="C179" t="s">
        <v>234</v>
      </c>
      <c r="D179" t="s">
        <v>10</v>
      </c>
      <c r="E179" t="s">
        <v>235</v>
      </c>
      <c r="F179" t="s">
        <v>12</v>
      </c>
      <c r="G179" t="s">
        <v>493</v>
      </c>
      <c r="H179" t="str">
        <f t="shared" si="2"/>
        <v>Southampton Lead Queue_Treasa Larke</v>
      </c>
      <c r="I179" t="str">
        <f>VLOOKUP(H179,UAT!$H$2:$H$204,1,FALSE)</f>
        <v>Southampton Lead Queue_Treasa Larke</v>
      </c>
    </row>
    <row r="180" spans="1:9" hidden="1">
      <c r="A180" t="s">
        <v>7</v>
      </c>
      <c r="B180" t="s">
        <v>494</v>
      </c>
      <c r="C180" t="s">
        <v>82</v>
      </c>
      <c r="D180" t="s">
        <v>10</v>
      </c>
      <c r="E180" t="s">
        <v>83</v>
      </c>
      <c r="F180" t="s">
        <v>12</v>
      </c>
      <c r="G180" t="s">
        <v>493</v>
      </c>
      <c r="H180" t="str">
        <f t="shared" si="2"/>
        <v>Southampton Lead Queue_Geoffrey Eze</v>
      </c>
      <c r="I180" t="str">
        <f>VLOOKUP(H180,UAT!$H$2:$H$204,1,FALSE)</f>
        <v>Southampton Lead Queue_Geoffrey Eze</v>
      </c>
    </row>
    <row r="181" spans="1:9" hidden="1">
      <c r="A181" t="s">
        <v>7</v>
      </c>
      <c r="B181" t="s">
        <v>495</v>
      </c>
      <c r="C181" t="s">
        <v>79</v>
      </c>
      <c r="D181" t="s">
        <v>10</v>
      </c>
      <c r="E181" t="s">
        <v>80</v>
      </c>
      <c r="F181" t="s">
        <v>12</v>
      </c>
      <c r="G181" t="s">
        <v>493</v>
      </c>
      <c r="H181" t="str">
        <f t="shared" si="2"/>
        <v>Southampton Lead Queue_Rachel Ofili</v>
      </c>
      <c r="I181" t="str">
        <f>VLOOKUP(H181,UAT!$H$2:$H$204,1,FALSE)</f>
        <v>Southampton Lead Queue_Rachel Ofili</v>
      </c>
    </row>
    <row r="182" spans="1:9" hidden="1">
      <c r="A182" t="s">
        <v>7</v>
      </c>
      <c r="B182" t="s">
        <v>496</v>
      </c>
      <c r="C182" t="s">
        <v>72</v>
      </c>
      <c r="D182" t="s">
        <v>10</v>
      </c>
      <c r="E182" t="s">
        <v>73</v>
      </c>
      <c r="F182" t="s">
        <v>12</v>
      </c>
      <c r="G182" t="s">
        <v>493</v>
      </c>
      <c r="H182" t="str">
        <f t="shared" si="2"/>
        <v>Southampton Lead Queue_Ezekiel Akinjagunla</v>
      </c>
      <c r="I182" t="str">
        <f>VLOOKUP(H182,UAT!$H$2:$H$204,1,FALSE)</f>
        <v>Southampton Lead Queue_Ezekiel Akinjagunla</v>
      </c>
    </row>
    <row r="183" spans="1:9" hidden="1">
      <c r="A183" t="s">
        <v>7</v>
      </c>
      <c r="B183" t="s">
        <v>497</v>
      </c>
      <c r="C183" t="s">
        <v>498</v>
      </c>
      <c r="D183" t="s">
        <v>10</v>
      </c>
      <c r="E183" t="s">
        <v>499</v>
      </c>
      <c r="F183" t="s">
        <v>12</v>
      </c>
      <c r="G183" t="s">
        <v>500</v>
      </c>
      <c r="H183" t="str">
        <f t="shared" si="2"/>
        <v>The Barnum Team_Natasha Burns</v>
      </c>
      <c r="I183" t="str">
        <f>VLOOKUP(H183,UAT!$H$2:$H$204,1,FALSE)</f>
        <v>The Barnum Team_Natasha Burns</v>
      </c>
    </row>
    <row r="184" spans="1:9" hidden="1">
      <c r="A184" t="s">
        <v>7</v>
      </c>
      <c r="B184" t="s">
        <v>501</v>
      </c>
      <c r="C184" t="s">
        <v>502</v>
      </c>
      <c r="D184" t="s">
        <v>10</v>
      </c>
      <c r="E184" t="s">
        <v>503</v>
      </c>
      <c r="F184" t="s">
        <v>12</v>
      </c>
      <c r="G184" t="s">
        <v>500</v>
      </c>
      <c r="H184" t="str">
        <f t="shared" si="2"/>
        <v>The Barnum Team_Sean Bromley</v>
      </c>
      <c r="I184" t="str">
        <f>VLOOKUP(H184,UAT!$H$2:$H$204,1,FALSE)</f>
        <v>The Barnum Team_Sean Bromley</v>
      </c>
    </row>
    <row r="185" spans="1:9" hidden="1">
      <c r="A185" t="s">
        <v>7</v>
      </c>
      <c r="B185" t="s">
        <v>504</v>
      </c>
      <c r="C185" t="s">
        <v>505</v>
      </c>
      <c r="D185" t="s">
        <v>10</v>
      </c>
      <c r="E185" t="s">
        <v>506</v>
      </c>
      <c r="F185" t="s">
        <v>12</v>
      </c>
      <c r="G185" t="s">
        <v>500</v>
      </c>
      <c r="H185" t="str">
        <f t="shared" si="2"/>
        <v>The Barnum Team_Sophie Turrill</v>
      </c>
      <c r="I185" t="str">
        <f>VLOOKUP(H185,UAT!$H$2:$H$204,1,FALSE)</f>
        <v>The Barnum Team_Sophie Turrill</v>
      </c>
    </row>
    <row r="186" spans="1:9" hidden="1">
      <c r="A186" t="s">
        <v>7</v>
      </c>
      <c r="B186" t="s">
        <v>507</v>
      </c>
      <c r="C186" t="s">
        <v>508</v>
      </c>
      <c r="D186" t="s">
        <v>10</v>
      </c>
      <c r="E186" t="s">
        <v>509</v>
      </c>
      <c r="F186" t="s">
        <v>12</v>
      </c>
      <c r="G186" t="s">
        <v>500</v>
      </c>
      <c r="H186" t="str">
        <f t="shared" si="2"/>
        <v>The Barnum Team_Amy Truong</v>
      </c>
      <c r="I186" t="str">
        <f>VLOOKUP(H186,UAT!$H$2:$H$204,1,FALSE)</f>
        <v>The Barnum Team_Amy Truong</v>
      </c>
    </row>
    <row r="187" spans="1:9" hidden="1">
      <c r="A187" t="s">
        <v>7</v>
      </c>
      <c r="B187" t="s">
        <v>510</v>
      </c>
      <c r="C187" t="s">
        <v>502</v>
      </c>
      <c r="D187" t="s">
        <v>10</v>
      </c>
      <c r="E187" t="s">
        <v>503</v>
      </c>
      <c r="F187" t="s">
        <v>12</v>
      </c>
      <c r="G187" t="s">
        <v>511</v>
      </c>
      <c r="H187" t="str">
        <f t="shared" si="2"/>
        <v>The Condor Team_Sean Bromley</v>
      </c>
      <c r="I187" t="str">
        <f>VLOOKUP(H187,UAT!$H$2:$H$204,1,FALSE)</f>
        <v>The Condor Team_Sean Bromley</v>
      </c>
    </row>
    <row r="188" spans="1:9" hidden="1">
      <c r="A188" t="s">
        <v>7</v>
      </c>
      <c r="B188" t="s">
        <v>512</v>
      </c>
      <c r="C188" t="s">
        <v>513</v>
      </c>
      <c r="D188" t="s">
        <v>10</v>
      </c>
      <c r="E188" t="s">
        <v>514</v>
      </c>
      <c r="F188" t="s">
        <v>12</v>
      </c>
      <c r="G188" t="s">
        <v>511</v>
      </c>
      <c r="H188" t="str">
        <f t="shared" si="2"/>
        <v>The Condor Team_Jacqueline Cooper</v>
      </c>
      <c r="I188" t="str">
        <f>VLOOKUP(H188,UAT!$H$2:$H$204,1,FALSE)</f>
        <v>The Condor Team_Jacqueline Cooper</v>
      </c>
    </row>
    <row r="189" spans="1:9" hidden="1">
      <c r="A189" t="s">
        <v>7</v>
      </c>
      <c r="B189" t="s">
        <v>515</v>
      </c>
      <c r="C189" t="s">
        <v>516</v>
      </c>
      <c r="D189" t="s">
        <v>10</v>
      </c>
      <c r="E189" t="s">
        <v>517</v>
      </c>
      <c r="F189" t="s">
        <v>12</v>
      </c>
      <c r="G189" t="s">
        <v>511</v>
      </c>
      <c r="H189" t="str">
        <f t="shared" si="2"/>
        <v>The Condor Team_Santija Dave</v>
      </c>
      <c r="I189" t="str">
        <f>VLOOKUP(H189,UAT!$H$2:$H$204,1,FALSE)</f>
        <v>The Condor Team_Santija Dave</v>
      </c>
    </row>
    <row r="190" spans="1:9" hidden="1">
      <c r="A190" t="s">
        <v>7</v>
      </c>
      <c r="B190" t="s">
        <v>518</v>
      </c>
      <c r="C190" t="s">
        <v>519</v>
      </c>
      <c r="D190" t="s">
        <v>10</v>
      </c>
      <c r="E190" t="s">
        <v>520</v>
      </c>
      <c r="F190" t="s">
        <v>12</v>
      </c>
      <c r="G190" t="s">
        <v>511</v>
      </c>
      <c r="H190" t="str">
        <f t="shared" si="2"/>
        <v>The Condor Team_Jessica Coates</v>
      </c>
      <c r="I190" t="str">
        <f>VLOOKUP(H190,UAT!$H$2:$H$204,1,FALSE)</f>
        <v>The Condor Team_Jessica Coates</v>
      </c>
    </row>
    <row r="191" spans="1:9" hidden="1">
      <c r="A191" t="s">
        <v>7</v>
      </c>
      <c r="B191" t="s">
        <v>521</v>
      </c>
      <c r="C191" t="s">
        <v>522</v>
      </c>
      <c r="D191" t="s">
        <v>10</v>
      </c>
      <c r="E191" t="s">
        <v>523</v>
      </c>
      <c r="F191" t="s">
        <v>12</v>
      </c>
      <c r="G191" t="s">
        <v>524</v>
      </c>
      <c r="H191" t="str">
        <f t="shared" si="2"/>
        <v>The Forge Team_Charlotte Bell</v>
      </c>
      <c r="I191" t="str">
        <f>VLOOKUP(H191,UAT!$H$2:$H$204,1,FALSE)</f>
        <v>The Forge Team_Charlotte Bell</v>
      </c>
    </row>
    <row r="192" spans="1:9" hidden="1">
      <c r="A192" t="s">
        <v>7</v>
      </c>
      <c r="B192" t="s">
        <v>525</v>
      </c>
      <c r="C192" t="s">
        <v>458</v>
      </c>
      <c r="D192" t="s">
        <v>10</v>
      </c>
      <c r="E192" t="s">
        <v>459</v>
      </c>
      <c r="F192" t="s">
        <v>12</v>
      </c>
      <c r="G192" t="s">
        <v>524</v>
      </c>
      <c r="H192" t="str">
        <f t="shared" si="2"/>
        <v>The Forge Team_Sam Robson</v>
      </c>
      <c r="I192" t="str">
        <f>VLOOKUP(H192,UAT!$H$2:$H$204,1,FALSE)</f>
        <v>The Forge Team_Sam Robson</v>
      </c>
    </row>
    <row r="193" spans="1:9" hidden="1">
      <c r="A193" t="s">
        <v>7</v>
      </c>
      <c r="B193" t="s">
        <v>526</v>
      </c>
      <c r="C193" t="s">
        <v>527</v>
      </c>
      <c r="D193" t="s">
        <v>10</v>
      </c>
      <c r="E193" t="s">
        <v>528</v>
      </c>
      <c r="F193" t="s">
        <v>12</v>
      </c>
      <c r="G193" t="s">
        <v>524</v>
      </c>
      <c r="H193" t="str">
        <f t="shared" si="2"/>
        <v>The Forge Team_Christina Cassidy</v>
      </c>
      <c r="I193" t="str">
        <f>VLOOKUP(H193,UAT!$H$2:$H$204,1,FALSE)</f>
        <v>The Forge Team_Christina Cassidy</v>
      </c>
    </row>
    <row r="194" spans="1:9" hidden="1">
      <c r="A194" t="s">
        <v>7</v>
      </c>
      <c r="B194" t="s">
        <v>529</v>
      </c>
      <c r="C194" t="s">
        <v>530</v>
      </c>
      <c r="D194" t="s">
        <v>10</v>
      </c>
      <c r="E194" t="s">
        <v>531</v>
      </c>
      <c r="F194" t="s">
        <v>12</v>
      </c>
      <c r="G194" t="s">
        <v>532</v>
      </c>
      <c r="H194" t="str">
        <f t="shared" si="2"/>
        <v>The Headline Team_Coren Macniven</v>
      </c>
      <c r="I194" t="str">
        <f>VLOOKUP(H194,UAT!$H$2:$H$204,1,FALSE)</f>
        <v>The Headline Team_Coren Macniven</v>
      </c>
    </row>
    <row r="195" spans="1:9" hidden="1">
      <c r="A195" t="s">
        <v>7</v>
      </c>
      <c r="B195" t="s">
        <v>533</v>
      </c>
      <c r="C195" t="s">
        <v>534</v>
      </c>
      <c r="D195" t="s">
        <v>10</v>
      </c>
      <c r="E195" t="s">
        <v>535</v>
      </c>
      <c r="F195" t="s">
        <v>12</v>
      </c>
      <c r="G195" t="s">
        <v>532</v>
      </c>
      <c r="H195" t="str">
        <f t="shared" ref="H195:H212" si="3">G195&amp;"_"&amp;E195</f>
        <v>The Headline Team_Corinne Lawrenson</v>
      </c>
      <c r="I195" t="str">
        <f>VLOOKUP(H195,UAT!$H$2:$H$204,1,FALSE)</f>
        <v>The Headline Team_Corinne Lawrenson</v>
      </c>
    </row>
    <row r="196" spans="1:9">
      <c r="A196" t="s">
        <v>7</v>
      </c>
      <c r="B196" t="s">
        <v>536</v>
      </c>
      <c r="C196" t="s">
        <v>537</v>
      </c>
      <c r="D196" t="s">
        <v>10</v>
      </c>
      <c r="E196" t="s">
        <v>538</v>
      </c>
      <c r="F196" t="s">
        <v>12</v>
      </c>
      <c r="G196" t="s">
        <v>532</v>
      </c>
      <c r="H196" t="str">
        <f t="shared" si="3"/>
        <v>The Headline Team_Iva Bikic</v>
      </c>
      <c r="I196" t="e">
        <f>VLOOKUP(H196,UAT!$H$2:$H$204,1,FALSE)</f>
        <v>#N/A</v>
      </c>
    </row>
    <row r="197" spans="1:9" hidden="1">
      <c r="A197" t="s">
        <v>7</v>
      </c>
      <c r="B197" t="s">
        <v>539</v>
      </c>
      <c r="C197" t="s">
        <v>540</v>
      </c>
      <c r="D197" t="s">
        <v>10</v>
      </c>
      <c r="E197" t="s">
        <v>541</v>
      </c>
      <c r="F197" t="s">
        <v>12</v>
      </c>
      <c r="G197" t="s">
        <v>532</v>
      </c>
      <c r="H197" t="str">
        <f t="shared" si="3"/>
        <v>The Headline Team_Joseph Scarrott</v>
      </c>
      <c r="I197" t="str">
        <f>VLOOKUP(H197,UAT!$H$2:$H$204,1,FALSE)</f>
        <v>The Headline Team_Joseph Scarrott</v>
      </c>
    </row>
    <row r="198" spans="1:9" hidden="1">
      <c r="A198" t="s">
        <v>7</v>
      </c>
      <c r="B198" t="s">
        <v>542</v>
      </c>
      <c r="C198" t="s">
        <v>404</v>
      </c>
      <c r="D198" t="s">
        <v>10</v>
      </c>
      <c r="E198" t="s">
        <v>405</v>
      </c>
      <c r="F198" t="s">
        <v>12</v>
      </c>
      <c r="G198" t="s">
        <v>532</v>
      </c>
      <c r="H198" t="str">
        <f t="shared" si="3"/>
        <v>The Headline Team_Ruth Friend</v>
      </c>
      <c r="I198" t="str">
        <f>VLOOKUP(H198,UAT!$H$2:$H$204,1,FALSE)</f>
        <v>The Headline Team_Ruth Friend</v>
      </c>
    </row>
    <row r="199" spans="1:9" hidden="1">
      <c r="A199" t="s">
        <v>7</v>
      </c>
      <c r="B199" t="s">
        <v>543</v>
      </c>
      <c r="C199" t="s">
        <v>544</v>
      </c>
      <c r="D199" t="s">
        <v>10</v>
      </c>
      <c r="E199" t="s">
        <v>545</v>
      </c>
      <c r="F199" t="s">
        <v>12</v>
      </c>
      <c r="G199" t="s">
        <v>546</v>
      </c>
      <c r="H199" t="str">
        <f t="shared" si="3"/>
        <v>The Mint Team_Victoria Phillips</v>
      </c>
      <c r="I199" t="str">
        <f>VLOOKUP(H199,UAT!$H$2:$H$204,1,FALSE)</f>
        <v>The Mint Team_Victoria Phillips</v>
      </c>
    </row>
    <row r="200" spans="1:9" hidden="1">
      <c r="A200" t="s">
        <v>7</v>
      </c>
      <c r="B200" t="s">
        <v>547</v>
      </c>
      <c r="C200" t="s">
        <v>548</v>
      </c>
      <c r="D200" t="s">
        <v>10</v>
      </c>
      <c r="E200" t="s">
        <v>549</v>
      </c>
      <c r="F200" t="s">
        <v>12</v>
      </c>
      <c r="G200" t="s">
        <v>546</v>
      </c>
      <c r="H200" t="str">
        <f t="shared" si="3"/>
        <v>The Mint Team_Ray Rahman</v>
      </c>
      <c r="I200" t="str">
        <f>VLOOKUP(H200,UAT!$H$2:$H$204,1,FALSE)</f>
        <v>The Mint Team_Ray Rahman</v>
      </c>
    </row>
    <row r="201" spans="1:9" hidden="1">
      <c r="A201" t="s">
        <v>7</v>
      </c>
      <c r="B201" t="s">
        <v>550</v>
      </c>
      <c r="C201" t="s">
        <v>551</v>
      </c>
      <c r="D201" t="s">
        <v>10</v>
      </c>
      <c r="E201" t="s">
        <v>552</v>
      </c>
      <c r="F201" t="s">
        <v>12</v>
      </c>
      <c r="G201" t="s">
        <v>553</v>
      </c>
      <c r="H201" t="str">
        <f t="shared" si="3"/>
        <v>The Tilt Works Team_Mark Churchard</v>
      </c>
      <c r="I201" t="str">
        <f>VLOOKUP(H201,UAT!$H$2:$H$204,1,FALSE)</f>
        <v>The Tilt Works Team_Mark Churchard</v>
      </c>
    </row>
    <row r="202" spans="1:9" hidden="1">
      <c r="A202" t="s">
        <v>7</v>
      </c>
      <c r="B202" t="s">
        <v>554</v>
      </c>
      <c r="C202" t="s">
        <v>555</v>
      </c>
      <c r="D202" t="s">
        <v>10</v>
      </c>
      <c r="E202" t="s">
        <v>556</v>
      </c>
      <c r="F202" t="s">
        <v>12</v>
      </c>
      <c r="G202" t="s">
        <v>553</v>
      </c>
      <c r="H202" t="str">
        <f t="shared" si="3"/>
        <v>The Tilt Works Team_Jodie Hoyle</v>
      </c>
      <c r="I202" t="str">
        <f>VLOOKUP(H202,UAT!$H$2:$H$204,1,FALSE)</f>
        <v>The Tilt Works Team_Jodie Hoyle</v>
      </c>
    </row>
    <row r="203" spans="1:9" hidden="1">
      <c r="A203" t="s">
        <v>7</v>
      </c>
      <c r="B203" t="s">
        <v>557</v>
      </c>
      <c r="C203" t="s">
        <v>558</v>
      </c>
      <c r="D203" t="s">
        <v>10</v>
      </c>
      <c r="E203" t="s">
        <v>559</v>
      </c>
      <c r="F203" t="s">
        <v>12</v>
      </c>
      <c r="G203" t="s">
        <v>553</v>
      </c>
      <c r="H203" t="str">
        <f t="shared" si="3"/>
        <v>The Tilt Works Team_Annie Carley</v>
      </c>
      <c r="I203" t="str">
        <f>VLOOKUP(H203,UAT!$H$2:$H$204,1,FALSE)</f>
        <v>The Tilt Works Team_Annie Carley</v>
      </c>
    </row>
    <row r="204" spans="1:9" hidden="1">
      <c r="A204" t="s">
        <v>7</v>
      </c>
      <c r="B204" t="s">
        <v>560</v>
      </c>
      <c r="C204" t="s">
        <v>561</v>
      </c>
      <c r="D204" t="s">
        <v>10</v>
      </c>
      <c r="E204" t="s">
        <v>562</v>
      </c>
      <c r="F204" t="s">
        <v>12</v>
      </c>
      <c r="G204" t="s">
        <v>553</v>
      </c>
      <c r="H204" t="str">
        <f t="shared" si="3"/>
        <v>The Tilt Works Team_Abigail Sturman</v>
      </c>
      <c r="I204" t="str">
        <f>VLOOKUP(H204,UAT!$H$2:$H$204,1,FALSE)</f>
        <v>The Tilt Works Team_Abigail Sturman</v>
      </c>
    </row>
    <row r="205" spans="1:9" hidden="1">
      <c r="A205" t="s">
        <v>7</v>
      </c>
      <c r="B205" t="s">
        <v>563</v>
      </c>
      <c r="C205" t="s">
        <v>564</v>
      </c>
      <c r="D205" t="s">
        <v>10</v>
      </c>
      <c r="E205" t="s">
        <v>565</v>
      </c>
      <c r="F205" t="s">
        <v>12</v>
      </c>
      <c r="G205" t="s">
        <v>566</v>
      </c>
      <c r="H205" t="str">
        <f t="shared" si="3"/>
        <v>The Wellesley Team_Megan Fleming</v>
      </c>
      <c r="I205" t="str">
        <f>VLOOKUP(H205,UAT!$H$2:$H$204,1,FALSE)</f>
        <v>The Wellesley Team_Megan Fleming</v>
      </c>
    </row>
    <row r="206" spans="1:9" hidden="1">
      <c r="A206" t="s">
        <v>7</v>
      </c>
      <c r="B206" t="s">
        <v>567</v>
      </c>
      <c r="C206" t="s">
        <v>568</v>
      </c>
      <c r="D206" t="s">
        <v>10</v>
      </c>
      <c r="E206" t="s">
        <v>569</v>
      </c>
      <c r="F206" t="s">
        <v>12</v>
      </c>
      <c r="G206" t="s">
        <v>570</v>
      </c>
      <c r="H206" t="str">
        <f t="shared" si="3"/>
        <v>Weavers Yard Team_Daniel Hind</v>
      </c>
      <c r="I206" t="str">
        <f>VLOOKUP(H206,UAT!$H$2:$H$204,1,FALSE)</f>
        <v>Weavers Yard Team_Daniel Hind</v>
      </c>
    </row>
    <row r="207" spans="1:9" hidden="1">
      <c r="A207" t="s">
        <v>7</v>
      </c>
      <c r="B207" t="s">
        <v>571</v>
      </c>
      <c r="C207" t="s">
        <v>572</v>
      </c>
      <c r="D207" t="s">
        <v>10</v>
      </c>
      <c r="E207" t="s">
        <v>573</v>
      </c>
      <c r="F207" t="s">
        <v>12</v>
      </c>
      <c r="G207" t="s">
        <v>570</v>
      </c>
      <c r="H207" t="str">
        <f t="shared" si="3"/>
        <v>Weavers Yard Team_Carmen Wong</v>
      </c>
      <c r="I207" t="str">
        <f>VLOOKUP(H207,UAT!$H$2:$H$204,1,FALSE)</f>
        <v>Weavers Yard Team_Carmen Wong</v>
      </c>
    </row>
    <row r="208" spans="1:9" hidden="1">
      <c r="A208" t="s">
        <v>7</v>
      </c>
      <c r="B208" t="s">
        <v>574</v>
      </c>
      <c r="C208" t="s">
        <v>575</v>
      </c>
      <c r="D208" t="s">
        <v>10</v>
      </c>
      <c r="E208" t="s">
        <v>576</v>
      </c>
      <c r="F208" t="s">
        <v>12</v>
      </c>
      <c r="G208" t="s">
        <v>570</v>
      </c>
      <c r="H208" t="str">
        <f t="shared" si="3"/>
        <v>Weavers Yard Team_Kimberley Pope</v>
      </c>
      <c r="I208" t="str">
        <f>VLOOKUP(H208,UAT!$H$2:$H$204,1,FALSE)</f>
        <v>Weavers Yard Team_Kimberley Pope</v>
      </c>
    </row>
    <row r="209" spans="1:9" hidden="1">
      <c r="A209" t="s">
        <v>7</v>
      </c>
      <c r="B209" t="s">
        <v>577</v>
      </c>
      <c r="C209" t="s">
        <v>578</v>
      </c>
      <c r="D209" t="s">
        <v>10</v>
      </c>
      <c r="E209" t="s">
        <v>579</v>
      </c>
      <c r="F209" t="s">
        <v>12</v>
      </c>
      <c r="G209" t="s">
        <v>570</v>
      </c>
      <c r="H209" t="str">
        <f t="shared" si="3"/>
        <v>Weavers Yard Team_Kate McKim</v>
      </c>
      <c r="I209" t="str">
        <f>VLOOKUP(H209,UAT!$H$2:$H$204,1,FALSE)</f>
        <v>Weavers Yard Team_Kate McKim</v>
      </c>
    </row>
    <row r="210" spans="1:9" hidden="1">
      <c r="A210" t="s">
        <v>7</v>
      </c>
      <c r="B210" t="s">
        <v>580</v>
      </c>
      <c r="C210" t="s">
        <v>581</v>
      </c>
      <c r="D210" t="s">
        <v>10</v>
      </c>
      <c r="E210" t="s">
        <v>582</v>
      </c>
      <c r="F210" t="s">
        <v>12</v>
      </c>
      <c r="G210" t="s">
        <v>583</v>
      </c>
      <c r="H210" t="str">
        <f t="shared" si="3"/>
        <v>Windlass Apartments Team_Khaled Rahman</v>
      </c>
      <c r="I210" t="str">
        <f>VLOOKUP(H210,UAT!$H$2:$H$204,1,FALSE)</f>
        <v>Windlass Apartments Team_Khaled Rahman</v>
      </c>
    </row>
    <row r="211" spans="1:9" hidden="1">
      <c r="A211" t="s">
        <v>7</v>
      </c>
      <c r="B211" t="s">
        <v>584</v>
      </c>
      <c r="C211" t="s">
        <v>46</v>
      </c>
      <c r="D211" t="s">
        <v>10</v>
      </c>
      <c r="E211" t="s">
        <v>47</v>
      </c>
      <c r="F211" t="s">
        <v>12</v>
      </c>
      <c r="G211" t="s">
        <v>583</v>
      </c>
      <c r="H211" t="str">
        <f t="shared" si="3"/>
        <v>Windlass Apartments Team_Nicole Freeman</v>
      </c>
      <c r="I211" t="str">
        <f>VLOOKUP(H211,UAT!$H$2:$H$204,1,FALSE)</f>
        <v>Windlass Apartments Team_Nicole Freeman</v>
      </c>
    </row>
    <row r="212" spans="1:9" hidden="1">
      <c r="A212" t="s">
        <v>7</v>
      </c>
      <c r="B212" t="s">
        <v>585</v>
      </c>
      <c r="C212" t="s">
        <v>586</v>
      </c>
      <c r="D212" t="s">
        <v>10</v>
      </c>
      <c r="E212" t="s">
        <v>587</v>
      </c>
      <c r="F212" t="s">
        <v>12</v>
      </c>
      <c r="G212" t="s">
        <v>583</v>
      </c>
      <c r="H212" t="str">
        <f t="shared" si="3"/>
        <v>Windlass Apartments Team_Jordan Greaves</v>
      </c>
      <c r="I212" t="str">
        <f>VLOOKUP(H212,UAT!$H$2:$H$204,1,FALSE)</f>
        <v>Windlass Apartments Team_Jordan Greaves</v>
      </c>
    </row>
  </sheetData>
  <autoFilter ref="A1:I212" xr:uid="{2FD5E802-91A6-CC4F-8D4A-22401C21B005}">
    <filterColumn colId="8">
      <filters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3201-7AB9-1B45-A3AD-E9EC1174189A}">
  <sheetPr filterMode="1"/>
  <dimension ref="A1:I204"/>
  <sheetViews>
    <sheetView workbookViewId="0">
      <pane ySplit="1" topLeftCell="A46" activePane="bottomLeft" state="frozen"/>
      <selection pane="bottomLeft" activeCell="G175" sqref="G175:G183"/>
    </sheetView>
  </sheetViews>
  <sheetFormatPr defaultColWidth="11" defaultRowHeight="15.95"/>
  <cols>
    <col min="1" max="1" width="13.875" bestFit="1" customWidth="1"/>
    <col min="2" max="2" width="20.5" bestFit="1" customWidth="1"/>
    <col min="3" max="3" width="20.625" bestFit="1" customWidth="1"/>
    <col min="4" max="4" width="14.5" bestFit="1" customWidth="1"/>
    <col min="5" max="5" width="20.125" bestFit="1" customWidth="1"/>
    <col min="6" max="6" width="8.625" bestFit="1" customWidth="1"/>
    <col min="7" max="7" width="23.125" bestFit="1" customWidth="1"/>
    <col min="8" max="9" width="40.875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idden="1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tr">
        <f>G2&amp;"_"&amp;E2</f>
        <v>Abbeville Apartments_Mohammed Khan</v>
      </c>
      <c r="I2" t="str">
        <f>VLOOKUP(H2,PROD!$H$2:$H$212,1,FALSE)</f>
        <v>Abbeville Apartments_Mohammed Khan</v>
      </c>
    </row>
    <row r="3" spans="1:9" hidden="1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  <c r="H3" t="str">
        <f t="shared" ref="H3:H66" si="0">G3&amp;"_"&amp;E3</f>
        <v>Abbeville Apartments_Jemma Herring</v>
      </c>
      <c r="I3" t="str">
        <f>VLOOKUP(H3,PROD!$H$2:$H$212,1,FALSE)</f>
        <v>Abbeville Apartments_Jemma Herring</v>
      </c>
    </row>
    <row r="4" spans="1:9" hidden="1">
      <c r="A4" t="s">
        <v>7</v>
      </c>
      <c r="B4" t="s">
        <v>17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  <c r="H4" t="str">
        <f t="shared" si="0"/>
        <v>Abbeville Apartments_Fatma Azakli</v>
      </c>
      <c r="I4" t="str">
        <f>VLOOKUP(H4,PROD!$H$2:$H$212,1,FALSE)</f>
        <v>Abbeville Apartments_Fatma Azakli</v>
      </c>
    </row>
    <row r="5" spans="1:9" hidden="1">
      <c r="A5" t="s">
        <v>7</v>
      </c>
      <c r="B5" t="s">
        <v>20</v>
      </c>
      <c r="C5" t="s">
        <v>21</v>
      </c>
      <c r="D5" t="s">
        <v>10</v>
      </c>
      <c r="E5" t="s">
        <v>22</v>
      </c>
      <c r="F5" t="s">
        <v>12</v>
      </c>
      <c r="G5" t="s">
        <v>23</v>
      </c>
      <c r="H5" t="str">
        <f t="shared" si="0"/>
        <v>AM: BTR-London_Harriet Shaw</v>
      </c>
      <c r="I5" t="str">
        <f>VLOOKUP(H5,PROD!$H$2:$H$212,1,FALSE)</f>
        <v>AM: BTR-London_Harriet Shaw</v>
      </c>
    </row>
    <row r="6" spans="1:9" hidden="1">
      <c r="A6" t="s">
        <v>7</v>
      </c>
      <c r="B6" t="s">
        <v>24</v>
      </c>
      <c r="C6" t="s">
        <v>25</v>
      </c>
      <c r="D6" t="s">
        <v>10</v>
      </c>
      <c r="E6" t="s">
        <v>26</v>
      </c>
      <c r="F6" t="s">
        <v>12</v>
      </c>
      <c r="G6" t="s">
        <v>27</v>
      </c>
      <c r="H6" t="str">
        <f t="shared" si="0"/>
        <v>AM: BTR-Regions_Vicki Turnbull</v>
      </c>
      <c r="I6" t="str">
        <f>VLOOKUP(H6,PROD!$H$2:$H$212,1,FALSE)</f>
        <v>AM: BTR-Regions_Vicki Turnbull</v>
      </c>
    </row>
    <row r="7" spans="1:9" hidden="1">
      <c r="A7" t="s">
        <v>7</v>
      </c>
      <c r="B7" t="s">
        <v>28</v>
      </c>
      <c r="C7" t="s">
        <v>29</v>
      </c>
      <c r="D7" t="s">
        <v>10</v>
      </c>
      <c r="E7" t="s">
        <v>30</v>
      </c>
      <c r="F7" t="s">
        <v>12</v>
      </c>
      <c r="G7" t="s">
        <v>31</v>
      </c>
      <c r="H7" t="str">
        <f t="shared" si="0"/>
        <v>AM: New Launches_Sarah Norstrom</v>
      </c>
      <c r="I7" t="str">
        <f>VLOOKUP(H7,PROD!$H$2:$H$212,1,FALSE)</f>
        <v>AM: New Launches_Sarah Norstrom</v>
      </c>
    </row>
    <row r="8" spans="1:9" hidden="1">
      <c r="A8" t="s">
        <v>7</v>
      </c>
      <c r="B8" t="s">
        <v>36</v>
      </c>
      <c r="C8" t="s">
        <v>37</v>
      </c>
      <c r="D8" t="s">
        <v>10</v>
      </c>
      <c r="E8" t="s">
        <v>38</v>
      </c>
      <c r="F8" t="s">
        <v>12</v>
      </c>
      <c r="G8" t="s">
        <v>35</v>
      </c>
      <c r="H8" t="str">
        <f t="shared" si="0"/>
        <v>AM: PRS-London_Alexa Byrne</v>
      </c>
      <c r="I8" t="str">
        <f>VLOOKUP(H8,PROD!$H$2:$H$212,1,FALSE)</f>
        <v>AM: PRS-London_Alexa Byrne</v>
      </c>
    </row>
    <row r="9" spans="1:9" hidden="1">
      <c r="A9" t="s">
        <v>7</v>
      </c>
      <c r="B9" t="s">
        <v>32</v>
      </c>
      <c r="C9" t="s">
        <v>33</v>
      </c>
      <c r="D9" t="s">
        <v>10</v>
      </c>
      <c r="E9" t="s">
        <v>34</v>
      </c>
      <c r="F9" t="s">
        <v>12</v>
      </c>
      <c r="G9" t="s">
        <v>35</v>
      </c>
      <c r="H9" t="str">
        <f t="shared" si="0"/>
        <v>AM: PRS-London_Daisy Stuckey</v>
      </c>
      <c r="I9" t="str">
        <f>VLOOKUP(H9,PROD!$H$2:$H$212,1,FALSE)</f>
        <v>AM: PRS-London_Daisy Stuckey</v>
      </c>
    </row>
    <row r="10" spans="1:9" hidden="1">
      <c r="A10" t="s">
        <v>7</v>
      </c>
      <c r="B10" t="s">
        <v>39</v>
      </c>
      <c r="C10" t="s">
        <v>25</v>
      </c>
      <c r="D10" t="s">
        <v>10</v>
      </c>
      <c r="E10" t="s">
        <v>26</v>
      </c>
      <c r="F10" t="s">
        <v>12</v>
      </c>
      <c r="G10" t="s">
        <v>40</v>
      </c>
      <c r="H10" t="str">
        <f t="shared" si="0"/>
        <v>AM: PRS-Regions_Vicki Turnbull</v>
      </c>
      <c r="I10" t="str">
        <f>VLOOKUP(H10,PROD!$H$2:$H$212,1,FALSE)</f>
        <v>AM: PRS-Regions_Vicki Turnbull</v>
      </c>
    </row>
    <row r="11" spans="1:9" hidden="1">
      <c r="A11" t="s">
        <v>7</v>
      </c>
      <c r="B11" t="s">
        <v>48</v>
      </c>
      <c r="C11" t="s">
        <v>49</v>
      </c>
      <c r="D11" t="s">
        <v>10</v>
      </c>
      <c r="E11" t="s">
        <v>50</v>
      </c>
      <c r="F11" t="s">
        <v>12</v>
      </c>
      <c r="G11" t="s">
        <v>44</v>
      </c>
      <c r="H11" t="str">
        <f t="shared" si="0"/>
        <v>Apex Gardens Team_Tina Bedeau</v>
      </c>
      <c r="I11" t="str">
        <f>VLOOKUP(H11,PROD!$H$2:$H$212,1,FALSE)</f>
        <v>Apex Gardens Team_Tina Bedeau</v>
      </c>
    </row>
    <row r="12" spans="1:9" hidden="1">
      <c r="A12" t="s">
        <v>7</v>
      </c>
      <c r="B12" t="s">
        <v>41</v>
      </c>
      <c r="C12" t="s">
        <v>42</v>
      </c>
      <c r="D12" t="s">
        <v>10</v>
      </c>
      <c r="E12" t="s">
        <v>43</v>
      </c>
      <c r="F12" t="s">
        <v>12</v>
      </c>
      <c r="G12" t="s">
        <v>44</v>
      </c>
      <c r="H12" t="str">
        <f t="shared" si="0"/>
        <v>Apex Gardens Team_Suna Uyar</v>
      </c>
      <c r="I12" t="str">
        <f>VLOOKUP(H12,PROD!$H$2:$H$212,1,FALSE)</f>
        <v>Apex Gardens Team_Suna Uyar</v>
      </c>
    </row>
    <row r="13" spans="1:9" hidden="1">
      <c r="A13" t="s">
        <v>7</v>
      </c>
      <c r="B13" t="s">
        <v>45</v>
      </c>
      <c r="C13" t="s">
        <v>46</v>
      </c>
      <c r="D13" t="s">
        <v>10</v>
      </c>
      <c r="E13" t="s">
        <v>47</v>
      </c>
      <c r="F13" t="s">
        <v>12</v>
      </c>
      <c r="G13" t="s">
        <v>44</v>
      </c>
      <c r="H13" t="str">
        <f t="shared" si="0"/>
        <v>Apex Gardens Team_Nicole Freeman</v>
      </c>
      <c r="I13" t="str">
        <f>VLOOKUP(H13,PROD!$H$2:$H$212,1,FALSE)</f>
        <v>Apex Gardens Team_Nicole Freeman</v>
      </c>
    </row>
    <row r="14" spans="1:9" hidden="1">
      <c r="A14" t="s">
        <v>7</v>
      </c>
      <c r="B14" t="s">
        <v>51</v>
      </c>
      <c r="C14" t="s">
        <v>52</v>
      </c>
      <c r="D14" t="s">
        <v>10</v>
      </c>
      <c r="E14" t="s">
        <v>53</v>
      </c>
      <c r="F14" t="s">
        <v>12</v>
      </c>
      <c r="G14" t="s">
        <v>44</v>
      </c>
      <c r="H14" t="str">
        <f t="shared" si="0"/>
        <v>Apex Gardens Team_Nyijah Bullen</v>
      </c>
      <c r="I14" t="str">
        <f>VLOOKUP(H14,PROD!$H$2:$H$212,1,FALSE)</f>
        <v>Apex Gardens Team_Nyijah Bullen</v>
      </c>
    </row>
    <row r="15" spans="1:9" hidden="1">
      <c r="A15" t="s">
        <v>7</v>
      </c>
      <c r="B15" t="s">
        <v>54</v>
      </c>
      <c r="C15" t="s">
        <v>55</v>
      </c>
      <c r="D15" t="s">
        <v>10</v>
      </c>
      <c r="E15" t="s">
        <v>56</v>
      </c>
      <c r="F15" t="s">
        <v>12</v>
      </c>
      <c r="G15" t="s">
        <v>57</v>
      </c>
      <c r="H15" t="str">
        <f t="shared" si="0"/>
        <v>Argo Apartments Team_Holly Boggis</v>
      </c>
      <c r="I15" t="str">
        <f>VLOOKUP(H15,PROD!$H$2:$H$212,1,FALSE)</f>
        <v>Argo Apartments Team_Holly Boggis</v>
      </c>
    </row>
    <row r="16" spans="1:9" hidden="1">
      <c r="A16" t="s">
        <v>7</v>
      </c>
      <c r="B16" t="s">
        <v>58</v>
      </c>
      <c r="C16" t="s">
        <v>59</v>
      </c>
      <c r="D16" t="s">
        <v>10</v>
      </c>
      <c r="E16" t="s">
        <v>60</v>
      </c>
      <c r="F16" t="s">
        <v>12</v>
      </c>
      <c r="G16" t="s">
        <v>57</v>
      </c>
      <c r="H16" t="str">
        <f t="shared" si="0"/>
        <v>Argo Apartments Team_Shahan Hussain</v>
      </c>
      <c r="I16" t="str">
        <f>VLOOKUP(H16,PROD!$H$2:$H$212,1,FALSE)</f>
        <v>Argo Apartments Team_Shahan Hussain</v>
      </c>
    </row>
    <row r="17" spans="1:9" hidden="1">
      <c r="A17" t="s">
        <v>7</v>
      </c>
      <c r="B17" t="s">
        <v>68</v>
      </c>
      <c r="C17" t="s">
        <v>69</v>
      </c>
      <c r="D17" t="s">
        <v>10</v>
      </c>
      <c r="E17" t="s">
        <v>70</v>
      </c>
      <c r="F17" t="s">
        <v>12</v>
      </c>
      <c r="G17" t="s">
        <v>64</v>
      </c>
      <c r="H17" t="str">
        <f t="shared" si="0"/>
        <v>Brook Place Team_Emma Cramer-Mitchell</v>
      </c>
      <c r="I17" t="str">
        <f>VLOOKUP(H17,PROD!$H$2:$H$212,1,FALSE)</f>
        <v>Brook Place Team_Emma Cramer-Mitchell</v>
      </c>
    </row>
    <row r="18" spans="1:9" hidden="1">
      <c r="A18" t="s">
        <v>7</v>
      </c>
      <c r="B18" t="s">
        <v>61</v>
      </c>
      <c r="C18" t="s">
        <v>62</v>
      </c>
      <c r="D18" t="s">
        <v>10</v>
      </c>
      <c r="E18" t="s">
        <v>63</v>
      </c>
      <c r="F18" t="s">
        <v>12</v>
      </c>
      <c r="G18" t="s">
        <v>64</v>
      </c>
      <c r="H18" t="str">
        <f t="shared" si="0"/>
        <v>Brook Place Team_Harry Furniss</v>
      </c>
      <c r="I18" t="str">
        <f>VLOOKUP(H18,PROD!$H$2:$H$212,1,FALSE)</f>
        <v>Brook Place Team_Harry Furniss</v>
      </c>
    </row>
    <row r="19" spans="1:9" hidden="1">
      <c r="A19" t="s">
        <v>7</v>
      </c>
      <c r="B19" t="s">
        <v>65</v>
      </c>
      <c r="C19" t="s">
        <v>66</v>
      </c>
      <c r="D19" t="s">
        <v>10</v>
      </c>
      <c r="E19" t="s">
        <v>67</v>
      </c>
      <c r="F19" t="s">
        <v>12</v>
      </c>
      <c r="G19" t="s">
        <v>64</v>
      </c>
      <c r="H19" t="str">
        <f t="shared" si="0"/>
        <v>Brook Place Team_Isaac Turner</v>
      </c>
      <c r="I19" t="str">
        <f>VLOOKUP(H19,PROD!$H$2:$H$212,1,FALSE)</f>
        <v>Brook Place Team_Isaac Turner</v>
      </c>
    </row>
    <row r="20" spans="1:9" hidden="1">
      <c r="A20" t="s">
        <v>7</v>
      </c>
      <c r="B20" t="s">
        <v>71</v>
      </c>
      <c r="C20" t="s">
        <v>72</v>
      </c>
      <c r="D20" t="s">
        <v>10</v>
      </c>
      <c r="E20" t="s">
        <v>73</v>
      </c>
      <c r="F20" t="s">
        <v>12</v>
      </c>
      <c r="G20" t="s">
        <v>74</v>
      </c>
      <c r="H20" t="str">
        <f t="shared" si="0"/>
        <v>BTR South Lead Queue_Ezekiel Akinjagunla</v>
      </c>
      <c r="I20" t="str">
        <f>VLOOKUP(H20,PROD!$H$2:$H$212,1,FALSE)</f>
        <v>BTR South Lead Queue_Ezekiel Akinjagunla</v>
      </c>
    </row>
    <row r="21" spans="1:9" hidden="1">
      <c r="A21" t="s">
        <v>7</v>
      </c>
      <c r="B21" t="s">
        <v>78</v>
      </c>
      <c r="C21" t="s">
        <v>79</v>
      </c>
      <c r="D21" t="s">
        <v>10</v>
      </c>
      <c r="E21" t="s">
        <v>80</v>
      </c>
      <c r="F21" t="s">
        <v>12</v>
      </c>
      <c r="G21" t="s">
        <v>74</v>
      </c>
      <c r="H21" t="str">
        <f t="shared" si="0"/>
        <v>BTR South Lead Queue_Rachel Ofili</v>
      </c>
      <c r="I21" t="str">
        <f>VLOOKUP(H21,PROD!$H$2:$H$212,1,FALSE)</f>
        <v>BTR South Lead Queue_Rachel Ofili</v>
      </c>
    </row>
    <row r="22" spans="1:9" hidden="1">
      <c r="A22" t="s">
        <v>7</v>
      </c>
      <c r="B22" t="s">
        <v>75</v>
      </c>
      <c r="C22" t="s">
        <v>76</v>
      </c>
      <c r="D22" t="s">
        <v>10</v>
      </c>
      <c r="E22" t="s">
        <v>77</v>
      </c>
      <c r="F22" t="s">
        <v>12</v>
      </c>
      <c r="G22" t="s">
        <v>74</v>
      </c>
      <c r="H22" t="str">
        <f t="shared" si="0"/>
        <v>BTR South Lead Queue_Arnaldo Bolivar</v>
      </c>
      <c r="I22" t="str">
        <f>VLOOKUP(H22,PROD!$H$2:$H$212,1,FALSE)</f>
        <v>BTR South Lead Queue_Arnaldo Bolivar</v>
      </c>
    </row>
    <row r="23" spans="1:9" hidden="1">
      <c r="A23" t="s">
        <v>7</v>
      </c>
      <c r="B23" t="s">
        <v>81</v>
      </c>
      <c r="C23" t="s">
        <v>82</v>
      </c>
      <c r="D23" t="s">
        <v>10</v>
      </c>
      <c r="E23" t="s">
        <v>83</v>
      </c>
      <c r="F23" t="s">
        <v>12</v>
      </c>
      <c r="G23" t="s">
        <v>74</v>
      </c>
      <c r="H23" t="str">
        <f t="shared" si="0"/>
        <v>BTR South Lead Queue_Geoffrey Eze</v>
      </c>
      <c r="I23" t="str">
        <f>VLOOKUP(H23,PROD!$H$2:$H$212,1,FALSE)</f>
        <v>BTR South Lead Queue_Geoffrey Eze</v>
      </c>
    </row>
    <row r="24" spans="1:9" hidden="1">
      <c r="A24" t="s">
        <v>7</v>
      </c>
      <c r="B24" t="s">
        <v>84</v>
      </c>
      <c r="C24" t="s">
        <v>85</v>
      </c>
      <c r="D24" t="s">
        <v>10</v>
      </c>
      <c r="E24" t="s">
        <v>86</v>
      </c>
      <c r="F24" t="s">
        <v>12</v>
      </c>
      <c r="G24" t="s">
        <v>74</v>
      </c>
      <c r="H24" t="str">
        <f t="shared" si="0"/>
        <v>BTR South Lead Queue_Wesley Greaves</v>
      </c>
      <c r="I24" t="str">
        <f>VLOOKUP(H24,PROD!$H$2:$H$212,1,FALSE)</f>
        <v>BTR South Lead Queue_Wesley Greaves</v>
      </c>
    </row>
    <row r="25" spans="1:9" hidden="1">
      <c r="A25" t="s">
        <v>7</v>
      </c>
      <c r="B25" t="s">
        <v>91</v>
      </c>
      <c r="C25" t="s">
        <v>92</v>
      </c>
      <c r="D25" t="s">
        <v>10</v>
      </c>
      <c r="E25" t="s">
        <v>93</v>
      </c>
      <c r="F25" t="s">
        <v>12</v>
      </c>
      <c r="G25" t="s">
        <v>90</v>
      </c>
      <c r="H25" t="str">
        <f t="shared" si="0"/>
        <v>Clippers Quay Team_Shalma Nibbs</v>
      </c>
      <c r="I25" t="str">
        <f>VLOOKUP(H25,PROD!$H$2:$H$212,1,FALSE)</f>
        <v>Clippers Quay Team_Shalma Nibbs</v>
      </c>
    </row>
    <row r="26" spans="1:9" hidden="1">
      <c r="A26" t="s">
        <v>7</v>
      </c>
      <c r="B26" t="s">
        <v>100</v>
      </c>
      <c r="C26" t="s">
        <v>101</v>
      </c>
      <c r="D26" t="s">
        <v>10</v>
      </c>
      <c r="E26" t="s">
        <v>102</v>
      </c>
      <c r="F26" t="s">
        <v>12</v>
      </c>
      <c r="G26" t="s">
        <v>90</v>
      </c>
      <c r="H26" t="str">
        <f t="shared" si="0"/>
        <v>Clippers Quay Team_Jessica Illingworth</v>
      </c>
      <c r="I26" t="str">
        <f>VLOOKUP(H26,PROD!$H$2:$H$212,1,FALSE)</f>
        <v>Clippers Quay Team_Jessica Illingworth</v>
      </c>
    </row>
    <row r="27" spans="1:9" hidden="1">
      <c r="A27" t="s">
        <v>7</v>
      </c>
      <c r="B27" t="s">
        <v>103</v>
      </c>
      <c r="C27" t="s">
        <v>104</v>
      </c>
      <c r="D27" t="s">
        <v>10</v>
      </c>
      <c r="E27" t="s">
        <v>105</v>
      </c>
      <c r="F27" t="s">
        <v>12</v>
      </c>
      <c r="G27" t="s">
        <v>90</v>
      </c>
      <c r="H27" t="str">
        <f t="shared" si="0"/>
        <v>Clippers Quay Team_Helen Bowers</v>
      </c>
      <c r="I27" t="str">
        <f>VLOOKUP(H27,PROD!$H$2:$H$212,1,FALSE)</f>
        <v>Clippers Quay Team_Helen Bowers</v>
      </c>
    </row>
    <row r="28" spans="1:9" hidden="1">
      <c r="A28" t="s">
        <v>7</v>
      </c>
      <c r="B28" t="s">
        <v>97</v>
      </c>
      <c r="C28" t="s">
        <v>98</v>
      </c>
      <c r="D28" t="s">
        <v>10</v>
      </c>
      <c r="E28" t="s">
        <v>99</v>
      </c>
      <c r="F28" t="s">
        <v>12</v>
      </c>
      <c r="G28" t="s">
        <v>90</v>
      </c>
      <c r="H28" t="str">
        <f t="shared" si="0"/>
        <v>Clippers Quay Team_Shaun Sidibe</v>
      </c>
      <c r="I28" t="str">
        <f>VLOOKUP(H28,PROD!$H$2:$H$212,1,FALSE)</f>
        <v>Clippers Quay Team_Shaun Sidibe</v>
      </c>
    </row>
    <row r="29" spans="1:9" hidden="1">
      <c r="A29" t="s">
        <v>7</v>
      </c>
      <c r="B29" t="s">
        <v>112</v>
      </c>
      <c r="C29" t="s">
        <v>113</v>
      </c>
      <c r="D29" t="s">
        <v>10</v>
      </c>
      <c r="E29" t="s">
        <v>114</v>
      </c>
      <c r="F29" t="s">
        <v>12</v>
      </c>
      <c r="G29" t="s">
        <v>90</v>
      </c>
      <c r="H29" t="str">
        <f t="shared" si="0"/>
        <v>Clippers Quay Team_Haginson Mtuku</v>
      </c>
      <c r="I29" t="str">
        <f>VLOOKUP(H29,PROD!$H$2:$H$212,1,FALSE)</f>
        <v>Clippers Quay Team_Haginson Mtuku</v>
      </c>
    </row>
    <row r="30" spans="1:9" hidden="1">
      <c r="A30" t="s">
        <v>7</v>
      </c>
      <c r="B30" t="s">
        <v>109</v>
      </c>
      <c r="C30" t="s">
        <v>110</v>
      </c>
      <c r="D30" t="s">
        <v>10</v>
      </c>
      <c r="E30" t="s">
        <v>111</v>
      </c>
      <c r="F30" t="s">
        <v>12</v>
      </c>
      <c r="G30" t="s">
        <v>90</v>
      </c>
      <c r="H30" t="str">
        <f t="shared" si="0"/>
        <v>Clippers Quay Team_Chiara Manfron</v>
      </c>
      <c r="I30" t="str">
        <f>VLOOKUP(H30,PROD!$H$2:$H$212,1,FALSE)</f>
        <v>Clippers Quay Team_Chiara Manfron</v>
      </c>
    </row>
    <row r="31" spans="1:9" hidden="1">
      <c r="A31" t="s">
        <v>7</v>
      </c>
      <c r="B31" t="s">
        <v>106</v>
      </c>
      <c r="C31" t="s">
        <v>107</v>
      </c>
      <c r="D31" t="s">
        <v>10</v>
      </c>
      <c r="E31" t="s">
        <v>108</v>
      </c>
      <c r="F31" t="s">
        <v>12</v>
      </c>
      <c r="G31" t="s">
        <v>90</v>
      </c>
      <c r="H31" t="str">
        <f t="shared" si="0"/>
        <v>Clippers Quay Team_Darren Pritchard</v>
      </c>
      <c r="I31" t="str">
        <f>VLOOKUP(H31,PROD!$H$2:$H$212,1,FALSE)</f>
        <v>Clippers Quay Team_Darren Pritchard</v>
      </c>
    </row>
    <row r="32" spans="1:9" hidden="1">
      <c r="A32" t="s">
        <v>7</v>
      </c>
      <c r="B32" t="s">
        <v>115</v>
      </c>
      <c r="C32" t="s">
        <v>116</v>
      </c>
      <c r="D32" t="s">
        <v>10</v>
      </c>
      <c r="E32" t="s">
        <v>117</v>
      </c>
      <c r="F32" t="s">
        <v>12</v>
      </c>
      <c r="G32" t="s">
        <v>90</v>
      </c>
      <c r="H32" t="str">
        <f t="shared" si="0"/>
        <v>Clippers Quay Team_Connor Berry</v>
      </c>
      <c r="I32" t="str">
        <f>VLOOKUP(H32,PROD!$H$2:$H$212,1,FALSE)</f>
        <v>Clippers Quay Team_Connor Berry</v>
      </c>
    </row>
    <row r="33" spans="1:9" hidden="1">
      <c r="A33" t="s">
        <v>7</v>
      </c>
      <c r="B33" t="s">
        <v>94</v>
      </c>
      <c r="C33" t="s">
        <v>95</v>
      </c>
      <c r="D33" t="s">
        <v>10</v>
      </c>
      <c r="E33" t="s">
        <v>96</v>
      </c>
      <c r="F33" t="s">
        <v>12</v>
      </c>
      <c r="G33" t="s">
        <v>90</v>
      </c>
      <c r="H33" t="str">
        <f t="shared" si="0"/>
        <v>Clippers Quay Team_Trudy Yates</v>
      </c>
      <c r="I33" t="str">
        <f>VLOOKUP(H33,PROD!$H$2:$H$212,1,FALSE)</f>
        <v>Clippers Quay Team_Trudy Yates</v>
      </c>
    </row>
    <row r="34" spans="1:9" hidden="1">
      <c r="A34" t="s">
        <v>7</v>
      </c>
      <c r="B34" t="s">
        <v>122</v>
      </c>
      <c r="C34" t="s">
        <v>123</v>
      </c>
      <c r="D34" t="s">
        <v>10</v>
      </c>
      <c r="E34" t="s">
        <v>124</v>
      </c>
      <c r="F34" t="s">
        <v>12</v>
      </c>
      <c r="G34" t="s">
        <v>121</v>
      </c>
      <c r="H34" t="str">
        <f t="shared" si="0"/>
        <v>Copperworks Team_Colette Taylor</v>
      </c>
      <c r="I34" t="str">
        <f>VLOOKUP(H34,PROD!$H$2:$H$212,1,FALSE)</f>
        <v>Copperworks Team_Colette Taylor</v>
      </c>
    </row>
    <row r="35" spans="1:9" hidden="1">
      <c r="A35" t="s">
        <v>7</v>
      </c>
      <c r="B35" t="s">
        <v>128</v>
      </c>
      <c r="C35" t="s">
        <v>129</v>
      </c>
      <c r="D35" t="s">
        <v>10</v>
      </c>
      <c r="E35" t="s">
        <v>130</v>
      </c>
      <c r="F35" t="s">
        <v>12</v>
      </c>
      <c r="G35" t="s">
        <v>121</v>
      </c>
      <c r="H35" t="str">
        <f t="shared" si="0"/>
        <v>Copperworks Team_Karen Meek</v>
      </c>
      <c r="I35" t="str">
        <f>VLOOKUP(H35,PROD!$H$2:$H$212,1,FALSE)</f>
        <v>Copperworks Team_Karen Meek</v>
      </c>
    </row>
    <row r="36" spans="1:9" hidden="1">
      <c r="A36" t="s">
        <v>7</v>
      </c>
      <c r="B36" t="s">
        <v>125</v>
      </c>
      <c r="C36" t="s">
        <v>126</v>
      </c>
      <c r="D36" t="s">
        <v>10</v>
      </c>
      <c r="E36" t="s">
        <v>127</v>
      </c>
      <c r="F36" t="s">
        <v>12</v>
      </c>
      <c r="G36" t="s">
        <v>121</v>
      </c>
      <c r="H36" t="str">
        <f t="shared" si="0"/>
        <v>Copperworks Team_Jasmine Roberts</v>
      </c>
      <c r="I36" t="str">
        <f>VLOOKUP(H36,PROD!$H$2:$H$212,1,FALSE)</f>
        <v>Copperworks Team_Jasmine Roberts</v>
      </c>
    </row>
    <row r="37" spans="1:9" hidden="1">
      <c r="A37" t="s">
        <v>7</v>
      </c>
      <c r="B37" t="s">
        <v>118</v>
      </c>
      <c r="C37" t="s">
        <v>119</v>
      </c>
      <c r="D37" t="s">
        <v>10</v>
      </c>
      <c r="E37" t="s">
        <v>120</v>
      </c>
      <c r="F37" t="s">
        <v>12</v>
      </c>
      <c r="G37" t="s">
        <v>121</v>
      </c>
      <c r="H37" t="str">
        <f t="shared" si="0"/>
        <v>Copperworks Team_Ruben Cancio</v>
      </c>
      <c r="I37" t="str">
        <f>VLOOKUP(H37,PROD!$H$2:$H$212,1,FALSE)</f>
        <v>Copperworks Team_Ruben Cancio</v>
      </c>
    </row>
    <row r="38" spans="1:9" hidden="1">
      <c r="A38" t="s">
        <v>7</v>
      </c>
      <c r="B38" t="s">
        <v>135</v>
      </c>
      <c r="C38" t="s">
        <v>136</v>
      </c>
      <c r="D38" t="s">
        <v>10</v>
      </c>
      <c r="E38" t="s">
        <v>137</v>
      </c>
      <c r="F38" t="s">
        <v>12</v>
      </c>
      <c r="G38" t="s">
        <v>134</v>
      </c>
      <c r="H38" t="str">
        <f t="shared" si="0"/>
        <v>Customer Service Team_Lynn Robson</v>
      </c>
      <c r="I38" t="str">
        <f>VLOOKUP(H38,PROD!$H$2:$H$212,1,FALSE)</f>
        <v>Customer Service Team_Lynn Robson</v>
      </c>
    </row>
    <row r="39" spans="1:9" hidden="1">
      <c r="A39" t="s">
        <v>7</v>
      </c>
      <c r="B39" t="s">
        <v>131</v>
      </c>
      <c r="C39" t="s">
        <v>132</v>
      </c>
      <c r="D39" t="s">
        <v>10</v>
      </c>
      <c r="E39" t="s">
        <v>133</v>
      </c>
      <c r="F39" t="s">
        <v>12</v>
      </c>
      <c r="G39" t="s">
        <v>134</v>
      </c>
      <c r="H39" t="str">
        <f t="shared" si="0"/>
        <v>Customer Service Team_Joanne Wraith</v>
      </c>
      <c r="I39" t="str">
        <f>VLOOKUP(H39,PROD!$H$2:$H$212,1,FALSE)</f>
        <v>Customer Service Team_Joanne Wraith</v>
      </c>
    </row>
    <row r="40" spans="1:9" hidden="1">
      <c r="A40" t="s">
        <v>7</v>
      </c>
      <c r="B40" t="s">
        <v>156</v>
      </c>
      <c r="C40" t="s">
        <v>157</v>
      </c>
      <c r="D40" t="s">
        <v>10</v>
      </c>
      <c r="E40" t="s">
        <v>158</v>
      </c>
      <c r="F40" t="s">
        <v>12</v>
      </c>
      <c r="G40" t="s">
        <v>134</v>
      </c>
      <c r="H40" t="str">
        <f t="shared" si="0"/>
        <v>Customer Service Team_Jacqui Dobson</v>
      </c>
      <c r="I40" t="str">
        <f>VLOOKUP(H40,PROD!$H$2:$H$212,1,FALSE)</f>
        <v>Customer Service Team_Jacqui Dobson</v>
      </c>
    </row>
    <row r="41" spans="1:9" hidden="1">
      <c r="A41" t="s">
        <v>7</v>
      </c>
      <c r="B41" t="s">
        <v>150</v>
      </c>
      <c r="C41" t="s">
        <v>151</v>
      </c>
      <c r="D41" t="s">
        <v>10</v>
      </c>
      <c r="E41" t="s">
        <v>152</v>
      </c>
      <c r="F41" t="s">
        <v>12</v>
      </c>
      <c r="G41" t="s">
        <v>134</v>
      </c>
      <c r="H41" t="str">
        <f t="shared" si="0"/>
        <v>Customer Service Team_Gav Rowley</v>
      </c>
      <c r="I41" t="str">
        <f>VLOOKUP(H41,PROD!$H$2:$H$212,1,FALSE)</f>
        <v>Customer Service Team_Gav Rowley</v>
      </c>
    </row>
    <row r="42" spans="1:9" hidden="1">
      <c r="A42" t="s">
        <v>7</v>
      </c>
      <c r="B42" t="s">
        <v>147</v>
      </c>
      <c r="C42" t="s">
        <v>148</v>
      </c>
      <c r="D42" t="s">
        <v>10</v>
      </c>
      <c r="E42" t="s">
        <v>149</v>
      </c>
      <c r="F42" t="s">
        <v>12</v>
      </c>
      <c r="G42" t="s">
        <v>134</v>
      </c>
      <c r="H42" t="str">
        <f t="shared" si="0"/>
        <v>Customer Service Team_Bradley Brown</v>
      </c>
      <c r="I42" t="str">
        <f>VLOOKUP(H42,PROD!$H$2:$H$212,1,FALSE)</f>
        <v>Customer Service Team_Bradley Brown</v>
      </c>
    </row>
    <row r="43" spans="1:9" hidden="1">
      <c r="A43" t="s">
        <v>7</v>
      </c>
      <c r="B43" t="s">
        <v>141</v>
      </c>
      <c r="C43" t="s">
        <v>142</v>
      </c>
      <c r="D43" t="s">
        <v>10</v>
      </c>
      <c r="E43" t="s">
        <v>143</v>
      </c>
      <c r="F43" t="s">
        <v>12</v>
      </c>
      <c r="G43" t="s">
        <v>134</v>
      </c>
      <c r="H43" t="str">
        <f t="shared" si="0"/>
        <v>Customer Service Team_Conor Howlin</v>
      </c>
      <c r="I43" t="str">
        <f>VLOOKUP(H43,PROD!$H$2:$H$212,1,FALSE)</f>
        <v>Customer Service Team_Conor Howlin</v>
      </c>
    </row>
    <row r="44" spans="1:9" hidden="1">
      <c r="A44" t="s">
        <v>7</v>
      </c>
      <c r="B44" t="s">
        <v>138</v>
      </c>
      <c r="C44" t="s">
        <v>139</v>
      </c>
      <c r="D44" t="s">
        <v>10</v>
      </c>
      <c r="E44" t="s">
        <v>140</v>
      </c>
      <c r="F44" t="s">
        <v>12</v>
      </c>
      <c r="G44" t="s">
        <v>134</v>
      </c>
      <c r="H44" t="str">
        <f t="shared" si="0"/>
        <v>Customer Service Team_Hugh Peel</v>
      </c>
      <c r="I44" t="str">
        <f>VLOOKUP(H44,PROD!$H$2:$H$212,1,FALSE)</f>
        <v>Customer Service Team_Hugh Peel</v>
      </c>
    </row>
    <row r="45" spans="1:9" hidden="1">
      <c r="A45" t="s">
        <v>7</v>
      </c>
      <c r="B45" t="s">
        <v>144</v>
      </c>
      <c r="C45" t="s">
        <v>145</v>
      </c>
      <c r="D45" t="s">
        <v>10</v>
      </c>
      <c r="E45" t="s">
        <v>146</v>
      </c>
      <c r="F45" t="s">
        <v>12</v>
      </c>
      <c r="G45" t="s">
        <v>134</v>
      </c>
      <c r="H45" t="str">
        <f t="shared" si="0"/>
        <v>Customer Service Team_Matthew Grayton</v>
      </c>
      <c r="I45" t="str">
        <f>VLOOKUP(H45,PROD!$H$2:$H$212,1,FALSE)</f>
        <v>Customer Service Team_Matthew Grayton</v>
      </c>
    </row>
    <row r="46" spans="1:9">
      <c r="A46" t="s">
        <v>7</v>
      </c>
      <c r="B46" t="s">
        <v>588</v>
      </c>
      <c r="C46" t="s">
        <v>589</v>
      </c>
      <c r="D46" t="s">
        <v>10</v>
      </c>
      <c r="E46" t="s">
        <v>590</v>
      </c>
      <c r="F46" t="s">
        <v>12</v>
      </c>
      <c r="G46" t="s">
        <v>134</v>
      </c>
      <c r="H46" t="str">
        <f t="shared" si="0"/>
        <v>Customer Service Team_Olivia Ribeiro</v>
      </c>
      <c r="I46" t="e">
        <f>VLOOKUP(H46,PROD!$H$2:$H$212,1,FALSE)</f>
        <v>#N/A</v>
      </c>
    </row>
    <row r="47" spans="1:9" hidden="1">
      <c r="A47" t="s">
        <v>7</v>
      </c>
      <c r="B47" t="s">
        <v>153</v>
      </c>
      <c r="C47" t="s">
        <v>154</v>
      </c>
      <c r="D47" t="s">
        <v>10</v>
      </c>
      <c r="E47" t="s">
        <v>155</v>
      </c>
      <c r="F47" t="s">
        <v>12</v>
      </c>
      <c r="G47" t="s">
        <v>134</v>
      </c>
      <c r="H47" t="str">
        <f t="shared" si="0"/>
        <v>Customer Service Team_Tayla Bonwick</v>
      </c>
      <c r="I47" t="str">
        <f>VLOOKUP(H47,PROD!$H$2:$H$212,1,FALSE)</f>
        <v>Customer Service Team_Tayla Bonwick</v>
      </c>
    </row>
    <row r="48" spans="1:9" hidden="1">
      <c r="A48" t="s">
        <v>7</v>
      </c>
      <c r="B48" t="s">
        <v>178</v>
      </c>
      <c r="C48" t="s">
        <v>179</v>
      </c>
      <c r="D48" t="s">
        <v>10</v>
      </c>
      <c r="E48" t="s">
        <v>180</v>
      </c>
      <c r="F48" t="s">
        <v>12</v>
      </c>
      <c r="G48" t="s">
        <v>162</v>
      </c>
      <c r="H48" t="str">
        <f t="shared" si="0"/>
        <v>Enigma Square Team_Grace Fiske</v>
      </c>
      <c r="I48" t="str">
        <f>VLOOKUP(H48,PROD!$H$2:$H$212,1,FALSE)</f>
        <v>Enigma Square Team_Grace Fiske</v>
      </c>
    </row>
    <row r="49" spans="1:9" hidden="1">
      <c r="A49" t="s">
        <v>7</v>
      </c>
      <c r="B49" t="s">
        <v>181</v>
      </c>
      <c r="C49" t="s">
        <v>182</v>
      </c>
      <c r="D49" t="s">
        <v>10</v>
      </c>
      <c r="E49" t="s">
        <v>183</v>
      </c>
      <c r="F49" t="s">
        <v>12</v>
      </c>
      <c r="G49" t="s">
        <v>162</v>
      </c>
      <c r="H49" t="str">
        <f t="shared" si="0"/>
        <v>Enigma Square Team_Sharon Goyder-Smith</v>
      </c>
      <c r="I49" t="str">
        <f>VLOOKUP(H49,PROD!$H$2:$H$212,1,FALSE)</f>
        <v>Enigma Square Team_Sharon Goyder-Smith</v>
      </c>
    </row>
    <row r="50" spans="1:9" hidden="1">
      <c r="A50" t="s">
        <v>7</v>
      </c>
      <c r="B50" t="s">
        <v>159</v>
      </c>
      <c r="C50" t="s">
        <v>160</v>
      </c>
      <c r="D50" t="s">
        <v>10</v>
      </c>
      <c r="E50" t="s">
        <v>161</v>
      </c>
      <c r="F50" t="s">
        <v>12</v>
      </c>
      <c r="G50" t="s">
        <v>162</v>
      </c>
      <c r="H50" t="str">
        <f t="shared" si="0"/>
        <v>Enigma Square Team_Tina Viragh</v>
      </c>
      <c r="I50" t="str">
        <f>VLOOKUP(H50,PROD!$H$2:$H$212,1,FALSE)</f>
        <v>Enigma Square Team_Tina Viragh</v>
      </c>
    </row>
    <row r="51" spans="1:9" hidden="1">
      <c r="A51" t="s">
        <v>7</v>
      </c>
      <c r="B51" t="s">
        <v>163</v>
      </c>
      <c r="C51" t="s">
        <v>164</v>
      </c>
      <c r="D51" t="s">
        <v>10</v>
      </c>
      <c r="E51" t="s">
        <v>165</v>
      </c>
      <c r="F51" t="s">
        <v>12</v>
      </c>
      <c r="G51" t="s">
        <v>162</v>
      </c>
      <c r="H51" t="str">
        <f t="shared" si="0"/>
        <v>Enigma Square Team_Danielle Stewart</v>
      </c>
      <c r="I51" t="str">
        <f>VLOOKUP(H51,PROD!$H$2:$H$212,1,FALSE)</f>
        <v>Enigma Square Team_Danielle Stewart</v>
      </c>
    </row>
    <row r="52" spans="1:9" hidden="1">
      <c r="A52" t="s">
        <v>7</v>
      </c>
      <c r="B52" t="s">
        <v>166</v>
      </c>
      <c r="C52" t="s">
        <v>167</v>
      </c>
      <c r="D52" t="s">
        <v>10</v>
      </c>
      <c r="E52" t="s">
        <v>168</v>
      </c>
      <c r="F52" t="s">
        <v>12</v>
      </c>
      <c r="G52" t="s">
        <v>162</v>
      </c>
      <c r="H52" t="str">
        <f t="shared" si="0"/>
        <v>Enigma Square Team_Barbara Kaszuba</v>
      </c>
      <c r="I52" t="str">
        <f>VLOOKUP(H52,PROD!$H$2:$H$212,1,FALSE)</f>
        <v>Enigma Square Team_Barbara Kaszuba</v>
      </c>
    </row>
    <row r="53" spans="1:9" hidden="1">
      <c r="A53" t="s">
        <v>7</v>
      </c>
      <c r="B53" t="s">
        <v>169</v>
      </c>
      <c r="C53" t="s">
        <v>170</v>
      </c>
      <c r="D53" t="s">
        <v>10</v>
      </c>
      <c r="E53" t="s">
        <v>171</v>
      </c>
      <c r="F53" t="s">
        <v>12</v>
      </c>
      <c r="G53" t="s">
        <v>162</v>
      </c>
      <c r="H53" t="str">
        <f t="shared" si="0"/>
        <v>Enigma Square Team_Josh Niles</v>
      </c>
      <c r="I53" t="str">
        <f>VLOOKUP(H53,PROD!$H$2:$H$212,1,FALSE)</f>
        <v>Enigma Square Team_Josh Niles</v>
      </c>
    </row>
    <row r="54" spans="1:9" hidden="1">
      <c r="A54" t="s">
        <v>7</v>
      </c>
      <c r="B54" t="s">
        <v>172</v>
      </c>
      <c r="C54" t="s">
        <v>173</v>
      </c>
      <c r="D54" t="s">
        <v>10</v>
      </c>
      <c r="E54" t="s">
        <v>174</v>
      </c>
      <c r="F54" t="s">
        <v>12</v>
      </c>
      <c r="G54" t="s">
        <v>162</v>
      </c>
      <c r="H54" t="str">
        <f t="shared" si="0"/>
        <v>Enigma Square Team_Michelle Rafferty</v>
      </c>
      <c r="I54" t="str">
        <f>VLOOKUP(H54,PROD!$H$2:$H$212,1,FALSE)</f>
        <v>Enigma Square Team_Michelle Rafferty</v>
      </c>
    </row>
    <row r="55" spans="1:9" hidden="1">
      <c r="A55" t="s">
        <v>7</v>
      </c>
      <c r="B55" t="s">
        <v>210</v>
      </c>
      <c r="C55" t="s">
        <v>211</v>
      </c>
      <c r="D55" t="s">
        <v>10</v>
      </c>
      <c r="E55" t="s">
        <v>212</v>
      </c>
      <c r="F55" t="s">
        <v>12</v>
      </c>
      <c r="G55" t="s">
        <v>194</v>
      </c>
      <c r="H55" t="str">
        <f t="shared" si="0"/>
        <v>Finance Team_Melanie Cain</v>
      </c>
      <c r="I55" t="str">
        <f>VLOOKUP(H55,PROD!$H$2:$H$212,1,FALSE)</f>
        <v>Finance Team_Melanie Cain</v>
      </c>
    </row>
    <row r="56" spans="1:9" hidden="1">
      <c r="A56" t="s">
        <v>7</v>
      </c>
      <c r="B56" t="s">
        <v>204</v>
      </c>
      <c r="C56" t="s">
        <v>205</v>
      </c>
      <c r="D56" t="s">
        <v>10</v>
      </c>
      <c r="E56" t="s">
        <v>206</v>
      </c>
      <c r="F56" t="s">
        <v>12</v>
      </c>
      <c r="G56" t="s">
        <v>194</v>
      </c>
      <c r="H56" t="str">
        <f t="shared" si="0"/>
        <v>Finance Team_Melanie Haughey</v>
      </c>
      <c r="I56" t="str">
        <f>VLOOKUP(H56,PROD!$H$2:$H$212,1,FALSE)</f>
        <v>Finance Team_Melanie Haughey</v>
      </c>
    </row>
    <row r="57" spans="1:9" hidden="1">
      <c r="A57" t="s">
        <v>7</v>
      </c>
      <c r="B57" t="s">
        <v>201</v>
      </c>
      <c r="C57" t="s">
        <v>202</v>
      </c>
      <c r="D57" t="s">
        <v>10</v>
      </c>
      <c r="E57" t="s">
        <v>203</v>
      </c>
      <c r="F57" t="s">
        <v>12</v>
      </c>
      <c r="G57" t="s">
        <v>194</v>
      </c>
      <c r="H57" t="str">
        <f t="shared" si="0"/>
        <v>Finance Team_Anne Stephenson</v>
      </c>
      <c r="I57" t="str">
        <f>VLOOKUP(H57,PROD!$H$2:$H$212,1,FALSE)</f>
        <v>Finance Team_Anne Stephenson</v>
      </c>
    </row>
    <row r="58" spans="1:9" hidden="1">
      <c r="A58" t="s">
        <v>7</v>
      </c>
      <c r="B58" t="s">
        <v>198</v>
      </c>
      <c r="C58" t="s">
        <v>199</v>
      </c>
      <c r="D58" t="s">
        <v>10</v>
      </c>
      <c r="E58" t="s">
        <v>200</v>
      </c>
      <c r="F58" t="s">
        <v>12</v>
      </c>
      <c r="G58" t="s">
        <v>194</v>
      </c>
      <c r="H58" t="str">
        <f t="shared" si="0"/>
        <v>Finance Team_Alison Adamson</v>
      </c>
      <c r="I58" t="str">
        <f>VLOOKUP(H58,PROD!$H$2:$H$212,1,FALSE)</f>
        <v>Finance Team_Alison Adamson</v>
      </c>
    </row>
    <row r="59" spans="1:9" hidden="1">
      <c r="A59" t="s">
        <v>7</v>
      </c>
      <c r="B59" t="s">
        <v>222</v>
      </c>
      <c r="C59" t="s">
        <v>223</v>
      </c>
      <c r="D59" t="s">
        <v>10</v>
      </c>
      <c r="E59" t="s">
        <v>224</v>
      </c>
      <c r="F59" t="s">
        <v>12</v>
      </c>
      <c r="G59" t="s">
        <v>194</v>
      </c>
      <c r="H59" t="str">
        <f t="shared" si="0"/>
        <v>Finance Team_Lesley Richardson</v>
      </c>
      <c r="I59" t="str">
        <f>VLOOKUP(H59,PROD!$H$2:$H$212,1,FALSE)</f>
        <v>Finance Team_Lesley Richardson</v>
      </c>
    </row>
    <row r="60" spans="1:9" hidden="1">
      <c r="A60" t="s">
        <v>7</v>
      </c>
      <c r="B60" t="s">
        <v>219</v>
      </c>
      <c r="C60" t="s">
        <v>220</v>
      </c>
      <c r="D60" t="s">
        <v>10</v>
      </c>
      <c r="E60" t="s">
        <v>221</v>
      </c>
      <c r="F60" t="s">
        <v>12</v>
      </c>
      <c r="G60" t="s">
        <v>194</v>
      </c>
      <c r="H60" t="str">
        <f t="shared" si="0"/>
        <v>Finance Team_Hazel Armstrong</v>
      </c>
      <c r="I60" t="str">
        <f>VLOOKUP(H60,PROD!$H$2:$H$212,1,FALSE)</f>
        <v>Finance Team_Hazel Armstrong</v>
      </c>
    </row>
    <row r="61" spans="1:9" hidden="1">
      <c r="A61" t="s">
        <v>7</v>
      </c>
      <c r="B61" t="s">
        <v>216</v>
      </c>
      <c r="C61" t="s">
        <v>217</v>
      </c>
      <c r="D61" t="s">
        <v>10</v>
      </c>
      <c r="E61" t="s">
        <v>218</v>
      </c>
      <c r="F61" t="s">
        <v>12</v>
      </c>
      <c r="G61" t="s">
        <v>194</v>
      </c>
      <c r="H61" t="str">
        <f t="shared" si="0"/>
        <v>Finance Team_Helen Bell</v>
      </c>
      <c r="I61" t="str">
        <f>VLOOKUP(H61,PROD!$H$2:$H$212,1,FALSE)</f>
        <v>Finance Team_Helen Bell</v>
      </c>
    </row>
    <row r="62" spans="1:9" hidden="1">
      <c r="A62" t="s">
        <v>7</v>
      </c>
      <c r="B62" t="s">
        <v>213</v>
      </c>
      <c r="C62" t="s">
        <v>214</v>
      </c>
      <c r="D62" t="s">
        <v>10</v>
      </c>
      <c r="E62" t="s">
        <v>215</v>
      </c>
      <c r="F62" t="s">
        <v>12</v>
      </c>
      <c r="G62" t="s">
        <v>194</v>
      </c>
      <c r="H62" t="str">
        <f t="shared" si="0"/>
        <v>Finance Team_Kirsty Marrin</v>
      </c>
      <c r="I62" t="str">
        <f>VLOOKUP(H62,PROD!$H$2:$H$212,1,FALSE)</f>
        <v>Finance Team_Kirsty Marrin</v>
      </c>
    </row>
    <row r="63" spans="1:9" hidden="1">
      <c r="A63" t="s">
        <v>7</v>
      </c>
      <c r="B63" t="s">
        <v>207</v>
      </c>
      <c r="C63" t="s">
        <v>208</v>
      </c>
      <c r="D63" t="s">
        <v>10</v>
      </c>
      <c r="E63" t="s">
        <v>209</v>
      </c>
      <c r="F63" t="s">
        <v>12</v>
      </c>
      <c r="G63" t="s">
        <v>194</v>
      </c>
      <c r="H63" t="str">
        <f t="shared" si="0"/>
        <v>Finance Team_Grace Thompson</v>
      </c>
      <c r="I63" t="str">
        <f>VLOOKUP(H63,PROD!$H$2:$H$212,1,FALSE)</f>
        <v>Finance Team_Grace Thompson</v>
      </c>
    </row>
    <row r="64" spans="1:9" hidden="1">
      <c r="A64" t="s">
        <v>7</v>
      </c>
      <c r="B64" t="s">
        <v>191</v>
      </c>
      <c r="C64" t="s">
        <v>192</v>
      </c>
      <c r="D64" t="s">
        <v>10</v>
      </c>
      <c r="E64" t="s">
        <v>193</v>
      </c>
      <c r="F64" t="s">
        <v>12</v>
      </c>
      <c r="G64" t="s">
        <v>194</v>
      </c>
      <c r="H64" t="str">
        <f t="shared" si="0"/>
        <v>Finance Team_Scott Cooley</v>
      </c>
      <c r="I64" t="str">
        <f>VLOOKUP(H64,PROD!$H$2:$H$212,1,FALSE)</f>
        <v>Finance Team_Scott Cooley</v>
      </c>
    </row>
    <row r="65" spans="1:9" hidden="1">
      <c r="A65" t="s">
        <v>7</v>
      </c>
      <c r="B65" t="s">
        <v>195</v>
      </c>
      <c r="C65" t="s">
        <v>196</v>
      </c>
      <c r="D65" t="s">
        <v>10</v>
      </c>
      <c r="E65" t="s">
        <v>197</v>
      </c>
      <c r="F65" t="s">
        <v>12</v>
      </c>
      <c r="G65" t="s">
        <v>194</v>
      </c>
      <c r="H65" t="str">
        <f t="shared" si="0"/>
        <v>Finance Team_Margaret Alston</v>
      </c>
      <c r="I65" t="str">
        <f>VLOOKUP(H65,PROD!$H$2:$H$212,1,FALSE)</f>
        <v>Finance Team_Margaret Alston</v>
      </c>
    </row>
    <row r="66" spans="1:9" hidden="1">
      <c r="A66" t="s">
        <v>7</v>
      </c>
      <c r="B66" t="s">
        <v>225</v>
      </c>
      <c r="C66" t="s">
        <v>226</v>
      </c>
      <c r="D66" t="s">
        <v>10</v>
      </c>
      <c r="E66" t="s">
        <v>227</v>
      </c>
      <c r="F66" t="s">
        <v>12</v>
      </c>
      <c r="G66" t="s">
        <v>228</v>
      </c>
      <c r="H66" t="str">
        <f t="shared" si="0"/>
        <v>Gatehouse Team_Alice Shaw</v>
      </c>
      <c r="I66" t="str">
        <f>VLOOKUP(H66,PROD!$H$2:$H$212,1,FALSE)</f>
        <v>Gatehouse Team_Alice Shaw</v>
      </c>
    </row>
    <row r="67" spans="1:9" hidden="1">
      <c r="A67" t="s">
        <v>7</v>
      </c>
      <c r="B67" t="s">
        <v>236</v>
      </c>
      <c r="C67" t="s">
        <v>237</v>
      </c>
      <c r="D67" t="s">
        <v>10</v>
      </c>
      <c r="E67" t="s">
        <v>238</v>
      </c>
      <c r="F67" t="s">
        <v>12</v>
      </c>
      <c r="G67" t="s">
        <v>228</v>
      </c>
      <c r="H67" t="str">
        <f t="shared" ref="H67:H130" si="1">G67&amp;"_"&amp;E67</f>
        <v>Gatehouse Team_Hayley Fry</v>
      </c>
      <c r="I67" t="str">
        <f>VLOOKUP(H67,PROD!$H$2:$H$212,1,FALSE)</f>
        <v>Gatehouse Team_Hayley Fry</v>
      </c>
    </row>
    <row r="68" spans="1:9" hidden="1">
      <c r="A68" t="s">
        <v>7</v>
      </c>
      <c r="B68" t="s">
        <v>233</v>
      </c>
      <c r="C68" t="s">
        <v>234</v>
      </c>
      <c r="D68" t="s">
        <v>10</v>
      </c>
      <c r="E68" t="s">
        <v>235</v>
      </c>
      <c r="F68" t="s">
        <v>12</v>
      </c>
      <c r="G68" t="s">
        <v>228</v>
      </c>
      <c r="H68" t="str">
        <f t="shared" si="1"/>
        <v>Gatehouse Team_Treasa Larke</v>
      </c>
      <c r="I68" t="str">
        <f>VLOOKUP(H68,PROD!$H$2:$H$212,1,FALSE)</f>
        <v>Gatehouse Team_Treasa Larke</v>
      </c>
    </row>
    <row r="69" spans="1:9" hidden="1">
      <c r="A69" t="s">
        <v>7</v>
      </c>
      <c r="B69" t="s">
        <v>230</v>
      </c>
      <c r="C69" t="s">
        <v>231</v>
      </c>
      <c r="D69" t="s">
        <v>10</v>
      </c>
      <c r="E69" t="s">
        <v>232</v>
      </c>
      <c r="F69" t="s">
        <v>12</v>
      </c>
      <c r="G69" t="s">
        <v>228</v>
      </c>
      <c r="H69" t="str">
        <f t="shared" si="1"/>
        <v>Gatehouse Team_Rimvydas Tumas</v>
      </c>
      <c r="I69" t="str">
        <f>VLOOKUP(H69,PROD!$H$2:$H$212,1,FALSE)</f>
        <v>Gatehouse Team_Rimvydas Tumas</v>
      </c>
    </row>
    <row r="70" spans="1:9" hidden="1">
      <c r="A70" t="s">
        <v>7</v>
      </c>
      <c r="B70" t="s">
        <v>229</v>
      </c>
      <c r="C70" t="s">
        <v>196</v>
      </c>
      <c r="D70" t="s">
        <v>10</v>
      </c>
      <c r="E70" t="s">
        <v>197</v>
      </c>
      <c r="F70" t="s">
        <v>12</v>
      </c>
      <c r="G70" t="s">
        <v>228</v>
      </c>
      <c r="H70" t="str">
        <f t="shared" si="1"/>
        <v>Gatehouse Team_Margaret Alston</v>
      </c>
      <c r="I70" t="str">
        <f>VLOOKUP(H70,PROD!$H$2:$H$212,1,FALSE)</f>
        <v>Gatehouse Team_Margaret Alston</v>
      </c>
    </row>
    <row r="71" spans="1:9" hidden="1">
      <c r="A71" t="s">
        <v>7</v>
      </c>
      <c r="B71" t="s">
        <v>246</v>
      </c>
      <c r="C71" t="s">
        <v>247</v>
      </c>
      <c r="D71" t="s">
        <v>10</v>
      </c>
      <c r="E71" t="s">
        <v>248</v>
      </c>
      <c r="F71" t="s">
        <v>12</v>
      </c>
      <c r="G71" t="s">
        <v>242</v>
      </c>
      <c r="H71" t="str">
        <f t="shared" si="1"/>
        <v>Gilders Yard Team_Gurinder Punia</v>
      </c>
      <c r="I71" t="str">
        <f>VLOOKUP(H71,PROD!$H$2:$H$212,1,FALSE)</f>
        <v>Gilders Yard Team_Gurinder Punia</v>
      </c>
    </row>
    <row r="72" spans="1:9" hidden="1">
      <c r="A72" t="s">
        <v>7</v>
      </c>
      <c r="B72" t="s">
        <v>239</v>
      </c>
      <c r="C72" t="s">
        <v>240</v>
      </c>
      <c r="D72" t="s">
        <v>10</v>
      </c>
      <c r="E72" t="s">
        <v>241</v>
      </c>
      <c r="F72" t="s">
        <v>12</v>
      </c>
      <c r="G72" t="s">
        <v>242</v>
      </c>
      <c r="H72" t="str">
        <f t="shared" si="1"/>
        <v>Gilders Yard Team_Zara Gulistan</v>
      </c>
      <c r="I72" t="str">
        <f>VLOOKUP(H72,PROD!$H$2:$H$212,1,FALSE)</f>
        <v>Gilders Yard Team_Zara Gulistan</v>
      </c>
    </row>
    <row r="73" spans="1:9" hidden="1">
      <c r="A73" t="s">
        <v>7</v>
      </c>
      <c r="B73" t="s">
        <v>249</v>
      </c>
      <c r="C73" t="s">
        <v>250</v>
      </c>
      <c r="D73" t="s">
        <v>10</v>
      </c>
      <c r="E73" t="s">
        <v>251</v>
      </c>
      <c r="F73" t="s">
        <v>12</v>
      </c>
      <c r="G73" t="s">
        <v>242</v>
      </c>
      <c r="H73" t="str">
        <f t="shared" si="1"/>
        <v>Gilders Yard Team_Sonia Duffus</v>
      </c>
      <c r="I73" t="str">
        <f>VLOOKUP(H73,PROD!$H$2:$H$212,1,FALSE)</f>
        <v>Gilders Yard Team_Sonia Duffus</v>
      </c>
    </row>
    <row r="74" spans="1:9" hidden="1">
      <c r="A74" t="s">
        <v>7</v>
      </c>
      <c r="B74" t="s">
        <v>243</v>
      </c>
      <c r="C74" t="s">
        <v>244</v>
      </c>
      <c r="D74" t="s">
        <v>10</v>
      </c>
      <c r="E74" t="s">
        <v>245</v>
      </c>
      <c r="F74" t="s">
        <v>12</v>
      </c>
      <c r="G74" t="s">
        <v>242</v>
      </c>
      <c r="H74" t="str">
        <f t="shared" si="1"/>
        <v>Gilders Yard Team_James Bell</v>
      </c>
      <c r="I74" t="str">
        <f>VLOOKUP(H74,PROD!$H$2:$H$212,1,FALSE)</f>
        <v>Gilders Yard Team_James Bell</v>
      </c>
    </row>
    <row r="75" spans="1:9" hidden="1">
      <c r="A75" t="s">
        <v>7</v>
      </c>
      <c r="B75" t="s">
        <v>258</v>
      </c>
      <c r="C75" t="s">
        <v>259</v>
      </c>
      <c r="D75" t="s">
        <v>10</v>
      </c>
      <c r="E75" t="s">
        <v>260</v>
      </c>
      <c r="F75" t="s">
        <v>12</v>
      </c>
      <c r="G75" t="s">
        <v>261</v>
      </c>
      <c r="H75" t="str">
        <f t="shared" si="1"/>
        <v>Hawkins &amp; George Team_Owen Reed</v>
      </c>
      <c r="I75" t="str">
        <f>VLOOKUP(H75,PROD!$H$2:$H$212,1,FALSE)</f>
        <v>Hawkins &amp; George Team_Owen Reed</v>
      </c>
    </row>
    <row r="76" spans="1:9" hidden="1">
      <c r="A76" t="s">
        <v>7</v>
      </c>
      <c r="B76" t="s">
        <v>274</v>
      </c>
      <c r="C76" t="s">
        <v>275</v>
      </c>
      <c r="D76" t="s">
        <v>10</v>
      </c>
      <c r="E76" t="s">
        <v>276</v>
      </c>
      <c r="F76" t="s">
        <v>12</v>
      </c>
      <c r="G76" t="s">
        <v>261</v>
      </c>
      <c r="H76" t="str">
        <f t="shared" si="1"/>
        <v>Hawkins &amp; George Team_Henry Kaputa</v>
      </c>
      <c r="I76" t="str">
        <f>VLOOKUP(H76,PROD!$H$2:$H$212,1,FALSE)</f>
        <v>Hawkins &amp; George Team_Henry Kaputa</v>
      </c>
    </row>
    <row r="77" spans="1:9">
      <c r="A77" t="s">
        <v>7</v>
      </c>
      <c r="B77" t="s">
        <v>591</v>
      </c>
      <c r="C77" t="s">
        <v>123</v>
      </c>
      <c r="D77" t="s">
        <v>10</v>
      </c>
      <c r="E77" t="s">
        <v>124</v>
      </c>
      <c r="F77" t="s">
        <v>12</v>
      </c>
      <c r="G77" t="s">
        <v>261</v>
      </c>
      <c r="H77" t="str">
        <f t="shared" si="1"/>
        <v>Hawkins &amp; George Team_Colette Taylor</v>
      </c>
      <c r="I77" t="e">
        <f>VLOOKUP(H77,PROD!$H$2:$H$212,1,FALSE)</f>
        <v>#N/A</v>
      </c>
    </row>
    <row r="78" spans="1:9" hidden="1">
      <c r="A78" t="s">
        <v>7</v>
      </c>
      <c r="B78" t="s">
        <v>277</v>
      </c>
      <c r="C78" t="s">
        <v>278</v>
      </c>
      <c r="D78" t="s">
        <v>10</v>
      </c>
      <c r="E78" t="s">
        <v>279</v>
      </c>
      <c r="F78" t="s">
        <v>12</v>
      </c>
      <c r="G78" t="s">
        <v>261</v>
      </c>
      <c r="H78" t="str">
        <f t="shared" si="1"/>
        <v>Hawkins &amp; George Team_Olivia Baker</v>
      </c>
      <c r="I78" t="str">
        <f>VLOOKUP(H78,PROD!$H$2:$H$212,1,FALSE)</f>
        <v>Hawkins &amp; George Team_Olivia Baker</v>
      </c>
    </row>
    <row r="79" spans="1:9" hidden="1">
      <c r="A79" t="s">
        <v>7</v>
      </c>
      <c r="B79" t="s">
        <v>271</v>
      </c>
      <c r="C79" t="s">
        <v>272</v>
      </c>
      <c r="D79" t="s">
        <v>10</v>
      </c>
      <c r="E79" t="s">
        <v>273</v>
      </c>
      <c r="F79" t="s">
        <v>12</v>
      </c>
      <c r="G79" t="s">
        <v>261</v>
      </c>
      <c r="H79" t="str">
        <f t="shared" si="1"/>
        <v>Hawkins &amp; George Team_Alexandra Claridge</v>
      </c>
      <c r="I79" t="str">
        <f>VLOOKUP(H79,PROD!$H$2:$H$212,1,FALSE)</f>
        <v>Hawkins &amp; George Team_Alexandra Claridge</v>
      </c>
    </row>
    <row r="80" spans="1:9" hidden="1">
      <c r="A80" t="s">
        <v>7</v>
      </c>
      <c r="B80" t="s">
        <v>265</v>
      </c>
      <c r="C80" t="s">
        <v>266</v>
      </c>
      <c r="D80" t="s">
        <v>10</v>
      </c>
      <c r="E80" t="s">
        <v>267</v>
      </c>
      <c r="F80" t="s">
        <v>12</v>
      </c>
      <c r="G80" t="s">
        <v>261</v>
      </c>
      <c r="H80" t="str">
        <f t="shared" si="1"/>
        <v>Hawkins &amp; George Team_Sarah Regan</v>
      </c>
      <c r="I80" t="str">
        <f>VLOOKUP(H80,PROD!$H$2:$H$212,1,FALSE)</f>
        <v>Hawkins &amp; George Team_Sarah Regan</v>
      </c>
    </row>
    <row r="81" spans="1:9" hidden="1">
      <c r="A81" t="s">
        <v>7</v>
      </c>
      <c r="B81" t="s">
        <v>268</v>
      </c>
      <c r="C81" t="s">
        <v>269</v>
      </c>
      <c r="D81" t="s">
        <v>10</v>
      </c>
      <c r="E81" t="s">
        <v>270</v>
      </c>
      <c r="F81" t="s">
        <v>12</v>
      </c>
      <c r="G81" t="s">
        <v>261</v>
      </c>
      <c r="H81" t="str">
        <f t="shared" si="1"/>
        <v>Hawkins &amp; George Team_Craig Parkinson</v>
      </c>
      <c r="I81" t="str">
        <f>VLOOKUP(H81,PROD!$H$2:$H$212,1,FALSE)</f>
        <v>Hawkins &amp; George Team_Craig Parkinson</v>
      </c>
    </row>
    <row r="82" spans="1:9" hidden="1">
      <c r="A82" t="s">
        <v>7</v>
      </c>
      <c r="B82" t="s">
        <v>282</v>
      </c>
      <c r="C82" t="s">
        <v>283</v>
      </c>
      <c r="D82" t="s">
        <v>10</v>
      </c>
      <c r="E82" t="s">
        <v>284</v>
      </c>
      <c r="F82" t="s">
        <v>12</v>
      </c>
      <c r="G82" t="s">
        <v>281</v>
      </c>
      <c r="H82" t="str">
        <f t="shared" si="1"/>
        <v>Lettings Midlands_Laxmi Mistry</v>
      </c>
      <c r="I82" t="str">
        <f>VLOOKUP(H82,PROD!$H$2:$H$212,1,FALSE)</f>
        <v>Lettings Midlands_Laxmi Mistry</v>
      </c>
    </row>
    <row r="83" spans="1:9">
      <c r="A83" t="s">
        <v>7</v>
      </c>
      <c r="B83" t="s">
        <v>592</v>
      </c>
      <c r="C83" t="s">
        <v>593</v>
      </c>
      <c r="D83" t="s">
        <v>10</v>
      </c>
      <c r="E83" t="s">
        <v>594</v>
      </c>
      <c r="F83" t="s">
        <v>12</v>
      </c>
      <c r="G83" t="s">
        <v>281</v>
      </c>
      <c r="H83" t="str">
        <f t="shared" si="1"/>
        <v>Lettings Midlands_Faith Dowdy</v>
      </c>
      <c r="I83" t="e">
        <f>VLOOKUP(H83,PROD!$H$2:$H$212,1,FALSE)</f>
        <v>#N/A</v>
      </c>
    </row>
    <row r="84" spans="1:9">
      <c r="A84" t="s">
        <v>7</v>
      </c>
      <c r="B84" t="s">
        <v>595</v>
      </c>
      <c r="C84" t="s">
        <v>176</v>
      </c>
      <c r="D84" t="s">
        <v>10</v>
      </c>
      <c r="E84" t="s">
        <v>177</v>
      </c>
      <c r="F84" t="s">
        <v>12</v>
      </c>
      <c r="G84" t="s">
        <v>281</v>
      </c>
      <c r="H84" t="str">
        <f t="shared" si="1"/>
        <v>Lettings Midlands_Abigail Unger</v>
      </c>
      <c r="I84" t="e">
        <f>VLOOKUP(H84,PROD!$H$2:$H$212,1,FALSE)</f>
        <v>#N/A</v>
      </c>
    </row>
    <row r="85" spans="1:9" hidden="1">
      <c r="A85" t="s">
        <v>7</v>
      </c>
      <c r="B85" t="s">
        <v>288</v>
      </c>
      <c r="C85" t="s">
        <v>119</v>
      </c>
      <c r="D85" t="s">
        <v>10</v>
      </c>
      <c r="E85" t="s">
        <v>120</v>
      </c>
      <c r="F85" t="s">
        <v>12</v>
      </c>
      <c r="G85" t="s">
        <v>281</v>
      </c>
      <c r="H85" t="str">
        <f t="shared" si="1"/>
        <v>Lettings Midlands_Ruben Cancio</v>
      </c>
      <c r="I85" t="str">
        <f>VLOOKUP(H85,PROD!$H$2:$H$212,1,FALSE)</f>
        <v>Lettings Midlands_Ruben Cancio</v>
      </c>
    </row>
    <row r="86" spans="1:9" hidden="1">
      <c r="A86" t="s">
        <v>7</v>
      </c>
      <c r="B86" t="s">
        <v>293</v>
      </c>
      <c r="C86" t="s">
        <v>294</v>
      </c>
      <c r="D86" t="s">
        <v>10</v>
      </c>
      <c r="E86" t="s">
        <v>295</v>
      </c>
      <c r="F86" t="s">
        <v>12</v>
      </c>
      <c r="G86" t="s">
        <v>292</v>
      </c>
      <c r="H86" t="str">
        <f t="shared" si="1"/>
        <v>Lettings North East_Jack Howe</v>
      </c>
      <c r="I86" t="str">
        <f>VLOOKUP(H86,PROD!$H$2:$H$212,1,FALSE)</f>
        <v>Lettings North East_Jack Howe</v>
      </c>
    </row>
    <row r="87" spans="1:9" hidden="1">
      <c r="A87" t="s">
        <v>7</v>
      </c>
      <c r="B87" t="s">
        <v>289</v>
      </c>
      <c r="C87" t="s">
        <v>290</v>
      </c>
      <c r="D87" t="s">
        <v>10</v>
      </c>
      <c r="E87" t="s">
        <v>291</v>
      </c>
      <c r="F87" t="s">
        <v>12</v>
      </c>
      <c r="G87" t="s">
        <v>292</v>
      </c>
      <c r="H87" t="str">
        <f t="shared" si="1"/>
        <v>Lettings North East_Deanne Coss</v>
      </c>
      <c r="I87" t="str">
        <f>VLOOKUP(H87,PROD!$H$2:$H$212,1,FALSE)</f>
        <v>Lettings North East_Deanne Coss</v>
      </c>
    </row>
    <row r="88" spans="1:9" hidden="1">
      <c r="A88" t="s">
        <v>7</v>
      </c>
      <c r="B88" t="s">
        <v>307</v>
      </c>
      <c r="C88" t="s">
        <v>119</v>
      </c>
      <c r="D88" t="s">
        <v>10</v>
      </c>
      <c r="E88" t="s">
        <v>120</v>
      </c>
      <c r="F88" t="s">
        <v>12</v>
      </c>
      <c r="G88" t="s">
        <v>302</v>
      </c>
      <c r="H88" t="str">
        <f t="shared" si="1"/>
        <v>Lettings North West_Ruben Cancio</v>
      </c>
      <c r="I88" t="str">
        <f>VLOOKUP(H88,PROD!$H$2:$H$212,1,FALSE)</f>
        <v>Lettings North West_Ruben Cancio</v>
      </c>
    </row>
    <row r="89" spans="1:9" hidden="1">
      <c r="A89" t="s">
        <v>7</v>
      </c>
      <c r="B89" t="s">
        <v>304</v>
      </c>
      <c r="C89" t="s">
        <v>305</v>
      </c>
      <c r="D89" t="s">
        <v>10</v>
      </c>
      <c r="E89" t="s">
        <v>306</v>
      </c>
      <c r="F89" t="s">
        <v>12</v>
      </c>
      <c r="G89" t="s">
        <v>302</v>
      </c>
      <c r="H89" t="str">
        <f t="shared" si="1"/>
        <v>Lettings North West_Fiona Craske</v>
      </c>
      <c r="I89" t="str">
        <f>VLOOKUP(H89,PROD!$H$2:$H$212,1,FALSE)</f>
        <v>Lettings North West_Fiona Craske</v>
      </c>
    </row>
    <row r="90" spans="1:9">
      <c r="A90" t="s">
        <v>7</v>
      </c>
      <c r="B90" t="s">
        <v>596</v>
      </c>
      <c r="C90" t="s">
        <v>387</v>
      </c>
      <c r="D90" t="s">
        <v>10</v>
      </c>
      <c r="E90" t="s">
        <v>388</v>
      </c>
      <c r="F90" t="s">
        <v>12</v>
      </c>
      <c r="G90" t="s">
        <v>302</v>
      </c>
      <c r="H90" t="str">
        <f t="shared" si="1"/>
        <v>Lettings North West_Molli Smyth</v>
      </c>
      <c r="I90" t="e">
        <f>VLOOKUP(H90,PROD!$H$2:$H$212,1,FALSE)</f>
        <v>#N/A</v>
      </c>
    </row>
    <row r="91" spans="1:9">
      <c r="A91" t="s">
        <v>7</v>
      </c>
      <c r="B91" t="s">
        <v>597</v>
      </c>
      <c r="C91" t="s">
        <v>380</v>
      </c>
      <c r="D91" t="s">
        <v>10</v>
      </c>
      <c r="E91" t="s">
        <v>381</v>
      </c>
      <c r="F91" t="s">
        <v>12</v>
      </c>
      <c r="G91" t="s">
        <v>302</v>
      </c>
      <c r="H91" t="str">
        <f t="shared" si="1"/>
        <v>Lettings North West_Naseem Ahmadi</v>
      </c>
      <c r="I91" t="e">
        <f>VLOOKUP(H91,PROD!$H$2:$H$212,1,FALSE)</f>
        <v>#N/A</v>
      </c>
    </row>
    <row r="92" spans="1:9" hidden="1">
      <c r="A92" t="s">
        <v>7</v>
      </c>
      <c r="B92" t="s">
        <v>299</v>
      </c>
      <c r="C92" t="s">
        <v>300</v>
      </c>
      <c r="D92" t="s">
        <v>10</v>
      </c>
      <c r="E92" t="s">
        <v>301</v>
      </c>
      <c r="F92" t="s">
        <v>12</v>
      </c>
      <c r="G92" t="s">
        <v>302</v>
      </c>
      <c r="H92" t="str">
        <f t="shared" si="1"/>
        <v>Lettings North West_Jack Wellings</v>
      </c>
      <c r="I92" t="str">
        <f>VLOOKUP(H92,PROD!$H$2:$H$212,1,FALSE)</f>
        <v>Lettings North West_Jack Wellings</v>
      </c>
    </row>
    <row r="93" spans="1:9">
      <c r="A93" t="s">
        <v>7</v>
      </c>
      <c r="B93" t="s">
        <v>598</v>
      </c>
      <c r="C93" t="s">
        <v>407</v>
      </c>
      <c r="D93" t="s">
        <v>10</v>
      </c>
      <c r="E93" t="s">
        <v>408</v>
      </c>
      <c r="F93" t="s">
        <v>12</v>
      </c>
      <c r="G93" t="s">
        <v>599</v>
      </c>
      <c r="H93" t="str">
        <f t="shared" si="1"/>
        <v>Lettings South_Segun Dickson</v>
      </c>
      <c r="I93" t="e">
        <f>VLOOKUP(H93,PROD!$H$2:$H$212,1,FALSE)</f>
        <v>#N/A</v>
      </c>
    </row>
    <row r="94" spans="1:9" s="2" customFormat="1">
      <c r="A94" s="2" t="s">
        <v>7</v>
      </c>
      <c r="B94" s="2" t="s">
        <v>188</v>
      </c>
      <c r="C94" s="2" t="s">
        <v>189</v>
      </c>
      <c r="D94" s="2" t="s">
        <v>10</v>
      </c>
      <c r="E94" s="2" t="s">
        <v>190</v>
      </c>
      <c r="F94" s="2" t="s">
        <v>12</v>
      </c>
      <c r="G94" s="2" t="s">
        <v>187</v>
      </c>
      <c r="H94" s="2" t="str">
        <f t="shared" si="1"/>
        <v>EOT Lettings South_Gemma Gavin</v>
      </c>
      <c r="I94" s="2" t="str">
        <f>VLOOKUP(H94,PROD!$H$2:$H$212,1,FALSE)</f>
        <v>EOT Lettings South_Gemma Gavin</v>
      </c>
    </row>
    <row r="95" spans="1:9" s="2" customFormat="1">
      <c r="A95" s="2" t="s">
        <v>7</v>
      </c>
      <c r="B95" s="2" t="s">
        <v>184</v>
      </c>
      <c r="C95" s="2" t="s">
        <v>185</v>
      </c>
      <c r="D95" s="2" t="s">
        <v>10</v>
      </c>
      <c r="E95" s="2" t="s">
        <v>186</v>
      </c>
      <c r="F95" s="2" t="s">
        <v>12</v>
      </c>
      <c r="G95" s="2" t="s">
        <v>599</v>
      </c>
      <c r="H95" s="2" t="str">
        <f t="shared" si="1"/>
        <v>Lettings South_Georgia Davis</v>
      </c>
      <c r="I95" s="2" t="e">
        <f>VLOOKUP(H95,PROD!$H$2:$H$212,1,FALSE)</f>
        <v>#N/A</v>
      </c>
    </row>
    <row r="96" spans="1:9">
      <c r="A96" t="s">
        <v>7</v>
      </c>
      <c r="B96" t="s">
        <v>600</v>
      </c>
      <c r="C96" t="s">
        <v>414</v>
      </c>
      <c r="D96" t="s">
        <v>10</v>
      </c>
      <c r="E96" t="s">
        <v>415</v>
      </c>
      <c r="F96" t="s">
        <v>12</v>
      </c>
      <c r="G96" t="s">
        <v>599</v>
      </c>
      <c r="H96" t="str">
        <f t="shared" si="1"/>
        <v>Lettings South_Jack Gardner</v>
      </c>
      <c r="I96" t="e">
        <f>VLOOKUP(H96,PROD!$H$2:$H$212,1,FALSE)</f>
        <v>#N/A</v>
      </c>
    </row>
    <row r="97" spans="1:9">
      <c r="A97" t="s">
        <v>7</v>
      </c>
      <c r="B97" t="s">
        <v>601</v>
      </c>
      <c r="C97" t="s">
        <v>602</v>
      </c>
      <c r="D97" t="s">
        <v>10</v>
      </c>
      <c r="E97" t="s">
        <v>603</v>
      </c>
      <c r="F97" t="s">
        <v>12</v>
      </c>
      <c r="G97" t="s">
        <v>599</v>
      </c>
      <c r="H97" t="str">
        <f t="shared" si="1"/>
        <v>Lettings South_Nathan Brown</v>
      </c>
      <c r="I97" t="e">
        <f>VLOOKUP(H97,PROD!$H$2:$H$212,1,FALSE)</f>
        <v>#N/A</v>
      </c>
    </row>
    <row r="98" spans="1:9">
      <c r="A98" t="s">
        <v>7</v>
      </c>
      <c r="B98" t="s">
        <v>604</v>
      </c>
      <c r="C98" t="s">
        <v>85</v>
      </c>
      <c r="D98" t="s">
        <v>10</v>
      </c>
      <c r="E98" t="s">
        <v>86</v>
      </c>
      <c r="F98" t="s">
        <v>12</v>
      </c>
      <c r="G98" t="s">
        <v>599</v>
      </c>
      <c r="H98" t="str">
        <f t="shared" si="1"/>
        <v>Lettings South_Wesley Greaves</v>
      </c>
      <c r="I98" t="e">
        <f>VLOOKUP(H98,PROD!$H$2:$H$212,1,FALSE)</f>
        <v>#N/A</v>
      </c>
    </row>
    <row r="99" spans="1:9">
      <c r="A99" t="s">
        <v>7</v>
      </c>
      <c r="B99" t="s">
        <v>605</v>
      </c>
      <c r="C99" t="s">
        <v>82</v>
      </c>
      <c r="D99" t="s">
        <v>10</v>
      </c>
      <c r="E99" t="s">
        <v>83</v>
      </c>
      <c r="F99" t="s">
        <v>12</v>
      </c>
      <c r="G99" t="s">
        <v>599</v>
      </c>
      <c r="H99" t="str">
        <f t="shared" si="1"/>
        <v>Lettings South_Geoffrey Eze</v>
      </c>
      <c r="I99" t="e">
        <f>VLOOKUP(H99,PROD!$H$2:$H$212,1,FALSE)</f>
        <v>#N/A</v>
      </c>
    </row>
    <row r="100" spans="1:9">
      <c r="A100" t="s">
        <v>7</v>
      </c>
      <c r="B100" t="s">
        <v>606</v>
      </c>
      <c r="C100" t="s">
        <v>607</v>
      </c>
      <c r="D100" t="s">
        <v>10</v>
      </c>
      <c r="E100" t="s">
        <v>608</v>
      </c>
      <c r="F100" t="s">
        <v>12</v>
      </c>
      <c r="G100" t="s">
        <v>314</v>
      </c>
      <c r="H100" t="str">
        <f t="shared" si="1"/>
        <v>Lettings South West_Maisie Whittaker</v>
      </c>
      <c r="I100" t="e">
        <f>VLOOKUP(H100,PROD!$H$2:$H$212,1,FALSE)</f>
        <v>#N/A</v>
      </c>
    </row>
    <row r="101" spans="1:9" hidden="1">
      <c r="A101" t="s">
        <v>7</v>
      </c>
      <c r="B101" t="s">
        <v>609</v>
      </c>
      <c r="C101" t="s">
        <v>123</v>
      </c>
      <c r="D101" t="s">
        <v>10</v>
      </c>
      <c r="E101" t="s">
        <v>124</v>
      </c>
      <c r="F101" t="s">
        <v>12</v>
      </c>
      <c r="G101" t="s">
        <v>314</v>
      </c>
      <c r="H101" t="str">
        <f t="shared" si="1"/>
        <v>Lettings South West_Colette Taylor</v>
      </c>
      <c r="I101" t="str">
        <f>VLOOKUP(H101,PROD!$H$2:$H$212,1,FALSE)</f>
        <v>Lettings South West_Colette Taylor</v>
      </c>
    </row>
    <row r="102" spans="1:9">
      <c r="A102" t="s">
        <v>7</v>
      </c>
      <c r="B102" t="s">
        <v>610</v>
      </c>
      <c r="C102" t="s">
        <v>489</v>
      </c>
      <c r="D102" t="s">
        <v>10</v>
      </c>
      <c r="E102" t="s">
        <v>490</v>
      </c>
      <c r="F102" t="s">
        <v>12</v>
      </c>
      <c r="G102" t="s">
        <v>314</v>
      </c>
      <c r="H102" t="str">
        <f t="shared" si="1"/>
        <v>Lettings South West_Connor Manuel</v>
      </c>
      <c r="I102" t="e">
        <f>VLOOKUP(H102,PROD!$H$2:$H$212,1,FALSE)</f>
        <v>#N/A</v>
      </c>
    </row>
    <row r="103" spans="1:9">
      <c r="A103" t="s">
        <v>7</v>
      </c>
      <c r="B103" t="s">
        <v>611</v>
      </c>
      <c r="C103" t="s">
        <v>489</v>
      </c>
      <c r="D103" t="s">
        <v>10</v>
      </c>
      <c r="E103" t="s">
        <v>490</v>
      </c>
      <c r="F103" t="s">
        <v>12</v>
      </c>
      <c r="G103" t="s">
        <v>317</v>
      </c>
      <c r="H103" t="str">
        <f t="shared" si="1"/>
        <v>Lettings Wales_Connor Manuel</v>
      </c>
      <c r="I103" t="e">
        <f>VLOOKUP(H103,PROD!$H$2:$H$212,1,FALSE)</f>
        <v>#N/A</v>
      </c>
    </row>
    <row r="104" spans="1:9" hidden="1">
      <c r="A104" t="s">
        <v>7</v>
      </c>
      <c r="B104" t="s">
        <v>318</v>
      </c>
      <c r="C104" t="s">
        <v>123</v>
      </c>
      <c r="D104" t="s">
        <v>10</v>
      </c>
      <c r="E104" t="s">
        <v>124</v>
      </c>
      <c r="F104" t="s">
        <v>12</v>
      </c>
      <c r="G104" t="s">
        <v>317</v>
      </c>
      <c r="H104" t="str">
        <f t="shared" si="1"/>
        <v>Lettings Wales_Colette Taylor</v>
      </c>
      <c r="I104" t="str">
        <f>VLOOKUP(H104,PROD!$H$2:$H$212,1,FALSE)</f>
        <v>Lettings Wales_Colette Taylor</v>
      </c>
    </row>
    <row r="105" spans="1:9" hidden="1">
      <c r="A105" t="s">
        <v>7</v>
      </c>
      <c r="B105" t="s">
        <v>338</v>
      </c>
      <c r="C105" t="s">
        <v>339</v>
      </c>
      <c r="D105" t="s">
        <v>10</v>
      </c>
      <c r="E105" t="s">
        <v>340</v>
      </c>
      <c r="F105" t="s">
        <v>12</v>
      </c>
      <c r="G105" t="s">
        <v>341</v>
      </c>
      <c r="H105" t="str">
        <f t="shared" si="1"/>
        <v>Midlands Lead Queue_Elisabeta Mihalache</v>
      </c>
      <c r="I105" t="str">
        <f>VLOOKUP(H105,PROD!$H$2:$H$212,1,FALSE)</f>
        <v>Midlands Lead Queue_Elisabeta Mihalache</v>
      </c>
    </row>
    <row r="106" spans="1:9" hidden="1">
      <c r="A106" t="s">
        <v>7</v>
      </c>
      <c r="B106" t="s">
        <v>342</v>
      </c>
      <c r="C106" t="s">
        <v>283</v>
      </c>
      <c r="D106" t="s">
        <v>10</v>
      </c>
      <c r="E106" t="s">
        <v>284</v>
      </c>
      <c r="F106" t="s">
        <v>12</v>
      </c>
      <c r="G106" t="s">
        <v>341</v>
      </c>
      <c r="H106" t="str">
        <f t="shared" si="1"/>
        <v>Midlands Lead Queue_Laxmi Mistry</v>
      </c>
      <c r="I106" t="str">
        <f>VLOOKUP(H106,PROD!$H$2:$H$212,1,FALSE)</f>
        <v>Midlands Lead Queue_Laxmi Mistry</v>
      </c>
    </row>
    <row r="107" spans="1:9" hidden="1">
      <c r="A107" t="s">
        <v>7</v>
      </c>
      <c r="B107" t="s">
        <v>350</v>
      </c>
      <c r="C107" t="s">
        <v>351</v>
      </c>
      <c r="D107" t="s">
        <v>10</v>
      </c>
      <c r="E107" t="s">
        <v>352</v>
      </c>
      <c r="F107" t="s">
        <v>12</v>
      </c>
      <c r="G107" t="s">
        <v>346</v>
      </c>
      <c r="H107" t="str">
        <f t="shared" si="1"/>
        <v>Millet Place Team_Angela Okhumoya</v>
      </c>
      <c r="I107" t="str">
        <f>VLOOKUP(H107,PROD!$H$2:$H$212,1,FALSE)</f>
        <v>Millet Place Team_Angela Okhumoya</v>
      </c>
    </row>
    <row r="108" spans="1:9" hidden="1">
      <c r="A108" t="s">
        <v>7</v>
      </c>
      <c r="B108" t="s">
        <v>347</v>
      </c>
      <c r="C108" t="s">
        <v>348</v>
      </c>
      <c r="D108" t="s">
        <v>10</v>
      </c>
      <c r="E108" t="s">
        <v>349</v>
      </c>
      <c r="F108" t="s">
        <v>12</v>
      </c>
      <c r="G108" t="s">
        <v>346</v>
      </c>
      <c r="H108" t="str">
        <f t="shared" si="1"/>
        <v>Millet Place Team_Erelinda Bala</v>
      </c>
      <c r="I108" t="str">
        <f>VLOOKUP(H108,PROD!$H$2:$H$212,1,FALSE)</f>
        <v>Millet Place Team_Erelinda Bala</v>
      </c>
    </row>
    <row r="109" spans="1:9" hidden="1">
      <c r="A109" t="s">
        <v>7</v>
      </c>
      <c r="B109" t="s">
        <v>343</v>
      </c>
      <c r="C109" t="s">
        <v>344</v>
      </c>
      <c r="D109" t="s">
        <v>10</v>
      </c>
      <c r="E109" t="s">
        <v>345</v>
      </c>
      <c r="F109" t="s">
        <v>12</v>
      </c>
      <c r="G109" t="s">
        <v>346</v>
      </c>
      <c r="H109" t="str">
        <f t="shared" si="1"/>
        <v>Millet Place Team_Orsalia Munkeni</v>
      </c>
      <c r="I109" t="str">
        <f>VLOOKUP(H109,PROD!$H$2:$H$212,1,FALSE)</f>
        <v>Millet Place Team_Orsalia Munkeni</v>
      </c>
    </row>
    <row r="110" spans="1:9" hidden="1">
      <c r="A110" t="s">
        <v>7</v>
      </c>
      <c r="B110" t="s">
        <v>359</v>
      </c>
      <c r="C110" t="s">
        <v>360</v>
      </c>
      <c r="D110" t="s">
        <v>10</v>
      </c>
      <c r="E110" t="s">
        <v>361</v>
      </c>
      <c r="F110" t="s">
        <v>12</v>
      </c>
      <c r="G110" t="s">
        <v>346</v>
      </c>
      <c r="H110" t="str">
        <f t="shared" si="1"/>
        <v>Millet Place Team_Samson Olaniyan</v>
      </c>
      <c r="I110" t="str">
        <f>VLOOKUP(H110,PROD!$H$2:$H$212,1,FALSE)</f>
        <v>Millet Place Team_Samson Olaniyan</v>
      </c>
    </row>
    <row r="111" spans="1:9" hidden="1">
      <c r="A111" t="s">
        <v>7</v>
      </c>
      <c r="B111" t="s">
        <v>365</v>
      </c>
      <c r="C111" t="s">
        <v>366</v>
      </c>
      <c r="D111" t="s">
        <v>10</v>
      </c>
      <c r="E111" t="s">
        <v>367</v>
      </c>
      <c r="F111" t="s">
        <v>12</v>
      </c>
      <c r="G111" t="s">
        <v>363</v>
      </c>
      <c r="H111" t="str">
        <f t="shared" si="1"/>
        <v>Milton Keynes Lead Queue_Agata Brennan</v>
      </c>
      <c r="I111" t="str">
        <f>VLOOKUP(H111,PROD!$H$2:$H$212,1,FALSE)</f>
        <v>Milton Keynes Lead Queue_Agata Brennan</v>
      </c>
    </row>
    <row r="112" spans="1:9" hidden="1">
      <c r="A112" t="s">
        <v>7</v>
      </c>
      <c r="B112" t="s">
        <v>368</v>
      </c>
      <c r="C112" t="s">
        <v>72</v>
      </c>
      <c r="D112" t="s">
        <v>10</v>
      </c>
      <c r="E112" t="s">
        <v>73</v>
      </c>
      <c r="F112" t="s">
        <v>12</v>
      </c>
      <c r="G112" t="s">
        <v>363</v>
      </c>
      <c r="H112" t="str">
        <f t="shared" si="1"/>
        <v>Milton Keynes Lead Queue_Ezekiel Akinjagunla</v>
      </c>
      <c r="I112" t="str">
        <f>VLOOKUP(H112,PROD!$H$2:$H$212,1,FALSE)</f>
        <v>Milton Keynes Lead Queue_Ezekiel Akinjagunla</v>
      </c>
    </row>
    <row r="113" spans="1:9" hidden="1">
      <c r="A113" t="s">
        <v>7</v>
      </c>
      <c r="B113" t="s">
        <v>369</v>
      </c>
      <c r="C113" t="s">
        <v>286</v>
      </c>
      <c r="D113" t="s">
        <v>10</v>
      </c>
      <c r="E113" t="s">
        <v>287</v>
      </c>
      <c r="F113" t="s">
        <v>12</v>
      </c>
      <c r="G113" t="s">
        <v>363</v>
      </c>
      <c r="H113" t="str">
        <f t="shared" si="1"/>
        <v>Milton Keynes Lead Queue_Matas Sutkus</v>
      </c>
      <c r="I113" t="str">
        <f>VLOOKUP(H113,PROD!$H$2:$H$212,1,FALSE)</f>
        <v>Milton Keynes Lead Queue_Matas Sutkus</v>
      </c>
    </row>
    <row r="114" spans="1:9" hidden="1">
      <c r="A114" t="s">
        <v>7</v>
      </c>
      <c r="B114" t="s">
        <v>362</v>
      </c>
      <c r="C114" t="s">
        <v>79</v>
      </c>
      <c r="D114" t="s">
        <v>10</v>
      </c>
      <c r="E114" t="s">
        <v>80</v>
      </c>
      <c r="F114" t="s">
        <v>12</v>
      </c>
      <c r="G114" t="s">
        <v>363</v>
      </c>
      <c r="H114" t="str">
        <f t="shared" si="1"/>
        <v>Milton Keynes Lead Queue_Rachel Ofili</v>
      </c>
      <c r="I114" t="str">
        <f>VLOOKUP(H114,PROD!$H$2:$H$212,1,FALSE)</f>
        <v>Milton Keynes Lead Queue_Rachel Ofili</v>
      </c>
    </row>
    <row r="115" spans="1:9" hidden="1">
      <c r="A115" t="s">
        <v>7</v>
      </c>
      <c r="B115" t="s">
        <v>364</v>
      </c>
      <c r="C115" t="s">
        <v>82</v>
      </c>
      <c r="D115" t="s">
        <v>10</v>
      </c>
      <c r="E115" t="s">
        <v>83</v>
      </c>
      <c r="F115" t="s">
        <v>12</v>
      </c>
      <c r="G115" t="s">
        <v>363</v>
      </c>
      <c r="H115" t="str">
        <f t="shared" si="1"/>
        <v>Milton Keynes Lead Queue_Geoffrey Eze</v>
      </c>
      <c r="I115" t="str">
        <f>VLOOKUP(H115,PROD!$H$2:$H$212,1,FALSE)</f>
        <v>Milton Keynes Lead Queue_Geoffrey Eze</v>
      </c>
    </row>
    <row r="116" spans="1:9" hidden="1">
      <c r="A116" t="s">
        <v>7</v>
      </c>
      <c r="B116" t="s">
        <v>370</v>
      </c>
      <c r="C116" t="s">
        <v>371</v>
      </c>
      <c r="D116" t="s">
        <v>10</v>
      </c>
      <c r="E116" t="s">
        <v>372</v>
      </c>
      <c r="F116" t="s">
        <v>12</v>
      </c>
      <c r="G116" t="s">
        <v>373</v>
      </c>
      <c r="H116" t="str">
        <f t="shared" si="1"/>
        <v>Nautilus Apartments Team_Simon Healy</v>
      </c>
      <c r="I116" t="str">
        <f>VLOOKUP(H116,PROD!$H$2:$H$212,1,FALSE)</f>
        <v>Nautilus Apartments Team_Simon Healy</v>
      </c>
    </row>
    <row r="117" spans="1:9" hidden="1">
      <c r="A117" t="s">
        <v>7</v>
      </c>
      <c r="B117" t="s">
        <v>374</v>
      </c>
      <c r="C117" t="s">
        <v>375</v>
      </c>
      <c r="D117" t="s">
        <v>10</v>
      </c>
      <c r="E117" t="s">
        <v>376</v>
      </c>
      <c r="F117" t="s">
        <v>12</v>
      </c>
      <c r="G117" t="s">
        <v>373</v>
      </c>
      <c r="H117" t="str">
        <f t="shared" si="1"/>
        <v>Nautilus Apartments Team_Tatyana Gordon</v>
      </c>
      <c r="I117" t="str">
        <f>VLOOKUP(H117,PROD!$H$2:$H$212,1,FALSE)</f>
        <v>Nautilus Apartments Team_Tatyana Gordon</v>
      </c>
    </row>
    <row r="118" spans="1:9" hidden="1">
      <c r="A118" t="s">
        <v>7</v>
      </c>
      <c r="B118" t="s">
        <v>379</v>
      </c>
      <c r="C118" t="s">
        <v>380</v>
      </c>
      <c r="D118" t="s">
        <v>10</v>
      </c>
      <c r="E118" t="s">
        <v>381</v>
      </c>
      <c r="F118" t="s">
        <v>12</v>
      </c>
      <c r="G118" t="s">
        <v>378</v>
      </c>
      <c r="H118" t="str">
        <f t="shared" si="1"/>
        <v>North East Lead Queue_Naseem Ahmadi</v>
      </c>
      <c r="I118" t="str">
        <f>VLOOKUP(H118,PROD!$H$2:$H$212,1,FALSE)</f>
        <v>North East Lead Queue_Naseem Ahmadi</v>
      </c>
    </row>
    <row r="119" spans="1:9" hidden="1">
      <c r="A119" t="s">
        <v>7</v>
      </c>
      <c r="B119" t="s">
        <v>382</v>
      </c>
      <c r="C119" t="s">
        <v>290</v>
      </c>
      <c r="D119" t="s">
        <v>10</v>
      </c>
      <c r="E119" t="s">
        <v>291</v>
      </c>
      <c r="F119" t="s">
        <v>12</v>
      </c>
      <c r="G119" t="s">
        <v>378</v>
      </c>
      <c r="H119" t="str">
        <f t="shared" si="1"/>
        <v>North East Lead Queue_Deanne Coss</v>
      </c>
      <c r="I119" t="str">
        <f>VLOOKUP(H119,PROD!$H$2:$H$212,1,FALSE)</f>
        <v>North East Lead Queue_Deanne Coss</v>
      </c>
    </row>
    <row r="120" spans="1:9" hidden="1">
      <c r="A120" t="s">
        <v>7</v>
      </c>
      <c r="B120" t="s">
        <v>383</v>
      </c>
      <c r="C120" t="s">
        <v>384</v>
      </c>
      <c r="D120" t="s">
        <v>10</v>
      </c>
      <c r="E120" t="s">
        <v>385</v>
      </c>
      <c r="F120" t="s">
        <v>12</v>
      </c>
      <c r="G120" t="s">
        <v>378</v>
      </c>
      <c r="H120" t="str">
        <f t="shared" si="1"/>
        <v>North East Lead Queue_Maria Kay</v>
      </c>
      <c r="I120" t="str">
        <f>VLOOKUP(H120,PROD!$H$2:$H$212,1,FALSE)</f>
        <v>North East Lead Queue_Maria Kay</v>
      </c>
    </row>
    <row r="121" spans="1:9" hidden="1">
      <c r="A121" t="s">
        <v>7</v>
      </c>
      <c r="B121" t="s">
        <v>377</v>
      </c>
      <c r="C121" t="s">
        <v>294</v>
      </c>
      <c r="D121" t="s">
        <v>10</v>
      </c>
      <c r="E121" t="s">
        <v>295</v>
      </c>
      <c r="F121" t="s">
        <v>12</v>
      </c>
      <c r="G121" t="s">
        <v>378</v>
      </c>
      <c r="H121" t="str">
        <f t="shared" si="1"/>
        <v>North East Lead Queue_Jack Howe</v>
      </c>
      <c r="I121" t="str">
        <f>VLOOKUP(H121,PROD!$H$2:$H$212,1,FALSE)</f>
        <v>North East Lead Queue_Jack Howe</v>
      </c>
    </row>
    <row r="122" spans="1:9" hidden="1">
      <c r="A122" t="s">
        <v>7</v>
      </c>
      <c r="B122" t="s">
        <v>386</v>
      </c>
      <c r="C122" t="s">
        <v>387</v>
      </c>
      <c r="D122" t="s">
        <v>10</v>
      </c>
      <c r="E122" t="s">
        <v>388</v>
      </c>
      <c r="F122" t="s">
        <v>12</v>
      </c>
      <c r="G122" t="s">
        <v>389</v>
      </c>
      <c r="H122" t="str">
        <f t="shared" si="1"/>
        <v>North West Lead Queue_Molli Smyth</v>
      </c>
      <c r="I122" t="str">
        <f>VLOOKUP(H122,PROD!$H$2:$H$212,1,FALSE)</f>
        <v>North West Lead Queue_Molli Smyth</v>
      </c>
    </row>
    <row r="123" spans="1:9" hidden="1">
      <c r="A123" t="s">
        <v>7</v>
      </c>
      <c r="B123" t="s">
        <v>392</v>
      </c>
      <c r="C123" t="s">
        <v>123</v>
      </c>
      <c r="D123" t="s">
        <v>10</v>
      </c>
      <c r="E123" t="s">
        <v>124</v>
      </c>
      <c r="F123" t="s">
        <v>12</v>
      </c>
      <c r="G123" t="s">
        <v>389</v>
      </c>
      <c r="H123" t="str">
        <f t="shared" si="1"/>
        <v>North West Lead Queue_Colette Taylor</v>
      </c>
      <c r="I123" t="str">
        <f>VLOOKUP(H123,PROD!$H$2:$H$212,1,FALSE)</f>
        <v>North West Lead Queue_Colette Taylor</v>
      </c>
    </row>
    <row r="124" spans="1:9" hidden="1">
      <c r="A124" t="s">
        <v>7</v>
      </c>
      <c r="B124" t="s">
        <v>391</v>
      </c>
      <c r="C124" t="s">
        <v>300</v>
      </c>
      <c r="D124" t="s">
        <v>10</v>
      </c>
      <c r="E124" t="s">
        <v>301</v>
      </c>
      <c r="F124" t="s">
        <v>12</v>
      </c>
      <c r="G124" t="s">
        <v>389</v>
      </c>
      <c r="H124" t="str">
        <f t="shared" si="1"/>
        <v>North West Lead Queue_Jack Wellings</v>
      </c>
      <c r="I124" t="str">
        <f>VLOOKUP(H124,PROD!$H$2:$H$212,1,FALSE)</f>
        <v>North West Lead Queue_Jack Wellings</v>
      </c>
    </row>
    <row r="125" spans="1:9" hidden="1">
      <c r="A125" t="s">
        <v>7</v>
      </c>
      <c r="B125" t="s">
        <v>390</v>
      </c>
      <c r="C125" t="s">
        <v>305</v>
      </c>
      <c r="D125" t="s">
        <v>10</v>
      </c>
      <c r="E125" t="s">
        <v>306</v>
      </c>
      <c r="F125" t="s">
        <v>12</v>
      </c>
      <c r="G125" t="s">
        <v>389</v>
      </c>
      <c r="H125" t="str">
        <f t="shared" si="1"/>
        <v>North West Lead Queue_Fiona Craske</v>
      </c>
      <c r="I125" t="str">
        <f>VLOOKUP(H125,PROD!$H$2:$H$212,1,FALSE)</f>
        <v>North West Lead Queue_Fiona Craske</v>
      </c>
    </row>
    <row r="126" spans="1:9" hidden="1">
      <c r="A126" t="s">
        <v>7</v>
      </c>
      <c r="B126" t="s">
        <v>393</v>
      </c>
      <c r="C126" t="s">
        <v>394</v>
      </c>
      <c r="D126" t="s">
        <v>10</v>
      </c>
      <c r="E126" t="s">
        <v>395</v>
      </c>
      <c r="F126" t="s">
        <v>12</v>
      </c>
      <c r="G126" t="s">
        <v>396</v>
      </c>
      <c r="H126" t="str">
        <f t="shared" si="1"/>
        <v>Pin Yard Team_Bailey King</v>
      </c>
      <c r="I126" t="str">
        <f>VLOOKUP(H126,PROD!$H$2:$H$212,1,FALSE)</f>
        <v>Pin Yard Team_Bailey King</v>
      </c>
    </row>
    <row r="127" spans="1:9" hidden="1">
      <c r="A127" t="s">
        <v>7</v>
      </c>
      <c r="B127" t="s">
        <v>403</v>
      </c>
      <c r="C127" t="s">
        <v>404</v>
      </c>
      <c r="D127" t="s">
        <v>10</v>
      </c>
      <c r="E127" t="s">
        <v>405</v>
      </c>
      <c r="F127" t="s">
        <v>12</v>
      </c>
      <c r="G127" t="s">
        <v>396</v>
      </c>
      <c r="H127" t="str">
        <f t="shared" si="1"/>
        <v>Pin Yard Team_Ruth Friend</v>
      </c>
      <c r="I127" t="str">
        <f>VLOOKUP(H127,PROD!$H$2:$H$212,1,FALSE)</f>
        <v>Pin Yard Team_Ruth Friend</v>
      </c>
    </row>
    <row r="128" spans="1:9" hidden="1">
      <c r="A128" t="s">
        <v>7</v>
      </c>
      <c r="B128" t="s">
        <v>397</v>
      </c>
      <c r="C128" t="s">
        <v>398</v>
      </c>
      <c r="D128" t="s">
        <v>10</v>
      </c>
      <c r="E128" t="s">
        <v>399</v>
      </c>
      <c r="F128" t="s">
        <v>12</v>
      </c>
      <c r="G128" t="s">
        <v>396</v>
      </c>
      <c r="H128" t="str">
        <f t="shared" si="1"/>
        <v>Pin Yard Team_Jessica Warnes</v>
      </c>
      <c r="I128" t="str">
        <f>VLOOKUP(H128,PROD!$H$2:$H$212,1,FALSE)</f>
        <v>Pin Yard Team_Jessica Warnes</v>
      </c>
    </row>
    <row r="129" spans="1:9" hidden="1">
      <c r="A129" t="s">
        <v>7</v>
      </c>
      <c r="B129" t="s">
        <v>400</v>
      </c>
      <c r="C129" t="s">
        <v>401</v>
      </c>
      <c r="D129" t="s">
        <v>10</v>
      </c>
      <c r="E129" t="s">
        <v>402</v>
      </c>
      <c r="F129" t="s">
        <v>12</v>
      </c>
      <c r="G129" t="s">
        <v>396</v>
      </c>
      <c r="H129" t="str">
        <f t="shared" si="1"/>
        <v>Pin Yard Team_Rachel Creer</v>
      </c>
      <c r="I129" t="str">
        <f>VLOOKUP(H129,PROD!$H$2:$H$212,1,FALSE)</f>
        <v>Pin Yard Team_Rachel Creer</v>
      </c>
    </row>
    <row r="130" spans="1:9" hidden="1">
      <c r="A130" t="s">
        <v>7</v>
      </c>
      <c r="B130" t="s">
        <v>406</v>
      </c>
      <c r="C130" t="s">
        <v>407</v>
      </c>
      <c r="D130" t="s">
        <v>10</v>
      </c>
      <c r="E130" t="s">
        <v>408</v>
      </c>
      <c r="F130" t="s">
        <v>12</v>
      </c>
      <c r="G130" t="s">
        <v>409</v>
      </c>
      <c r="H130" t="str">
        <f t="shared" si="1"/>
        <v>PRS South Lead Queue_Segun Dickson</v>
      </c>
      <c r="I130" t="str">
        <f>VLOOKUP(H130,PROD!$H$2:$H$212,1,FALSE)</f>
        <v>PRS South Lead Queue_Segun Dickson</v>
      </c>
    </row>
    <row r="131" spans="1:9" hidden="1">
      <c r="A131" t="s">
        <v>7</v>
      </c>
      <c r="B131" t="s">
        <v>411</v>
      </c>
      <c r="C131" t="s">
        <v>79</v>
      </c>
      <c r="D131" t="s">
        <v>10</v>
      </c>
      <c r="E131" t="s">
        <v>80</v>
      </c>
      <c r="F131" t="s">
        <v>12</v>
      </c>
      <c r="G131" t="s">
        <v>409</v>
      </c>
      <c r="H131" t="str">
        <f t="shared" ref="H131:H194" si="2">G131&amp;"_"&amp;E131</f>
        <v>PRS South Lead Queue_Rachel Ofili</v>
      </c>
      <c r="I131" t="str">
        <f>VLOOKUP(H131,PROD!$H$2:$H$212,1,FALSE)</f>
        <v>PRS South Lead Queue_Rachel Ofili</v>
      </c>
    </row>
    <row r="132" spans="1:9" hidden="1">
      <c r="A132" t="s">
        <v>7</v>
      </c>
      <c r="B132" t="s">
        <v>410</v>
      </c>
      <c r="C132" t="s">
        <v>82</v>
      </c>
      <c r="D132" t="s">
        <v>10</v>
      </c>
      <c r="E132" t="s">
        <v>83</v>
      </c>
      <c r="F132" t="s">
        <v>12</v>
      </c>
      <c r="G132" t="s">
        <v>409</v>
      </c>
      <c r="H132" t="str">
        <f t="shared" si="2"/>
        <v>PRS South Lead Queue_Geoffrey Eze</v>
      </c>
      <c r="I132" t="str">
        <f>VLOOKUP(H132,PROD!$H$2:$H$212,1,FALSE)</f>
        <v>PRS South Lead Queue_Geoffrey Eze</v>
      </c>
    </row>
    <row r="133" spans="1:9" hidden="1">
      <c r="A133" t="s">
        <v>7</v>
      </c>
      <c r="B133" t="s">
        <v>412</v>
      </c>
      <c r="C133" t="s">
        <v>72</v>
      </c>
      <c r="D133" t="s">
        <v>10</v>
      </c>
      <c r="E133" t="s">
        <v>73</v>
      </c>
      <c r="F133" t="s">
        <v>12</v>
      </c>
      <c r="G133" t="s">
        <v>409</v>
      </c>
      <c r="H133" t="str">
        <f t="shared" si="2"/>
        <v>PRS South Lead Queue_Ezekiel Akinjagunla</v>
      </c>
      <c r="I133" t="str">
        <f>VLOOKUP(H133,PROD!$H$2:$H$212,1,FALSE)</f>
        <v>PRS South Lead Queue_Ezekiel Akinjagunla</v>
      </c>
    </row>
    <row r="134" spans="1:9" hidden="1">
      <c r="A134" t="s">
        <v>7</v>
      </c>
      <c r="B134" t="s">
        <v>413</v>
      </c>
      <c r="C134" t="s">
        <v>414</v>
      </c>
      <c r="D134" t="s">
        <v>10</v>
      </c>
      <c r="E134" t="s">
        <v>415</v>
      </c>
      <c r="F134" t="s">
        <v>12</v>
      </c>
      <c r="G134" t="s">
        <v>409</v>
      </c>
      <c r="H134" t="str">
        <f t="shared" si="2"/>
        <v>PRS South Lead Queue_Jack Gardner</v>
      </c>
      <c r="I134" t="str">
        <f>VLOOKUP(H134,PROD!$H$2:$H$212,1,FALSE)</f>
        <v>PRS South Lead Queue_Jack Gardner</v>
      </c>
    </row>
    <row r="135" spans="1:9" hidden="1">
      <c r="A135" t="s">
        <v>7</v>
      </c>
      <c r="B135" t="s">
        <v>450</v>
      </c>
      <c r="C135" t="s">
        <v>451</v>
      </c>
      <c r="D135" t="s">
        <v>10</v>
      </c>
      <c r="E135" t="s">
        <v>452</v>
      </c>
      <c r="F135" t="s">
        <v>12</v>
      </c>
      <c r="G135" t="s">
        <v>419</v>
      </c>
      <c r="H135" t="str">
        <f t="shared" si="2"/>
        <v>PRS: London_Nadia Rogers</v>
      </c>
      <c r="I135" t="str">
        <f>VLOOKUP(H135,PROD!$H$2:$H$212,1,FALSE)</f>
        <v>PRS: London_Nadia Rogers</v>
      </c>
    </row>
    <row r="136" spans="1:9" hidden="1">
      <c r="A136" t="s">
        <v>7</v>
      </c>
      <c r="B136" t="s">
        <v>432</v>
      </c>
      <c r="C136" t="s">
        <v>433</v>
      </c>
      <c r="D136" t="s">
        <v>10</v>
      </c>
      <c r="E136" t="s">
        <v>434</v>
      </c>
      <c r="F136" t="s">
        <v>12</v>
      </c>
      <c r="G136" t="s">
        <v>419</v>
      </c>
      <c r="H136" t="str">
        <f t="shared" si="2"/>
        <v>PRS: London_Leah Lakomski</v>
      </c>
      <c r="I136" t="str">
        <f>VLOOKUP(H136,PROD!$H$2:$H$212,1,FALSE)</f>
        <v>PRS: London_Leah Lakomski</v>
      </c>
    </row>
    <row r="137" spans="1:9" hidden="1">
      <c r="A137" t="s">
        <v>7</v>
      </c>
      <c r="B137" t="s">
        <v>429</v>
      </c>
      <c r="C137" t="s">
        <v>430</v>
      </c>
      <c r="D137" t="s">
        <v>10</v>
      </c>
      <c r="E137" t="s">
        <v>431</v>
      </c>
      <c r="F137" t="s">
        <v>12</v>
      </c>
      <c r="G137" t="s">
        <v>419</v>
      </c>
      <c r="H137" t="str">
        <f t="shared" si="2"/>
        <v>PRS: London_Yvonne Leggett</v>
      </c>
      <c r="I137" t="str">
        <f>VLOOKUP(H137,PROD!$H$2:$H$212,1,FALSE)</f>
        <v>PRS: London_Yvonne Leggett</v>
      </c>
    </row>
    <row r="138" spans="1:9" hidden="1">
      <c r="A138" t="s">
        <v>7</v>
      </c>
      <c r="B138" t="s">
        <v>426</v>
      </c>
      <c r="C138" t="s">
        <v>427</v>
      </c>
      <c r="D138" t="s">
        <v>10</v>
      </c>
      <c r="E138" t="s">
        <v>428</v>
      </c>
      <c r="F138" t="s">
        <v>12</v>
      </c>
      <c r="G138" t="s">
        <v>419</v>
      </c>
      <c r="H138" t="str">
        <f t="shared" si="2"/>
        <v>PRS: London_Robert Steel</v>
      </c>
      <c r="I138" t="str">
        <f>VLOOKUP(H138,PROD!$H$2:$H$212,1,FALSE)</f>
        <v>PRS: London_Robert Steel</v>
      </c>
    </row>
    <row r="139" spans="1:9" hidden="1">
      <c r="A139" t="s">
        <v>7</v>
      </c>
      <c r="B139" t="s">
        <v>423</v>
      </c>
      <c r="C139" t="s">
        <v>424</v>
      </c>
      <c r="D139" t="s">
        <v>10</v>
      </c>
      <c r="E139" t="s">
        <v>425</v>
      </c>
      <c r="F139" t="s">
        <v>12</v>
      </c>
      <c r="G139" t="s">
        <v>419</v>
      </c>
      <c r="H139" t="str">
        <f t="shared" si="2"/>
        <v>PRS: London_Miranda Rowe</v>
      </c>
      <c r="I139" t="str">
        <f>VLOOKUP(H139,PROD!$H$2:$H$212,1,FALSE)</f>
        <v>PRS: London_Miranda Rowe</v>
      </c>
    </row>
    <row r="140" spans="1:9" hidden="1">
      <c r="A140" t="s">
        <v>7</v>
      </c>
      <c r="B140" t="s">
        <v>438</v>
      </c>
      <c r="C140" t="s">
        <v>439</v>
      </c>
      <c r="D140" t="s">
        <v>10</v>
      </c>
      <c r="E140" t="s">
        <v>440</v>
      </c>
      <c r="F140" t="s">
        <v>12</v>
      </c>
      <c r="G140" t="s">
        <v>419</v>
      </c>
      <c r="H140" t="str">
        <f t="shared" si="2"/>
        <v>PRS: London_Nicolette McRae</v>
      </c>
      <c r="I140" t="str">
        <f>VLOOKUP(H140,PROD!$H$2:$H$212,1,FALSE)</f>
        <v>PRS: London_Nicolette McRae</v>
      </c>
    </row>
    <row r="141" spans="1:9" hidden="1">
      <c r="A141" t="s">
        <v>7</v>
      </c>
      <c r="B141" t="s">
        <v>441</v>
      </c>
      <c r="C141" t="s">
        <v>442</v>
      </c>
      <c r="D141" t="s">
        <v>10</v>
      </c>
      <c r="E141" t="s">
        <v>443</v>
      </c>
      <c r="F141" t="s">
        <v>12</v>
      </c>
      <c r="G141" t="s">
        <v>419</v>
      </c>
      <c r="H141" t="str">
        <f t="shared" si="2"/>
        <v>PRS: London_Darin Solomon</v>
      </c>
      <c r="I141" t="str">
        <f>VLOOKUP(H141,PROD!$H$2:$H$212,1,FALSE)</f>
        <v>PRS: London_Darin Solomon</v>
      </c>
    </row>
    <row r="142" spans="1:9" hidden="1">
      <c r="A142" t="s">
        <v>7</v>
      </c>
      <c r="B142" t="s">
        <v>444</v>
      </c>
      <c r="C142" t="s">
        <v>445</v>
      </c>
      <c r="D142" t="s">
        <v>10</v>
      </c>
      <c r="E142" t="s">
        <v>446</v>
      </c>
      <c r="F142" t="s">
        <v>12</v>
      </c>
      <c r="G142" t="s">
        <v>419</v>
      </c>
      <c r="H142" t="str">
        <f t="shared" si="2"/>
        <v>PRS: London_Edyta Forysiuk</v>
      </c>
      <c r="I142" t="str">
        <f>VLOOKUP(H142,PROD!$H$2:$H$212,1,FALSE)</f>
        <v>PRS: London_Edyta Forysiuk</v>
      </c>
    </row>
    <row r="143" spans="1:9" hidden="1">
      <c r="A143" t="s">
        <v>7</v>
      </c>
      <c r="B143" t="s">
        <v>447</v>
      </c>
      <c r="C143" t="s">
        <v>448</v>
      </c>
      <c r="D143" t="s">
        <v>10</v>
      </c>
      <c r="E143" t="s">
        <v>449</v>
      </c>
      <c r="F143" t="s">
        <v>12</v>
      </c>
      <c r="G143" t="s">
        <v>419</v>
      </c>
      <c r="H143" t="str">
        <f t="shared" si="2"/>
        <v>PRS: London_Kathrine Castle</v>
      </c>
      <c r="I143" t="str">
        <f>VLOOKUP(H143,PROD!$H$2:$H$212,1,FALSE)</f>
        <v>PRS: London_Kathrine Castle</v>
      </c>
    </row>
    <row r="144" spans="1:9" hidden="1">
      <c r="A144" t="s">
        <v>7</v>
      </c>
      <c r="B144" t="s">
        <v>416</v>
      </c>
      <c r="C144" t="s">
        <v>417</v>
      </c>
      <c r="D144" t="s">
        <v>10</v>
      </c>
      <c r="E144" t="s">
        <v>418</v>
      </c>
      <c r="F144" t="s">
        <v>12</v>
      </c>
      <c r="G144" t="s">
        <v>419</v>
      </c>
      <c r="H144" t="str">
        <f t="shared" si="2"/>
        <v>PRS: London_Younis Miho</v>
      </c>
      <c r="I144" t="str">
        <f>VLOOKUP(H144,PROD!$H$2:$H$212,1,FALSE)</f>
        <v>PRS: London_Younis Miho</v>
      </c>
    </row>
    <row r="145" spans="1:9" hidden="1">
      <c r="A145" t="s">
        <v>7</v>
      </c>
      <c r="B145" t="s">
        <v>472</v>
      </c>
      <c r="C145" t="s">
        <v>401</v>
      </c>
      <c r="D145" t="s">
        <v>10</v>
      </c>
      <c r="E145" t="s">
        <v>402</v>
      </c>
      <c r="F145" t="s">
        <v>12</v>
      </c>
      <c r="G145" t="s">
        <v>456</v>
      </c>
      <c r="H145" t="str">
        <f t="shared" si="2"/>
        <v>PRS: Regions_Rachel Creer</v>
      </c>
      <c r="I145" t="str">
        <f>VLOOKUP(H145,PROD!$H$2:$H$212,1,FALSE)</f>
        <v>PRS: Regions_Rachel Creer</v>
      </c>
    </row>
    <row r="146" spans="1:9" hidden="1">
      <c r="A146" t="s">
        <v>7</v>
      </c>
      <c r="B146" t="s">
        <v>466</v>
      </c>
      <c r="C146" t="s">
        <v>467</v>
      </c>
      <c r="D146" t="s">
        <v>10</v>
      </c>
      <c r="E146" t="s">
        <v>468</v>
      </c>
      <c r="F146" t="s">
        <v>12</v>
      </c>
      <c r="G146" t="s">
        <v>456</v>
      </c>
      <c r="H146" t="str">
        <f t="shared" si="2"/>
        <v>PRS: Regions_Louise Spooner</v>
      </c>
      <c r="I146" t="str">
        <f>VLOOKUP(H146,PROD!$H$2:$H$212,1,FALSE)</f>
        <v>PRS: Regions_Louise Spooner</v>
      </c>
    </row>
    <row r="147" spans="1:9" hidden="1">
      <c r="A147" t="s">
        <v>7</v>
      </c>
      <c r="B147" t="s">
        <v>453</v>
      </c>
      <c r="C147" t="s">
        <v>454</v>
      </c>
      <c r="D147" t="s">
        <v>10</v>
      </c>
      <c r="E147" t="s">
        <v>455</v>
      </c>
      <c r="F147" t="s">
        <v>12</v>
      </c>
      <c r="G147" t="s">
        <v>456</v>
      </c>
      <c r="H147" t="str">
        <f t="shared" si="2"/>
        <v>PRS: Regions_David Hancock</v>
      </c>
      <c r="I147" t="str">
        <f>VLOOKUP(H147,PROD!$H$2:$H$212,1,FALSE)</f>
        <v>PRS: Regions_David Hancock</v>
      </c>
    </row>
    <row r="148" spans="1:9">
      <c r="A148" t="s">
        <v>7</v>
      </c>
      <c r="B148" t="s">
        <v>612</v>
      </c>
      <c r="C148" t="s">
        <v>404</v>
      </c>
      <c r="D148" t="s">
        <v>10</v>
      </c>
      <c r="E148" t="s">
        <v>405</v>
      </c>
      <c r="F148" t="s">
        <v>12</v>
      </c>
      <c r="G148" t="s">
        <v>456</v>
      </c>
      <c r="H148" t="str">
        <f t="shared" si="2"/>
        <v>PRS: Regions_Ruth Friend</v>
      </c>
      <c r="I148" t="e">
        <f>VLOOKUP(H148,PROD!$H$2:$H$212,1,FALSE)</f>
        <v>#N/A</v>
      </c>
    </row>
    <row r="149" spans="1:9" hidden="1">
      <c r="A149" t="s">
        <v>7</v>
      </c>
      <c r="B149" t="s">
        <v>469</v>
      </c>
      <c r="C149" t="s">
        <v>394</v>
      </c>
      <c r="D149" t="s">
        <v>10</v>
      </c>
      <c r="E149" t="s">
        <v>395</v>
      </c>
      <c r="F149" t="s">
        <v>12</v>
      </c>
      <c r="G149" t="s">
        <v>456</v>
      </c>
      <c r="H149" t="str">
        <f t="shared" si="2"/>
        <v>PRS: Regions_Bailey King</v>
      </c>
      <c r="I149" t="str">
        <f>VLOOKUP(H149,PROD!$H$2:$H$212,1,FALSE)</f>
        <v>PRS: Regions_Bailey King</v>
      </c>
    </row>
    <row r="150" spans="1:9" hidden="1">
      <c r="A150" t="s">
        <v>7</v>
      </c>
      <c r="B150" t="s">
        <v>471</v>
      </c>
      <c r="C150" t="s">
        <v>398</v>
      </c>
      <c r="D150" t="s">
        <v>10</v>
      </c>
      <c r="E150" t="s">
        <v>399</v>
      </c>
      <c r="F150" t="s">
        <v>12</v>
      </c>
      <c r="G150" t="s">
        <v>456</v>
      </c>
      <c r="H150" t="str">
        <f t="shared" si="2"/>
        <v>PRS: Regions_Jessica Warnes</v>
      </c>
      <c r="I150" t="str">
        <f>VLOOKUP(H150,PROD!$H$2:$H$212,1,FALSE)</f>
        <v>PRS: Regions_Jessica Warnes</v>
      </c>
    </row>
    <row r="151" spans="1:9" hidden="1">
      <c r="A151" t="s">
        <v>7</v>
      </c>
      <c r="B151" t="s">
        <v>463</v>
      </c>
      <c r="C151" t="s">
        <v>464</v>
      </c>
      <c r="D151" t="s">
        <v>10</v>
      </c>
      <c r="E151" t="s">
        <v>465</v>
      </c>
      <c r="F151" t="s">
        <v>12</v>
      </c>
      <c r="G151" t="s">
        <v>456</v>
      </c>
      <c r="H151" t="str">
        <f t="shared" si="2"/>
        <v>PRS: Regions_Luke Pollard</v>
      </c>
      <c r="I151" t="str">
        <f>VLOOKUP(H151,PROD!$H$2:$H$212,1,FALSE)</f>
        <v>PRS: Regions_Luke Pollard</v>
      </c>
    </row>
    <row r="152" spans="1:9" hidden="1">
      <c r="A152" t="s">
        <v>7</v>
      </c>
      <c r="B152" t="s">
        <v>460</v>
      </c>
      <c r="C152" t="s">
        <v>461</v>
      </c>
      <c r="D152" t="s">
        <v>10</v>
      </c>
      <c r="E152" t="s">
        <v>462</v>
      </c>
      <c r="F152" t="s">
        <v>12</v>
      </c>
      <c r="G152" t="s">
        <v>456</v>
      </c>
      <c r="H152" t="str">
        <f t="shared" si="2"/>
        <v>PRS: Regions_Mark Weeden</v>
      </c>
      <c r="I152" t="str">
        <f>VLOOKUP(H152,PROD!$H$2:$H$212,1,FALSE)</f>
        <v>PRS: Regions_Mark Weeden</v>
      </c>
    </row>
    <row r="153" spans="1:9" hidden="1">
      <c r="A153" t="s">
        <v>7</v>
      </c>
      <c r="B153" t="s">
        <v>457</v>
      </c>
      <c r="C153" t="s">
        <v>458</v>
      </c>
      <c r="D153" t="s">
        <v>10</v>
      </c>
      <c r="E153" t="s">
        <v>459</v>
      </c>
      <c r="F153" t="s">
        <v>12</v>
      </c>
      <c r="G153" t="s">
        <v>456</v>
      </c>
      <c r="H153" t="str">
        <f t="shared" si="2"/>
        <v>PRS: Regions_Sam Robson</v>
      </c>
      <c r="I153" t="str">
        <f>VLOOKUP(H153,PROD!$H$2:$H$212,1,FALSE)</f>
        <v>PRS: Regions_Sam Robson</v>
      </c>
    </row>
    <row r="154" spans="1:9" hidden="1">
      <c r="A154" t="s">
        <v>7</v>
      </c>
      <c r="B154" t="s">
        <v>478</v>
      </c>
      <c r="C154" t="s">
        <v>160</v>
      </c>
      <c r="D154" t="s">
        <v>10</v>
      </c>
      <c r="E154" t="s">
        <v>161</v>
      </c>
      <c r="F154" t="s">
        <v>12</v>
      </c>
      <c r="G154" t="s">
        <v>476</v>
      </c>
      <c r="H154" t="str">
        <f t="shared" si="2"/>
        <v>Solstice Apartments Team_Tina Viragh</v>
      </c>
      <c r="I154" t="str">
        <f>VLOOKUP(H154,PROD!$H$2:$H$212,1,FALSE)</f>
        <v>Solstice Apartments Team_Tina Viragh</v>
      </c>
    </row>
    <row r="155" spans="1:9" hidden="1">
      <c r="A155" t="s">
        <v>7</v>
      </c>
      <c r="B155" t="s">
        <v>479</v>
      </c>
      <c r="C155" t="s">
        <v>182</v>
      </c>
      <c r="D155" t="s">
        <v>10</v>
      </c>
      <c r="E155" t="s">
        <v>183</v>
      </c>
      <c r="F155" t="s">
        <v>12</v>
      </c>
      <c r="G155" t="s">
        <v>476</v>
      </c>
      <c r="H155" t="str">
        <f t="shared" si="2"/>
        <v>Solstice Apartments Team_Sharon Goyder-Smith</v>
      </c>
      <c r="I155" t="str">
        <f>VLOOKUP(H155,PROD!$H$2:$H$212,1,FALSE)</f>
        <v>Solstice Apartments Team_Sharon Goyder-Smith</v>
      </c>
    </row>
    <row r="156" spans="1:9" hidden="1">
      <c r="A156" t="s">
        <v>7</v>
      </c>
      <c r="B156" t="s">
        <v>477</v>
      </c>
      <c r="C156" t="s">
        <v>164</v>
      </c>
      <c r="D156" t="s">
        <v>10</v>
      </c>
      <c r="E156" t="s">
        <v>165</v>
      </c>
      <c r="F156" t="s">
        <v>12</v>
      </c>
      <c r="G156" t="s">
        <v>476</v>
      </c>
      <c r="H156" t="str">
        <f t="shared" si="2"/>
        <v>Solstice Apartments Team_Danielle Stewart</v>
      </c>
      <c r="I156" t="str">
        <f>VLOOKUP(H156,PROD!$H$2:$H$212,1,FALSE)</f>
        <v>Solstice Apartments Team_Danielle Stewart</v>
      </c>
    </row>
    <row r="157" spans="1:9" hidden="1">
      <c r="A157" t="s">
        <v>7</v>
      </c>
      <c r="B157" t="s">
        <v>473</v>
      </c>
      <c r="C157" t="s">
        <v>474</v>
      </c>
      <c r="D157" t="s">
        <v>10</v>
      </c>
      <c r="E157" t="s">
        <v>475</v>
      </c>
      <c r="F157" t="s">
        <v>12</v>
      </c>
      <c r="G157" t="s">
        <v>476</v>
      </c>
      <c r="H157" t="str">
        <f t="shared" si="2"/>
        <v>Solstice Apartments Team_Rachel Steventon</v>
      </c>
      <c r="I157" t="str">
        <f>VLOOKUP(H157,PROD!$H$2:$H$212,1,FALSE)</f>
        <v>Solstice Apartments Team_Rachel Steventon</v>
      </c>
    </row>
    <row r="158" spans="1:9" hidden="1">
      <c r="A158" t="s">
        <v>7</v>
      </c>
      <c r="B158" t="s">
        <v>480</v>
      </c>
      <c r="C158" t="s">
        <v>481</v>
      </c>
      <c r="D158" t="s">
        <v>10</v>
      </c>
      <c r="E158" t="s">
        <v>482</v>
      </c>
      <c r="F158" t="s">
        <v>12</v>
      </c>
      <c r="G158" t="s">
        <v>476</v>
      </c>
      <c r="H158" t="str">
        <f t="shared" si="2"/>
        <v>Solstice Apartments Team_Janki Pankhaniya</v>
      </c>
      <c r="I158" t="str">
        <f>VLOOKUP(H158,PROD!$H$2:$H$212,1,FALSE)</f>
        <v>Solstice Apartments Team_Janki Pankhaniya</v>
      </c>
    </row>
    <row r="159" spans="1:9" hidden="1">
      <c r="A159" t="s">
        <v>7</v>
      </c>
      <c r="B159" t="s">
        <v>483</v>
      </c>
      <c r="C159" t="s">
        <v>484</v>
      </c>
      <c r="D159" t="s">
        <v>10</v>
      </c>
      <c r="E159" t="s">
        <v>485</v>
      </c>
      <c r="F159" t="s">
        <v>12</v>
      </c>
      <c r="G159" t="s">
        <v>486</v>
      </c>
      <c r="H159" t="str">
        <f t="shared" si="2"/>
        <v>South West Lead Queue_Abigale Boaler</v>
      </c>
      <c r="I159" t="str">
        <f>VLOOKUP(H159,PROD!$H$2:$H$212,1,FALSE)</f>
        <v>South West Lead Queue_Abigale Boaler</v>
      </c>
    </row>
    <row r="160" spans="1:9" hidden="1">
      <c r="A160" t="s">
        <v>7</v>
      </c>
      <c r="B160" t="s">
        <v>488</v>
      </c>
      <c r="C160" t="s">
        <v>489</v>
      </c>
      <c r="D160" t="s">
        <v>10</v>
      </c>
      <c r="E160" t="s">
        <v>490</v>
      </c>
      <c r="F160" t="s">
        <v>12</v>
      </c>
      <c r="G160" t="s">
        <v>486</v>
      </c>
      <c r="H160" t="str">
        <f t="shared" si="2"/>
        <v>South West Lead Queue_Connor Manuel</v>
      </c>
      <c r="I160" t="str">
        <f>VLOOKUP(H160,PROD!$H$2:$H$212,1,FALSE)</f>
        <v>South West Lead Queue_Connor Manuel</v>
      </c>
    </row>
    <row r="161" spans="1:9" hidden="1">
      <c r="A161" t="s">
        <v>7</v>
      </c>
      <c r="B161" t="s">
        <v>487</v>
      </c>
      <c r="C161" t="s">
        <v>283</v>
      </c>
      <c r="D161" t="s">
        <v>10</v>
      </c>
      <c r="E161" t="s">
        <v>284</v>
      </c>
      <c r="F161" t="s">
        <v>12</v>
      </c>
      <c r="G161" t="s">
        <v>486</v>
      </c>
      <c r="H161" t="str">
        <f t="shared" si="2"/>
        <v>South West Lead Queue_Laxmi Mistry</v>
      </c>
      <c r="I161" t="str">
        <f>VLOOKUP(H161,PROD!$H$2:$H$212,1,FALSE)</f>
        <v>South West Lead Queue_Laxmi Mistry</v>
      </c>
    </row>
    <row r="162" spans="1:9" hidden="1">
      <c r="A162" t="s">
        <v>7</v>
      </c>
      <c r="B162" t="s">
        <v>491</v>
      </c>
      <c r="C162" t="s">
        <v>339</v>
      </c>
      <c r="D162" t="s">
        <v>10</v>
      </c>
      <c r="E162" t="s">
        <v>340</v>
      </c>
      <c r="F162" t="s">
        <v>12</v>
      </c>
      <c r="G162" t="s">
        <v>486</v>
      </c>
      <c r="H162" t="str">
        <f t="shared" si="2"/>
        <v>South West Lead Queue_Elisabeta Mihalache</v>
      </c>
      <c r="I162" t="str">
        <f>VLOOKUP(H162,PROD!$H$2:$H$212,1,FALSE)</f>
        <v>South West Lead Queue_Elisabeta Mihalache</v>
      </c>
    </row>
    <row r="163" spans="1:9" hidden="1">
      <c r="A163" t="s">
        <v>7</v>
      </c>
      <c r="B163" t="s">
        <v>495</v>
      </c>
      <c r="C163" t="s">
        <v>79</v>
      </c>
      <c r="D163" t="s">
        <v>10</v>
      </c>
      <c r="E163" t="s">
        <v>80</v>
      </c>
      <c r="F163" t="s">
        <v>12</v>
      </c>
      <c r="G163" t="s">
        <v>493</v>
      </c>
      <c r="H163" t="str">
        <f t="shared" si="2"/>
        <v>Southampton Lead Queue_Rachel Ofili</v>
      </c>
      <c r="I163" t="str">
        <f>VLOOKUP(H163,PROD!$H$2:$H$212,1,FALSE)</f>
        <v>Southampton Lead Queue_Rachel Ofili</v>
      </c>
    </row>
    <row r="164" spans="1:9" hidden="1">
      <c r="A164" t="s">
        <v>7</v>
      </c>
      <c r="B164" t="s">
        <v>496</v>
      </c>
      <c r="C164" t="s">
        <v>72</v>
      </c>
      <c r="D164" t="s">
        <v>10</v>
      </c>
      <c r="E164" t="s">
        <v>73</v>
      </c>
      <c r="F164" t="s">
        <v>12</v>
      </c>
      <c r="G164" t="s">
        <v>493</v>
      </c>
      <c r="H164" t="str">
        <f t="shared" si="2"/>
        <v>Southampton Lead Queue_Ezekiel Akinjagunla</v>
      </c>
      <c r="I164" t="str">
        <f>VLOOKUP(H164,PROD!$H$2:$H$212,1,FALSE)</f>
        <v>Southampton Lead Queue_Ezekiel Akinjagunla</v>
      </c>
    </row>
    <row r="165" spans="1:9" hidden="1">
      <c r="A165" t="s">
        <v>7</v>
      </c>
      <c r="B165" t="s">
        <v>494</v>
      </c>
      <c r="C165" t="s">
        <v>82</v>
      </c>
      <c r="D165" t="s">
        <v>10</v>
      </c>
      <c r="E165" t="s">
        <v>83</v>
      </c>
      <c r="F165" t="s">
        <v>12</v>
      </c>
      <c r="G165" t="s">
        <v>493</v>
      </c>
      <c r="H165" t="str">
        <f t="shared" si="2"/>
        <v>Southampton Lead Queue_Geoffrey Eze</v>
      </c>
      <c r="I165" t="str">
        <f>VLOOKUP(H165,PROD!$H$2:$H$212,1,FALSE)</f>
        <v>Southampton Lead Queue_Geoffrey Eze</v>
      </c>
    </row>
    <row r="166" spans="1:9" hidden="1">
      <c r="A166" t="s">
        <v>7</v>
      </c>
      <c r="B166" t="s">
        <v>492</v>
      </c>
      <c r="C166" t="s">
        <v>234</v>
      </c>
      <c r="D166" t="s">
        <v>10</v>
      </c>
      <c r="E166" t="s">
        <v>235</v>
      </c>
      <c r="F166" t="s">
        <v>12</v>
      </c>
      <c r="G166" t="s">
        <v>493</v>
      </c>
      <c r="H166" t="str">
        <f t="shared" si="2"/>
        <v>Southampton Lead Queue_Treasa Larke</v>
      </c>
      <c r="I166" t="str">
        <f>VLOOKUP(H166,PROD!$H$2:$H$212,1,FALSE)</f>
        <v>Southampton Lead Queue_Treasa Larke</v>
      </c>
    </row>
    <row r="167" spans="1:9" hidden="1">
      <c r="A167" t="s">
        <v>7</v>
      </c>
      <c r="B167" t="s">
        <v>497</v>
      </c>
      <c r="C167" t="s">
        <v>498</v>
      </c>
      <c r="D167" t="s">
        <v>10</v>
      </c>
      <c r="E167" t="s">
        <v>499</v>
      </c>
      <c r="F167" t="s">
        <v>12</v>
      </c>
      <c r="G167" t="s">
        <v>500</v>
      </c>
      <c r="H167" t="str">
        <f t="shared" si="2"/>
        <v>The Barnum Team_Natasha Burns</v>
      </c>
      <c r="I167" t="str">
        <f>VLOOKUP(H167,PROD!$H$2:$H$212,1,FALSE)</f>
        <v>The Barnum Team_Natasha Burns</v>
      </c>
    </row>
    <row r="168" spans="1:9" hidden="1">
      <c r="A168" t="s">
        <v>7</v>
      </c>
      <c r="B168" t="s">
        <v>501</v>
      </c>
      <c r="C168" t="s">
        <v>502</v>
      </c>
      <c r="D168" t="s">
        <v>10</v>
      </c>
      <c r="E168" t="s">
        <v>503</v>
      </c>
      <c r="F168" t="s">
        <v>12</v>
      </c>
      <c r="G168" t="s">
        <v>500</v>
      </c>
      <c r="H168" t="str">
        <f t="shared" si="2"/>
        <v>The Barnum Team_Sean Bromley</v>
      </c>
      <c r="I168" t="str">
        <f>VLOOKUP(H168,PROD!$H$2:$H$212,1,FALSE)</f>
        <v>The Barnum Team_Sean Bromley</v>
      </c>
    </row>
    <row r="169" spans="1:9" hidden="1">
      <c r="A169" t="s">
        <v>7</v>
      </c>
      <c r="B169" t="s">
        <v>507</v>
      </c>
      <c r="C169" t="s">
        <v>508</v>
      </c>
      <c r="D169" t="s">
        <v>10</v>
      </c>
      <c r="E169" t="s">
        <v>509</v>
      </c>
      <c r="F169" t="s">
        <v>12</v>
      </c>
      <c r="G169" t="s">
        <v>500</v>
      </c>
      <c r="H169" t="str">
        <f t="shared" si="2"/>
        <v>The Barnum Team_Amy Truong</v>
      </c>
      <c r="I169" t="str">
        <f>VLOOKUP(H169,PROD!$H$2:$H$212,1,FALSE)</f>
        <v>The Barnum Team_Amy Truong</v>
      </c>
    </row>
    <row r="170" spans="1:9" hidden="1">
      <c r="A170" t="s">
        <v>7</v>
      </c>
      <c r="B170" t="s">
        <v>504</v>
      </c>
      <c r="C170" t="s">
        <v>505</v>
      </c>
      <c r="D170" t="s">
        <v>10</v>
      </c>
      <c r="E170" t="s">
        <v>506</v>
      </c>
      <c r="F170" t="s">
        <v>12</v>
      </c>
      <c r="G170" t="s">
        <v>500</v>
      </c>
      <c r="H170" t="str">
        <f t="shared" si="2"/>
        <v>The Barnum Team_Sophie Turrill</v>
      </c>
      <c r="I170" t="str">
        <f>VLOOKUP(H170,PROD!$H$2:$H$212,1,FALSE)</f>
        <v>The Barnum Team_Sophie Turrill</v>
      </c>
    </row>
    <row r="171" spans="1:9" hidden="1">
      <c r="A171" t="s">
        <v>7</v>
      </c>
      <c r="B171" t="s">
        <v>518</v>
      </c>
      <c r="C171" t="s">
        <v>519</v>
      </c>
      <c r="D171" t="s">
        <v>10</v>
      </c>
      <c r="E171" t="s">
        <v>520</v>
      </c>
      <c r="F171" t="s">
        <v>12</v>
      </c>
      <c r="G171" t="s">
        <v>511</v>
      </c>
      <c r="H171" t="str">
        <f t="shared" si="2"/>
        <v>The Condor Team_Jessica Coates</v>
      </c>
      <c r="I171" t="str">
        <f>VLOOKUP(H171,PROD!$H$2:$H$212,1,FALSE)</f>
        <v>The Condor Team_Jessica Coates</v>
      </c>
    </row>
    <row r="172" spans="1:9" hidden="1">
      <c r="A172" t="s">
        <v>7</v>
      </c>
      <c r="B172" t="s">
        <v>510</v>
      </c>
      <c r="C172" t="s">
        <v>502</v>
      </c>
      <c r="D172" t="s">
        <v>10</v>
      </c>
      <c r="E172" t="s">
        <v>503</v>
      </c>
      <c r="F172" t="s">
        <v>12</v>
      </c>
      <c r="G172" t="s">
        <v>511</v>
      </c>
      <c r="H172" t="str">
        <f t="shared" si="2"/>
        <v>The Condor Team_Sean Bromley</v>
      </c>
      <c r="I172" t="str">
        <f>VLOOKUP(H172,PROD!$H$2:$H$212,1,FALSE)</f>
        <v>The Condor Team_Sean Bromley</v>
      </c>
    </row>
    <row r="173" spans="1:9" hidden="1">
      <c r="A173" t="s">
        <v>7</v>
      </c>
      <c r="B173" t="s">
        <v>512</v>
      </c>
      <c r="C173" t="s">
        <v>513</v>
      </c>
      <c r="D173" t="s">
        <v>10</v>
      </c>
      <c r="E173" t="s">
        <v>514</v>
      </c>
      <c r="F173" t="s">
        <v>12</v>
      </c>
      <c r="G173" t="s">
        <v>511</v>
      </c>
      <c r="H173" t="str">
        <f t="shared" si="2"/>
        <v>The Condor Team_Jacqueline Cooper</v>
      </c>
      <c r="I173" t="str">
        <f>VLOOKUP(H173,PROD!$H$2:$H$212,1,FALSE)</f>
        <v>The Condor Team_Jacqueline Cooper</v>
      </c>
    </row>
    <row r="174" spans="1:9" hidden="1">
      <c r="A174" t="s">
        <v>7</v>
      </c>
      <c r="B174" t="s">
        <v>515</v>
      </c>
      <c r="C174" t="s">
        <v>516</v>
      </c>
      <c r="D174" t="s">
        <v>10</v>
      </c>
      <c r="E174" t="s">
        <v>517</v>
      </c>
      <c r="F174" t="s">
        <v>12</v>
      </c>
      <c r="G174" t="s">
        <v>511</v>
      </c>
      <c r="H174" t="str">
        <f t="shared" si="2"/>
        <v>The Condor Team_Santija Dave</v>
      </c>
      <c r="I174" t="str">
        <f>VLOOKUP(H174,PROD!$H$2:$H$212,1,FALSE)</f>
        <v>The Condor Team_Santija Dave</v>
      </c>
    </row>
    <row r="175" spans="1:9">
      <c r="A175" t="s">
        <v>7</v>
      </c>
      <c r="B175" t="s">
        <v>322</v>
      </c>
      <c r="C175" t="s">
        <v>98</v>
      </c>
      <c r="D175" t="s">
        <v>10</v>
      </c>
      <c r="E175" t="s">
        <v>99</v>
      </c>
      <c r="F175" t="s">
        <v>12</v>
      </c>
      <c r="G175" s="3" t="s">
        <v>613</v>
      </c>
      <c r="H175" t="str">
        <f t="shared" si="2"/>
        <v>The Filaments Team_Shaun Sidibe</v>
      </c>
      <c r="I175" t="e">
        <f>VLOOKUP(H175,PROD!$H$2:$H$212,1,FALSE)</f>
        <v>#N/A</v>
      </c>
    </row>
    <row r="176" spans="1:9">
      <c r="A176" t="s">
        <v>7</v>
      </c>
      <c r="B176" t="s">
        <v>327</v>
      </c>
      <c r="C176" t="s">
        <v>104</v>
      </c>
      <c r="D176" t="s">
        <v>10</v>
      </c>
      <c r="E176" t="s">
        <v>105</v>
      </c>
      <c r="F176" t="s">
        <v>12</v>
      </c>
      <c r="G176" s="3" t="s">
        <v>613</v>
      </c>
      <c r="H176" t="str">
        <f t="shared" si="2"/>
        <v>The Filaments Team_Helen Bowers</v>
      </c>
      <c r="I176" t="e">
        <f>VLOOKUP(H176,PROD!$H$2:$H$212,1,FALSE)</f>
        <v>#N/A</v>
      </c>
    </row>
    <row r="177" spans="1:9">
      <c r="A177" t="s">
        <v>7</v>
      </c>
      <c r="B177" t="s">
        <v>614</v>
      </c>
      <c r="C177" t="s">
        <v>325</v>
      </c>
      <c r="D177" t="s">
        <v>10</v>
      </c>
      <c r="E177" t="s">
        <v>326</v>
      </c>
      <c r="F177" t="s">
        <v>12</v>
      </c>
      <c r="G177" s="3" t="s">
        <v>613</v>
      </c>
      <c r="H177" t="str">
        <f t="shared" si="2"/>
        <v>The Filaments Team_Samantha Lancaster</v>
      </c>
      <c r="I177" t="e">
        <f>VLOOKUP(H177,PROD!$H$2:$H$212,1,FALSE)</f>
        <v>#N/A</v>
      </c>
    </row>
    <row r="178" spans="1:9">
      <c r="A178" t="s">
        <v>7</v>
      </c>
      <c r="B178" t="s">
        <v>323</v>
      </c>
      <c r="C178" t="s">
        <v>101</v>
      </c>
      <c r="D178" t="s">
        <v>10</v>
      </c>
      <c r="E178" t="s">
        <v>102</v>
      </c>
      <c r="F178" t="s">
        <v>12</v>
      </c>
      <c r="G178" s="3" t="s">
        <v>613</v>
      </c>
      <c r="H178" t="str">
        <f t="shared" si="2"/>
        <v>The Filaments Team_Jessica Illingworth</v>
      </c>
      <c r="I178" t="e">
        <f>VLOOKUP(H178,PROD!$H$2:$H$212,1,FALSE)</f>
        <v>#N/A</v>
      </c>
    </row>
    <row r="179" spans="1:9">
      <c r="A179" t="s">
        <v>7</v>
      </c>
      <c r="B179" t="s">
        <v>321</v>
      </c>
      <c r="C179" t="s">
        <v>95</v>
      </c>
      <c r="D179" t="s">
        <v>10</v>
      </c>
      <c r="E179" t="s">
        <v>96</v>
      </c>
      <c r="F179" t="s">
        <v>12</v>
      </c>
      <c r="G179" s="3" t="s">
        <v>613</v>
      </c>
      <c r="H179" t="str">
        <f t="shared" si="2"/>
        <v>The Filaments Team_Trudy Yates</v>
      </c>
      <c r="I179" t="e">
        <f>VLOOKUP(H179,PROD!$H$2:$H$212,1,FALSE)</f>
        <v>#N/A</v>
      </c>
    </row>
    <row r="180" spans="1:9">
      <c r="A180" t="s">
        <v>7</v>
      </c>
      <c r="B180" t="s">
        <v>319</v>
      </c>
      <c r="C180" t="s">
        <v>116</v>
      </c>
      <c r="D180" t="s">
        <v>10</v>
      </c>
      <c r="E180" t="s">
        <v>117</v>
      </c>
      <c r="F180" t="s">
        <v>12</v>
      </c>
      <c r="G180" s="3" t="s">
        <v>613</v>
      </c>
      <c r="H180" t="str">
        <f t="shared" si="2"/>
        <v>The Filaments Team_Connor Berry</v>
      </c>
      <c r="I180" t="e">
        <f>VLOOKUP(H180,PROD!$H$2:$H$212,1,FALSE)</f>
        <v>#N/A</v>
      </c>
    </row>
    <row r="181" spans="1:9">
      <c r="A181" t="s">
        <v>7</v>
      </c>
      <c r="B181" t="s">
        <v>337</v>
      </c>
      <c r="C181" t="s">
        <v>107</v>
      </c>
      <c r="D181" t="s">
        <v>10</v>
      </c>
      <c r="E181" t="s">
        <v>108</v>
      </c>
      <c r="F181" t="s">
        <v>12</v>
      </c>
      <c r="G181" s="3" t="s">
        <v>613</v>
      </c>
      <c r="H181" t="str">
        <f t="shared" si="2"/>
        <v>The Filaments Team_Darren Pritchard</v>
      </c>
      <c r="I181" t="e">
        <f>VLOOKUP(H181,PROD!$H$2:$H$212,1,FALSE)</f>
        <v>#N/A</v>
      </c>
    </row>
    <row r="182" spans="1:9">
      <c r="A182" t="s">
        <v>7</v>
      </c>
      <c r="B182" t="s">
        <v>336</v>
      </c>
      <c r="C182" t="s">
        <v>110</v>
      </c>
      <c r="D182" t="s">
        <v>10</v>
      </c>
      <c r="E182" t="s">
        <v>111</v>
      </c>
      <c r="F182" t="s">
        <v>12</v>
      </c>
      <c r="G182" s="3" t="s">
        <v>613</v>
      </c>
      <c r="H182" t="str">
        <f t="shared" si="2"/>
        <v>The Filaments Team_Chiara Manfron</v>
      </c>
      <c r="I182" t="e">
        <f>VLOOKUP(H182,PROD!$H$2:$H$212,1,FALSE)</f>
        <v>#N/A</v>
      </c>
    </row>
    <row r="183" spans="1:9">
      <c r="A183" t="s">
        <v>7</v>
      </c>
      <c r="B183" t="s">
        <v>335</v>
      </c>
      <c r="C183" t="s">
        <v>113</v>
      </c>
      <c r="D183" t="s">
        <v>10</v>
      </c>
      <c r="E183" t="s">
        <v>114</v>
      </c>
      <c r="F183" t="s">
        <v>12</v>
      </c>
      <c r="G183" s="3" t="s">
        <v>613</v>
      </c>
      <c r="H183" t="str">
        <f t="shared" si="2"/>
        <v>The Filaments Team_Haginson Mtuku</v>
      </c>
      <c r="I183" t="e">
        <f>VLOOKUP(H183,PROD!$H$2:$H$212,1,FALSE)</f>
        <v>#N/A</v>
      </c>
    </row>
    <row r="184" spans="1:9" hidden="1">
      <c r="A184" t="s">
        <v>7</v>
      </c>
      <c r="B184" t="s">
        <v>521</v>
      </c>
      <c r="C184" t="s">
        <v>522</v>
      </c>
      <c r="D184" t="s">
        <v>10</v>
      </c>
      <c r="E184" t="s">
        <v>523</v>
      </c>
      <c r="F184" t="s">
        <v>12</v>
      </c>
      <c r="G184" t="s">
        <v>524</v>
      </c>
      <c r="H184" t="str">
        <f t="shared" si="2"/>
        <v>The Forge Team_Charlotte Bell</v>
      </c>
      <c r="I184" t="str">
        <f>VLOOKUP(H184,PROD!$H$2:$H$212,1,FALSE)</f>
        <v>The Forge Team_Charlotte Bell</v>
      </c>
    </row>
    <row r="185" spans="1:9" hidden="1">
      <c r="A185" t="s">
        <v>7</v>
      </c>
      <c r="B185" t="s">
        <v>525</v>
      </c>
      <c r="C185" t="s">
        <v>458</v>
      </c>
      <c r="D185" t="s">
        <v>10</v>
      </c>
      <c r="E185" t="s">
        <v>459</v>
      </c>
      <c r="F185" t="s">
        <v>12</v>
      </c>
      <c r="G185" t="s">
        <v>524</v>
      </c>
      <c r="H185" t="str">
        <f t="shared" si="2"/>
        <v>The Forge Team_Sam Robson</v>
      </c>
      <c r="I185" t="str">
        <f>VLOOKUP(H185,PROD!$H$2:$H$212,1,FALSE)</f>
        <v>The Forge Team_Sam Robson</v>
      </c>
    </row>
    <row r="186" spans="1:9" hidden="1">
      <c r="A186" t="s">
        <v>7</v>
      </c>
      <c r="B186" t="s">
        <v>526</v>
      </c>
      <c r="C186" t="s">
        <v>527</v>
      </c>
      <c r="D186" t="s">
        <v>10</v>
      </c>
      <c r="E186" t="s">
        <v>528</v>
      </c>
      <c r="F186" t="s">
        <v>12</v>
      </c>
      <c r="G186" t="s">
        <v>524</v>
      </c>
      <c r="H186" t="str">
        <f t="shared" si="2"/>
        <v>The Forge Team_Christina Cassidy</v>
      </c>
      <c r="I186" t="str">
        <f>VLOOKUP(H186,PROD!$H$2:$H$212,1,FALSE)</f>
        <v>The Forge Team_Christina Cassidy</v>
      </c>
    </row>
    <row r="187" spans="1:9" hidden="1">
      <c r="A187" t="s">
        <v>7</v>
      </c>
      <c r="B187" t="s">
        <v>533</v>
      </c>
      <c r="C187" t="s">
        <v>534</v>
      </c>
      <c r="D187" t="s">
        <v>10</v>
      </c>
      <c r="E187" t="s">
        <v>535</v>
      </c>
      <c r="F187" t="s">
        <v>12</v>
      </c>
      <c r="G187" t="s">
        <v>532</v>
      </c>
      <c r="H187" t="str">
        <f t="shared" si="2"/>
        <v>The Headline Team_Corinne Lawrenson</v>
      </c>
      <c r="I187" t="str">
        <f>VLOOKUP(H187,PROD!$H$2:$H$212,1,FALSE)</f>
        <v>The Headline Team_Corinne Lawrenson</v>
      </c>
    </row>
    <row r="188" spans="1:9" hidden="1">
      <c r="A188" t="s">
        <v>7</v>
      </c>
      <c r="B188" t="s">
        <v>542</v>
      </c>
      <c r="C188" t="s">
        <v>404</v>
      </c>
      <c r="D188" t="s">
        <v>10</v>
      </c>
      <c r="E188" t="s">
        <v>405</v>
      </c>
      <c r="F188" t="s">
        <v>12</v>
      </c>
      <c r="G188" t="s">
        <v>532</v>
      </c>
      <c r="H188" t="str">
        <f t="shared" si="2"/>
        <v>The Headline Team_Ruth Friend</v>
      </c>
      <c r="I188" t="str">
        <f>VLOOKUP(H188,PROD!$H$2:$H$212,1,FALSE)</f>
        <v>The Headline Team_Ruth Friend</v>
      </c>
    </row>
    <row r="189" spans="1:9" hidden="1">
      <c r="A189" t="s">
        <v>7</v>
      </c>
      <c r="B189" t="s">
        <v>529</v>
      </c>
      <c r="C189" t="s">
        <v>530</v>
      </c>
      <c r="D189" t="s">
        <v>10</v>
      </c>
      <c r="E189" t="s">
        <v>531</v>
      </c>
      <c r="F189" t="s">
        <v>12</v>
      </c>
      <c r="G189" t="s">
        <v>532</v>
      </c>
      <c r="H189" t="str">
        <f t="shared" si="2"/>
        <v>The Headline Team_Coren Macniven</v>
      </c>
      <c r="I189" t="str">
        <f>VLOOKUP(H189,PROD!$H$2:$H$212,1,FALSE)</f>
        <v>The Headline Team_Coren Macniven</v>
      </c>
    </row>
    <row r="190" spans="1:9" hidden="1">
      <c r="A190" t="s">
        <v>7</v>
      </c>
      <c r="B190" t="s">
        <v>539</v>
      </c>
      <c r="C190" t="s">
        <v>540</v>
      </c>
      <c r="D190" t="s">
        <v>10</v>
      </c>
      <c r="E190" t="s">
        <v>541</v>
      </c>
      <c r="F190" t="s">
        <v>12</v>
      </c>
      <c r="G190" t="s">
        <v>532</v>
      </c>
      <c r="H190" t="str">
        <f t="shared" si="2"/>
        <v>The Headline Team_Joseph Scarrott</v>
      </c>
      <c r="I190" t="str">
        <f>VLOOKUP(H190,PROD!$H$2:$H$212,1,FALSE)</f>
        <v>The Headline Team_Joseph Scarrott</v>
      </c>
    </row>
    <row r="191" spans="1:9" hidden="1">
      <c r="A191" t="s">
        <v>7</v>
      </c>
      <c r="B191" t="s">
        <v>543</v>
      </c>
      <c r="C191" t="s">
        <v>544</v>
      </c>
      <c r="D191" t="s">
        <v>10</v>
      </c>
      <c r="E191" t="s">
        <v>545</v>
      </c>
      <c r="F191" t="s">
        <v>12</v>
      </c>
      <c r="G191" t="s">
        <v>546</v>
      </c>
      <c r="H191" t="str">
        <f t="shared" si="2"/>
        <v>The Mint Team_Victoria Phillips</v>
      </c>
      <c r="I191" t="str">
        <f>VLOOKUP(H191,PROD!$H$2:$H$212,1,FALSE)</f>
        <v>The Mint Team_Victoria Phillips</v>
      </c>
    </row>
    <row r="192" spans="1:9" hidden="1">
      <c r="A192" t="s">
        <v>7</v>
      </c>
      <c r="B192" t="s">
        <v>547</v>
      </c>
      <c r="C192" t="s">
        <v>548</v>
      </c>
      <c r="D192" t="s">
        <v>10</v>
      </c>
      <c r="E192" t="s">
        <v>549</v>
      </c>
      <c r="F192" t="s">
        <v>12</v>
      </c>
      <c r="G192" t="s">
        <v>546</v>
      </c>
      <c r="H192" t="str">
        <f t="shared" si="2"/>
        <v>The Mint Team_Ray Rahman</v>
      </c>
      <c r="I192" t="str">
        <f>VLOOKUP(H192,PROD!$H$2:$H$212,1,FALSE)</f>
        <v>The Mint Team_Ray Rahman</v>
      </c>
    </row>
    <row r="193" spans="1:9" hidden="1">
      <c r="A193" t="s">
        <v>7</v>
      </c>
      <c r="B193" t="s">
        <v>554</v>
      </c>
      <c r="C193" t="s">
        <v>555</v>
      </c>
      <c r="D193" t="s">
        <v>10</v>
      </c>
      <c r="E193" t="s">
        <v>556</v>
      </c>
      <c r="F193" t="s">
        <v>12</v>
      </c>
      <c r="G193" t="s">
        <v>553</v>
      </c>
      <c r="H193" t="str">
        <f t="shared" si="2"/>
        <v>The Tilt Works Team_Jodie Hoyle</v>
      </c>
      <c r="I193" t="str">
        <f>VLOOKUP(H193,PROD!$H$2:$H$212,1,FALSE)</f>
        <v>The Tilt Works Team_Jodie Hoyle</v>
      </c>
    </row>
    <row r="194" spans="1:9" hidden="1">
      <c r="A194" t="s">
        <v>7</v>
      </c>
      <c r="B194" t="s">
        <v>557</v>
      </c>
      <c r="C194" t="s">
        <v>558</v>
      </c>
      <c r="D194" t="s">
        <v>10</v>
      </c>
      <c r="E194" t="s">
        <v>559</v>
      </c>
      <c r="F194" t="s">
        <v>12</v>
      </c>
      <c r="G194" t="s">
        <v>553</v>
      </c>
      <c r="H194" t="str">
        <f t="shared" si="2"/>
        <v>The Tilt Works Team_Annie Carley</v>
      </c>
      <c r="I194" t="str">
        <f>VLOOKUP(H194,PROD!$H$2:$H$212,1,FALSE)</f>
        <v>The Tilt Works Team_Annie Carley</v>
      </c>
    </row>
    <row r="195" spans="1:9" hidden="1">
      <c r="A195" t="s">
        <v>7</v>
      </c>
      <c r="B195" t="s">
        <v>560</v>
      </c>
      <c r="C195" t="s">
        <v>561</v>
      </c>
      <c r="D195" t="s">
        <v>10</v>
      </c>
      <c r="E195" t="s">
        <v>562</v>
      </c>
      <c r="F195" t="s">
        <v>12</v>
      </c>
      <c r="G195" t="s">
        <v>553</v>
      </c>
      <c r="H195" t="str">
        <f t="shared" ref="H195:H204" si="3">G195&amp;"_"&amp;E195</f>
        <v>The Tilt Works Team_Abigail Sturman</v>
      </c>
      <c r="I195" t="str">
        <f>VLOOKUP(H195,PROD!$H$2:$H$212,1,FALSE)</f>
        <v>The Tilt Works Team_Abigail Sturman</v>
      </c>
    </row>
    <row r="196" spans="1:9" hidden="1">
      <c r="A196" t="s">
        <v>7</v>
      </c>
      <c r="B196" t="s">
        <v>550</v>
      </c>
      <c r="C196" t="s">
        <v>551</v>
      </c>
      <c r="D196" t="s">
        <v>10</v>
      </c>
      <c r="E196" t="s">
        <v>552</v>
      </c>
      <c r="F196" t="s">
        <v>12</v>
      </c>
      <c r="G196" t="s">
        <v>553</v>
      </c>
      <c r="H196" t="str">
        <f t="shared" si="3"/>
        <v>The Tilt Works Team_Mark Churchard</v>
      </c>
      <c r="I196" t="str">
        <f>VLOOKUP(H196,PROD!$H$2:$H$212,1,FALSE)</f>
        <v>The Tilt Works Team_Mark Churchard</v>
      </c>
    </row>
    <row r="197" spans="1:9" hidden="1">
      <c r="A197" t="s">
        <v>7</v>
      </c>
      <c r="B197" t="s">
        <v>563</v>
      </c>
      <c r="C197" t="s">
        <v>564</v>
      </c>
      <c r="D197" t="s">
        <v>10</v>
      </c>
      <c r="E197" t="s">
        <v>565</v>
      </c>
      <c r="F197" t="s">
        <v>12</v>
      </c>
      <c r="G197" t="s">
        <v>566</v>
      </c>
      <c r="H197" t="str">
        <f t="shared" si="3"/>
        <v>The Wellesley Team_Megan Fleming</v>
      </c>
      <c r="I197" t="str">
        <f>VLOOKUP(H197,PROD!$H$2:$H$212,1,FALSE)</f>
        <v>The Wellesley Team_Megan Fleming</v>
      </c>
    </row>
    <row r="198" spans="1:9" hidden="1">
      <c r="A198" t="s">
        <v>7</v>
      </c>
      <c r="B198" t="s">
        <v>577</v>
      </c>
      <c r="C198" t="s">
        <v>578</v>
      </c>
      <c r="D198" t="s">
        <v>10</v>
      </c>
      <c r="E198" t="s">
        <v>579</v>
      </c>
      <c r="F198" t="s">
        <v>12</v>
      </c>
      <c r="G198" t="s">
        <v>570</v>
      </c>
      <c r="H198" t="str">
        <f t="shared" si="3"/>
        <v>Weavers Yard Team_Kate McKim</v>
      </c>
      <c r="I198" t="str">
        <f>VLOOKUP(H198,PROD!$H$2:$H$212,1,FALSE)</f>
        <v>Weavers Yard Team_Kate McKim</v>
      </c>
    </row>
    <row r="199" spans="1:9" hidden="1">
      <c r="A199" t="s">
        <v>7</v>
      </c>
      <c r="B199" t="s">
        <v>567</v>
      </c>
      <c r="C199" t="s">
        <v>568</v>
      </c>
      <c r="D199" t="s">
        <v>10</v>
      </c>
      <c r="E199" t="s">
        <v>569</v>
      </c>
      <c r="F199" t="s">
        <v>12</v>
      </c>
      <c r="G199" t="s">
        <v>570</v>
      </c>
      <c r="H199" t="str">
        <f t="shared" si="3"/>
        <v>Weavers Yard Team_Daniel Hind</v>
      </c>
      <c r="I199" t="str">
        <f>VLOOKUP(H199,PROD!$H$2:$H$212,1,FALSE)</f>
        <v>Weavers Yard Team_Daniel Hind</v>
      </c>
    </row>
    <row r="200" spans="1:9" hidden="1">
      <c r="A200" t="s">
        <v>7</v>
      </c>
      <c r="B200" t="s">
        <v>571</v>
      </c>
      <c r="C200" t="s">
        <v>572</v>
      </c>
      <c r="D200" t="s">
        <v>10</v>
      </c>
      <c r="E200" t="s">
        <v>573</v>
      </c>
      <c r="F200" t="s">
        <v>12</v>
      </c>
      <c r="G200" t="s">
        <v>570</v>
      </c>
      <c r="H200" t="str">
        <f t="shared" si="3"/>
        <v>Weavers Yard Team_Carmen Wong</v>
      </c>
      <c r="I200" t="str">
        <f>VLOOKUP(H200,PROD!$H$2:$H$212,1,FALSE)</f>
        <v>Weavers Yard Team_Carmen Wong</v>
      </c>
    </row>
    <row r="201" spans="1:9" hidden="1">
      <c r="A201" t="s">
        <v>7</v>
      </c>
      <c r="B201" t="s">
        <v>574</v>
      </c>
      <c r="C201" t="s">
        <v>575</v>
      </c>
      <c r="D201" t="s">
        <v>10</v>
      </c>
      <c r="E201" t="s">
        <v>576</v>
      </c>
      <c r="F201" t="s">
        <v>12</v>
      </c>
      <c r="G201" t="s">
        <v>570</v>
      </c>
      <c r="H201" t="str">
        <f t="shared" si="3"/>
        <v>Weavers Yard Team_Kimberley Pope</v>
      </c>
      <c r="I201" t="str">
        <f>VLOOKUP(H201,PROD!$H$2:$H$212,1,FALSE)</f>
        <v>Weavers Yard Team_Kimberley Pope</v>
      </c>
    </row>
    <row r="202" spans="1:9" hidden="1">
      <c r="A202" t="s">
        <v>7</v>
      </c>
      <c r="B202" t="s">
        <v>585</v>
      </c>
      <c r="C202" t="s">
        <v>586</v>
      </c>
      <c r="D202" t="s">
        <v>10</v>
      </c>
      <c r="E202" t="s">
        <v>587</v>
      </c>
      <c r="F202" t="s">
        <v>12</v>
      </c>
      <c r="G202" t="s">
        <v>583</v>
      </c>
      <c r="H202" t="str">
        <f t="shared" si="3"/>
        <v>Windlass Apartments Team_Jordan Greaves</v>
      </c>
      <c r="I202" t="str">
        <f>VLOOKUP(H202,PROD!$H$2:$H$212,1,FALSE)</f>
        <v>Windlass Apartments Team_Jordan Greaves</v>
      </c>
    </row>
    <row r="203" spans="1:9" hidden="1">
      <c r="A203" t="s">
        <v>7</v>
      </c>
      <c r="B203" t="s">
        <v>580</v>
      </c>
      <c r="C203" t="s">
        <v>581</v>
      </c>
      <c r="D203" t="s">
        <v>10</v>
      </c>
      <c r="E203" t="s">
        <v>582</v>
      </c>
      <c r="F203" t="s">
        <v>12</v>
      </c>
      <c r="G203" t="s">
        <v>583</v>
      </c>
      <c r="H203" t="str">
        <f t="shared" si="3"/>
        <v>Windlass Apartments Team_Khaled Rahman</v>
      </c>
      <c r="I203" t="str">
        <f>VLOOKUP(H203,PROD!$H$2:$H$212,1,FALSE)</f>
        <v>Windlass Apartments Team_Khaled Rahman</v>
      </c>
    </row>
    <row r="204" spans="1:9" hidden="1">
      <c r="A204" t="s">
        <v>7</v>
      </c>
      <c r="B204" t="s">
        <v>584</v>
      </c>
      <c r="C204" t="s">
        <v>46</v>
      </c>
      <c r="D204" t="s">
        <v>10</v>
      </c>
      <c r="E204" t="s">
        <v>47</v>
      </c>
      <c r="F204" t="s">
        <v>12</v>
      </c>
      <c r="G204" t="s">
        <v>583</v>
      </c>
      <c r="H204" t="str">
        <f t="shared" si="3"/>
        <v>Windlass Apartments Team_Nicole Freeman</v>
      </c>
      <c r="I204" t="str">
        <f>VLOOKUP(H204,PROD!$H$2:$H$212,1,FALSE)</f>
        <v>Windlass Apartments Team_Nicole Freeman</v>
      </c>
    </row>
  </sheetData>
  <autoFilter ref="A1:I204" xr:uid="{DB863201-7AB9-1B45-A3AD-E9EC1174189A}">
    <filterColumn colId="8">
      <filters>
        <filter val="#N/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268ACB-045F-4702-BC6E-9F115A9913EA}"/>
</file>

<file path=customXml/itemProps2.xml><?xml version="1.0" encoding="utf-8"?>
<ds:datastoreItem xmlns:ds="http://schemas.openxmlformats.org/officeDocument/2006/customXml" ds:itemID="{A5265FF9-8647-444E-AB02-77A8F67D0CD5}"/>
</file>

<file path=customXml/itemProps3.xml><?xml version="1.0" encoding="utf-8"?>
<ds:datastoreItem xmlns:ds="http://schemas.openxmlformats.org/officeDocument/2006/customXml" ds:itemID="{B83B9DCE-29BA-4440-9736-6CAE49928E89}"/>
</file>

<file path=customXml/itemProps4.xml><?xml version="1.0" encoding="utf-8"?>
<ds:datastoreItem xmlns:ds="http://schemas.openxmlformats.org/officeDocument/2006/customXml" ds:itemID="{DB66DD4E-9977-4701-9DD5-CC91EF8F5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Jacob Smycz</cp:lastModifiedBy>
  <cp:revision/>
  <dcterms:created xsi:type="dcterms:W3CDTF">2024-08-19T08:56:01Z</dcterms:created>
  <dcterms:modified xsi:type="dcterms:W3CDTF">2024-08-19T09:24:18Z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